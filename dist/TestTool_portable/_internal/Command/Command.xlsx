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ct\Python\TestTool\Command\"/>
    </mc:Choice>
  </mc:AlternateContent>
  <xr:revisionPtr revIDLastSave="0" documentId="13_ncr:1_{E4A315AB-6BA9-4AC2-AAC0-D315B0A529E5}" xr6:coauthVersionLast="47" xr6:coauthVersionMax="47" xr10:uidLastSave="{00000000-0000-0000-0000-000000000000}"/>
  <bookViews>
    <workbookView xWindow="28680" yWindow="-120" windowWidth="29040" windowHeight="15720" activeTab="4" xr2:uid="{79FED000-970D-0E48-B65E-FB5160DD82FF}"/>
  </bookViews>
  <sheets>
    <sheet name="Uncooled" sheetId="1" r:id="rId1"/>
    <sheet name="DRS" sheetId="7" r:id="rId2"/>
    <sheet name="MiniGimbal" sheetId="10" r:id="rId3"/>
    <sheet name="NYX Series" sheetId="5" r:id="rId4"/>
    <sheet name="FineTree" sheetId="8" r:id="rId5"/>
    <sheet name="Multi" sheetId="12" r:id="rId6"/>
    <sheet name="CTEC" sheetId="13" r:id="rId7"/>
    <sheet name="CMD RAW" sheetId="3" r:id="rId8"/>
    <sheet name="FineTreeRAW" sheetId="9" r:id="rId9"/>
    <sheet name="MiniGimbalRAW" sheetId="11" r:id="rId10"/>
    <sheet name="Multi Raw" sheetId="14" r:id="rId11"/>
  </sheets>
  <definedNames>
    <definedName name="_xlnm._FilterDatabase" localSheetId="3" hidden="1">'NYX Series'!$B$2:$N$264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8" l="1"/>
  <c r="O33" i="1"/>
  <c r="N33" i="1"/>
  <c r="M33" i="1"/>
  <c r="L33" i="1"/>
  <c r="K33" i="1"/>
  <c r="P33" i="1" s="1"/>
  <c r="Q33" i="1" s="1"/>
  <c r="I33" i="1" s="1"/>
  <c r="C33" i="1" s="1"/>
  <c r="O34" i="1"/>
  <c r="N34" i="1"/>
  <c r="M34" i="1"/>
  <c r="L34" i="1"/>
  <c r="K34" i="1"/>
  <c r="U50" i="12"/>
  <c r="T50" i="12"/>
  <c r="S50" i="12"/>
  <c r="R50" i="12"/>
  <c r="Q50" i="12"/>
  <c r="V50" i="12" s="1"/>
  <c r="W50" i="12" s="1"/>
  <c r="I50" i="12" s="1"/>
  <c r="C50" i="12" s="1"/>
  <c r="V49" i="12"/>
  <c r="W49" i="12" s="1"/>
  <c r="I49" i="12" s="1"/>
  <c r="C49" i="12" s="1"/>
  <c r="U49" i="12"/>
  <c r="T49" i="12"/>
  <c r="S49" i="12"/>
  <c r="R49" i="12"/>
  <c r="Q49" i="12"/>
  <c r="U14" i="12"/>
  <c r="T14" i="12"/>
  <c r="S14" i="12"/>
  <c r="R14" i="12"/>
  <c r="Q14" i="12"/>
  <c r="V14" i="12" s="1"/>
  <c r="W14" i="12" s="1"/>
  <c r="X14" i="12" s="1"/>
  <c r="Y14" i="12" s="1"/>
  <c r="U382" i="14"/>
  <c r="T382" i="14"/>
  <c r="S382" i="14"/>
  <c r="R382" i="14"/>
  <c r="Q382" i="14"/>
  <c r="W381" i="14"/>
  <c r="I381" i="14" s="1"/>
  <c r="C381" i="14" s="1"/>
  <c r="V381" i="14"/>
  <c r="U381" i="14"/>
  <c r="T381" i="14"/>
  <c r="S381" i="14"/>
  <c r="R381" i="14"/>
  <c r="Q381" i="14"/>
  <c r="U380" i="14"/>
  <c r="T380" i="14"/>
  <c r="S380" i="14"/>
  <c r="R380" i="14"/>
  <c r="Q380" i="14"/>
  <c r="V380" i="14" s="1"/>
  <c r="W380" i="14" s="1"/>
  <c r="I380" i="14" s="1"/>
  <c r="C380" i="14" s="1"/>
  <c r="U379" i="14"/>
  <c r="V379" i="14" s="1"/>
  <c r="T379" i="14"/>
  <c r="S379" i="14"/>
  <c r="R379" i="14"/>
  <c r="Q379" i="14"/>
  <c r="U378" i="14"/>
  <c r="T378" i="14"/>
  <c r="S378" i="14"/>
  <c r="R378" i="14"/>
  <c r="Q378" i="14"/>
  <c r="W377" i="14"/>
  <c r="I377" i="14" s="1"/>
  <c r="C377" i="14" s="1"/>
  <c r="V377" i="14"/>
  <c r="U377" i="14"/>
  <c r="T377" i="14"/>
  <c r="S377" i="14"/>
  <c r="R377" i="14"/>
  <c r="Q377" i="14"/>
  <c r="U376" i="14"/>
  <c r="T376" i="14"/>
  <c r="V376" i="14" s="1"/>
  <c r="W376" i="14" s="1"/>
  <c r="I376" i="14" s="1"/>
  <c r="C376" i="14" s="1"/>
  <c r="S376" i="14"/>
  <c r="R376" i="14"/>
  <c r="Q376" i="14"/>
  <c r="U375" i="14"/>
  <c r="T375" i="14"/>
  <c r="S375" i="14"/>
  <c r="R375" i="14"/>
  <c r="Q375" i="14"/>
  <c r="V375" i="14" s="1"/>
  <c r="V374" i="14"/>
  <c r="W374" i="14" s="1"/>
  <c r="I374" i="14" s="1"/>
  <c r="C374" i="14" s="1"/>
  <c r="U374" i="14"/>
  <c r="T374" i="14"/>
  <c r="S374" i="14"/>
  <c r="R374" i="14"/>
  <c r="Q374" i="14"/>
  <c r="U373" i="14"/>
  <c r="T373" i="14"/>
  <c r="S373" i="14"/>
  <c r="R373" i="14"/>
  <c r="Q373" i="14"/>
  <c r="V373" i="14" s="1"/>
  <c r="W373" i="14" s="1"/>
  <c r="I373" i="14"/>
  <c r="C373" i="14" s="1"/>
  <c r="X372" i="14"/>
  <c r="Y372" i="14" s="1"/>
  <c r="V372" i="14"/>
  <c r="W372" i="14" s="1"/>
  <c r="I372" i="14" s="1"/>
  <c r="C372" i="14" s="1"/>
  <c r="U372" i="14"/>
  <c r="T372" i="14"/>
  <c r="S372" i="14"/>
  <c r="R372" i="14"/>
  <c r="Q372" i="14"/>
  <c r="U371" i="14"/>
  <c r="T371" i="14"/>
  <c r="S371" i="14"/>
  <c r="R371" i="14"/>
  <c r="Q371" i="14"/>
  <c r="V371" i="14" s="1"/>
  <c r="W371" i="14" s="1"/>
  <c r="I371" i="14" s="1"/>
  <c r="C371" i="14" s="1"/>
  <c r="U370" i="14"/>
  <c r="T370" i="14"/>
  <c r="V370" i="14" s="1"/>
  <c r="S370" i="14"/>
  <c r="R370" i="14"/>
  <c r="Q370" i="14"/>
  <c r="U369" i="14"/>
  <c r="T369" i="14"/>
  <c r="S369" i="14"/>
  <c r="R369" i="14"/>
  <c r="Q369" i="14"/>
  <c r="V368" i="14"/>
  <c r="U368" i="14"/>
  <c r="T368" i="14"/>
  <c r="S368" i="14"/>
  <c r="R368" i="14"/>
  <c r="Q368" i="14"/>
  <c r="U367" i="14"/>
  <c r="V367" i="14" s="1"/>
  <c r="W367" i="14" s="1"/>
  <c r="I367" i="14" s="1"/>
  <c r="C367" i="14" s="1"/>
  <c r="T367" i="14"/>
  <c r="S367" i="14"/>
  <c r="R367" i="14"/>
  <c r="Q367" i="14"/>
  <c r="X366" i="14"/>
  <c r="Y366" i="14" s="1"/>
  <c r="W366" i="14"/>
  <c r="I366" i="14" s="1"/>
  <c r="C366" i="14" s="1"/>
  <c r="V366" i="14"/>
  <c r="U366" i="14"/>
  <c r="T366" i="14"/>
  <c r="S366" i="14"/>
  <c r="R366" i="14"/>
  <c r="Q366" i="14"/>
  <c r="U365" i="14"/>
  <c r="T365" i="14"/>
  <c r="S365" i="14"/>
  <c r="V365" i="14" s="1"/>
  <c r="W365" i="14" s="1"/>
  <c r="I365" i="14" s="1"/>
  <c r="C365" i="14" s="1"/>
  <c r="R365" i="14"/>
  <c r="Q365" i="14"/>
  <c r="AF364" i="14"/>
  <c r="AE364" i="14"/>
  <c r="AD364" i="14"/>
  <c r="AC364" i="14"/>
  <c r="AB364" i="14"/>
  <c r="AA364" i="14"/>
  <c r="Z364" i="14"/>
  <c r="U364" i="14"/>
  <c r="T364" i="14"/>
  <c r="S364" i="14"/>
  <c r="R364" i="14"/>
  <c r="Q364" i="14"/>
  <c r="AF363" i="14"/>
  <c r="AE363" i="14"/>
  <c r="AD363" i="14"/>
  <c r="AC363" i="14"/>
  <c r="AB363" i="14"/>
  <c r="AA363" i="14"/>
  <c r="Z363" i="14"/>
  <c r="U363" i="14"/>
  <c r="T363" i="14"/>
  <c r="S363" i="14"/>
  <c r="R363" i="14"/>
  <c r="Q363" i="14"/>
  <c r="V363" i="14" s="1"/>
  <c r="W363" i="14" s="1"/>
  <c r="P363" i="14" s="1"/>
  <c r="C363" i="14" s="1"/>
  <c r="AF362" i="14"/>
  <c r="AE362" i="14"/>
  <c r="AD362" i="14"/>
  <c r="AC362" i="14"/>
  <c r="V362" i="14" s="1"/>
  <c r="W362" i="14" s="1"/>
  <c r="P362" i="14" s="1"/>
  <c r="C362" i="14" s="1"/>
  <c r="AB362" i="14"/>
  <c r="AA362" i="14"/>
  <c r="Z362" i="14"/>
  <c r="U362" i="14"/>
  <c r="T362" i="14"/>
  <c r="S362" i="14"/>
  <c r="R362" i="14"/>
  <c r="Q362" i="14"/>
  <c r="AF361" i="14"/>
  <c r="AE361" i="14"/>
  <c r="AD361" i="14"/>
  <c r="AC361" i="14"/>
  <c r="AB361" i="14"/>
  <c r="AA361" i="14"/>
  <c r="Z361" i="14"/>
  <c r="U361" i="14"/>
  <c r="T361" i="14"/>
  <c r="S361" i="14"/>
  <c r="R361" i="14"/>
  <c r="Q361" i="14"/>
  <c r="AF360" i="14"/>
  <c r="AE360" i="14"/>
  <c r="AD360" i="14"/>
  <c r="AC360" i="14"/>
  <c r="AB360" i="14"/>
  <c r="AA360" i="14"/>
  <c r="Z360" i="14"/>
  <c r="U360" i="14"/>
  <c r="T360" i="14"/>
  <c r="S360" i="14"/>
  <c r="R360" i="14"/>
  <c r="Q360" i="14"/>
  <c r="AF359" i="14"/>
  <c r="AE359" i="14"/>
  <c r="AD359" i="14"/>
  <c r="AC359" i="14"/>
  <c r="AB359" i="14"/>
  <c r="AA359" i="14"/>
  <c r="Z359" i="14"/>
  <c r="U359" i="14"/>
  <c r="T359" i="14"/>
  <c r="S359" i="14"/>
  <c r="R359" i="14"/>
  <c r="Q359" i="14"/>
  <c r="AF358" i="14"/>
  <c r="AE358" i="14"/>
  <c r="AD358" i="14"/>
  <c r="AC358" i="14"/>
  <c r="AB358" i="14"/>
  <c r="AA358" i="14"/>
  <c r="Z358" i="14"/>
  <c r="U358" i="14"/>
  <c r="T358" i="14"/>
  <c r="S358" i="14"/>
  <c r="R358" i="14"/>
  <c r="Q358" i="14"/>
  <c r="V358" i="14" s="1"/>
  <c r="W358" i="14" s="1"/>
  <c r="P358" i="14" s="1"/>
  <c r="C358" i="14" s="1"/>
  <c r="AF357" i="14"/>
  <c r="AE357" i="14"/>
  <c r="AD357" i="14"/>
  <c r="AC357" i="14"/>
  <c r="V357" i="14" s="1"/>
  <c r="W357" i="14" s="1"/>
  <c r="P357" i="14" s="1"/>
  <c r="C357" i="14" s="1"/>
  <c r="AB357" i="14"/>
  <c r="AA357" i="14"/>
  <c r="Z357" i="14"/>
  <c r="U357" i="14"/>
  <c r="T357" i="14"/>
  <c r="S357" i="14"/>
  <c r="R357" i="14"/>
  <c r="Q357" i="14"/>
  <c r="AF356" i="14"/>
  <c r="AE356" i="14"/>
  <c r="AD356" i="14"/>
  <c r="AC356" i="14"/>
  <c r="AB356" i="14"/>
  <c r="AA356" i="14"/>
  <c r="Z356" i="14"/>
  <c r="U356" i="14"/>
  <c r="T356" i="14"/>
  <c r="S356" i="14"/>
  <c r="R356" i="14"/>
  <c r="Q356" i="14"/>
  <c r="AF355" i="14"/>
  <c r="AE355" i="14"/>
  <c r="AD355" i="14"/>
  <c r="AC355" i="14"/>
  <c r="AB355" i="14"/>
  <c r="AA355" i="14"/>
  <c r="Z355" i="14"/>
  <c r="U355" i="14"/>
  <c r="T355" i="14"/>
  <c r="S355" i="14"/>
  <c r="R355" i="14"/>
  <c r="Q355" i="14"/>
  <c r="AF354" i="14"/>
  <c r="AE354" i="14"/>
  <c r="AD354" i="14"/>
  <c r="AC354" i="14"/>
  <c r="AB354" i="14"/>
  <c r="AA354" i="14"/>
  <c r="Z354" i="14"/>
  <c r="U354" i="14"/>
  <c r="T354" i="14"/>
  <c r="S354" i="14"/>
  <c r="R354" i="14"/>
  <c r="Q354" i="14"/>
  <c r="V354" i="14" s="1"/>
  <c r="W354" i="14" s="1"/>
  <c r="P354" i="14" s="1"/>
  <c r="C354" i="14" s="1"/>
  <c r="AF353" i="14"/>
  <c r="AE353" i="14"/>
  <c r="AD353" i="14"/>
  <c r="AC353" i="14"/>
  <c r="AB353" i="14"/>
  <c r="AA353" i="14"/>
  <c r="Z353" i="14"/>
  <c r="U353" i="14"/>
  <c r="T353" i="14"/>
  <c r="S353" i="14"/>
  <c r="R353" i="14"/>
  <c r="Q353" i="14"/>
  <c r="V353" i="14" s="1"/>
  <c r="W353" i="14" s="1"/>
  <c r="P353" i="14"/>
  <c r="C353" i="14" s="1"/>
  <c r="AF352" i="14"/>
  <c r="AE352" i="14"/>
  <c r="AD352" i="14"/>
  <c r="AC352" i="14"/>
  <c r="V352" i="14" s="1"/>
  <c r="W352" i="14" s="1"/>
  <c r="P352" i="14" s="1"/>
  <c r="C352" i="14" s="1"/>
  <c r="AB352" i="14"/>
  <c r="AA352" i="14"/>
  <c r="Z352" i="14"/>
  <c r="U352" i="14"/>
  <c r="T352" i="14"/>
  <c r="S352" i="14"/>
  <c r="R352" i="14"/>
  <c r="Q352" i="14"/>
  <c r="AF351" i="14"/>
  <c r="AE351" i="14"/>
  <c r="AD351" i="14"/>
  <c r="AC351" i="14"/>
  <c r="AB351" i="14"/>
  <c r="AA351" i="14"/>
  <c r="Z351" i="14"/>
  <c r="U351" i="14"/>
  <c r="T351" i="14"/>
  <c r="S351" i="14"/>
  <c r="R351" i="14"/>
  <c r="V351" i="14" s="1"/>
  <c r="W351" i="14" s="1"/>
  <c r="P351" i="14" s="1"/>
  <c r="C351" i="14" s="1"/>
  <c r="Q351" i="14"/>
  <c r="AF350" i="14"/>
  <c r="AE350" i="14"/>
  <c r="AD350" i="14"/>
  <c r="AC350" i="14"/>
  <c r="AB350" i="14"/>
  <c r="AA350" i="14"/>
  <c r="Z350" i="14"/>
  <c r="U350" i="14"/>
  <c r="T350" i="14"/>
  <c r="S350" i="14"/>
  <c r="R350" i="14"/>
  <c r="Q350" i="14"/>
  <c r="AF349" i="14"/>
  <c r="AE349" i="14"/>
  <c r="AD349" i="14"/>
  <c r="AC349" i="14"/>
  <c r="AB349" i="14"/>
  <c r="AA349" i="14"/>
  <c r="Z349" i="14"/>
  <c r="V349" i="14"/>
  <c r="W349" i="14" s="1"/>
  <c r="P349" i="14" s="1"/>
  <c r="C349" i="14" s="1"/>
  <c r="U349" i="14"/>
  <c r="T349" i="14"/>
  <c r="S349" i="14"/>
  <c r="R349" i="14"/>
  <c r="Q349" i="14"/>
  <c r="AF348" i="14"/>
  <c r="AE348" i="14"/>
  <c r="AD348" i="14"/>
  <c r="AC348" i="14"/>
  <c r="AB348" i="14"/>
  <c r="AA348" i="14"/>
  <c r="Z348" i="14"/>
  <c r="U348" i="14"/>
  <c r="T348" i="14"/>
  <c r="S348" i="14"/>
  <c r="R348" i="14"/>
  <c r="Q348" i="14"/>
  <c r="V348" i="14" s="1"/>
  <c r="W348" i="14" s="1"/>
  <c r="P348" i="14"/>
  <c r="C348" i="14"/>
  <c r="AF347" i="14"/>
  <c r="AE347" i="14"/>
  <c r="AD347" i="14"/>
  <c r="AC347" i="14"/>
  <c r="V347" i="14" s="1"/>
  <c r="W347" i="14" s="1"/>
  <c r="P347" i="14" s="1"/>
  <c r="C347" i="14" s="1"/>
  <c r="AB347" i="14"/>
  <c r="AA347" i="14"/>
  <c r="Z347" i="14"/>
  <c r="U347" i="14"/>
  <c r="T347" i="14"/>
  <c r="S347" i="14"/>
  <c r="R347" i="14"/>
  <c r="Q347" i="14"/>
  <c r="AF346" i="14"/>
  <c r="AE346" i="14"/>
  <c r="AD346" i="14"/>
  <c r="AC346" i="14"/>
  <c r="AB346" i="14"/>
  <c r="AA346" i="14"/>
  <c r="Z346" i="14"/>
  <c r="U346" i="14"/>
  <c r="T346" i="14"/>
  <c r="S346" i="14"/>
  <c r="R346" i="14"/>
  <c r="Q346" i="14"/>
  <c r="U345" i="14"/>
  <c r="T345" i="14"/>
  <c r="S345" i="14"/>
  <c r="R345" i="14"/>
  <c r="Q345" i="14"/>
  <c r="X344" i="14"/>
  <c r="Y344" i="14" s="1"/>
  <c r="U344" i="14"/>
  <c r="T344" i="14"/>
  <c r="S344" i="14"/>
  <c r="V344" i="14" s="1"/>
  <c r="W344" i="14" s="1"/>
  <c r="I344" i="14" s="1"/>
  <c r="C344" i="14" s="1"/>
  <c r="R344" i="14"/>
  <c r="Q344" i="14"/>
  <c r="U343" i="14"/>
  <c r="T343" i="14"/>
  <c r="V343" i="14" s="1"/>
  <c r="W343" i="14" s="1"/>
  <c r="I343" i="14" s="1"/>
  <c r="C343" i="14" s="1"/>
  <c r="S343" i="14"/>
  <c r="R343" i="14"/>
  <c r="Q343" i="14"/>
  <c r="V342" i="14"/>
  <c r="W342" i="14" s="1"/>
  <c r="I342" i="14" s="1"/>
  <c r="C342" i="14" s="1"/>
  <c r="U342" i="14"/>
  <c r="T342" i="14"/>
  <c r="S342" i="14"/>
  <c r="R342" i="14"/>
  <c r="Q342" i="14"/>
  <c r="U341" i="14"/>
  <c r="T341" i="14"/>
  <c r="S341" i="14"/>
  <c r="R341" i="14"/>
  <c r="Q341" i="14"/>
  <c r="V341" i="14" s="1"/>
  <c r="W341" i="14" s="1"/>
  <c r="I341" i="14" s="1"/>
  <c r="W340" i="14"/>
  <c r="I340" i="14" s="1"/>
  <c r="C340" i="14" s="1"/>
  <c r="V340" i="14"/>
  <c r="U340" i="14"/>
  <c r="T340" i="14"/>
  <c r="S340" i="14"/>
  <c r="R340" i="14"/>
  <c r="X340" i="14" s="1"/>
  <c r="Y340" i="14" s="1"/>
  <c r="Q340" i="14"/>
  <c r="U339" i="14"/>
  <c r="T339" i="14"/>
  <c r="S339" i="14"/>
  <c r="R339" i="14"/>
  <c r="Q339" i="14"/>
  <c r="U338" i="14"/>
  <c r="T338" i="14"/>
  <c r="S338" i="14"/>
  <c r="R338" i="14"/>
  <c r="Q338" i="14"/>
  <c r="V338" i="14" s="1"/>
  <c r="V337" i="14"/>
  <c r="W337" i="14" s="1"/>
  <c r="I337" i="14" s="1"/>
  <c r="C337" i="14" s="1"/>
  <c r="U337" i="14"/>
  <c r="T337" i="14"/>
  <c r="X337" i="14" s="1"/>
  <c r="Y337" i="14" s="1"/>
  <c r="S337" i="14"/>
  <c r="R337" i="14"/>
  <c r="Q337" i="14"/>
  <c r="U336" i="14"/>
  <c r="T336" i="14"/>
  <c r="S336" i="14"/>
  <c r="R336" i="14"/>
  <c r="Q336" i="14"/>
  <c r="V335" i="14"/>
  <c r="U335" i="14"/>
  <c r="T335" i="14"/>
  <c r="S335" i="14"/>
  <c r="R335" i="14"/>
  <c r="Q335" i="14"/>
  <c r="U334" i="14"/>
  <c r="T334" i="14"/>
  <c r="S334" i="14"/>
  <c r="R334" i="14"/>
  <c r="Q334" i="14"/>
  <c r="U333" i="14"/>
  <c r="T333" i="14"/>
  <c r="S333" i="14"/>
  <c r="V333" i="14" s="1"/>
  <c r="W333" i="14" s="1"/>
  <c r="I333" i="14" s="1"/>
  <c r="C333" i="14" s="1"/>
  <c r="R333" i="14"/>
  <c r="Q333" i="14"/>
  <c r="U332" i="14"/>
  <c r="T332" i="14"/>
  <c r="S332" i="14"/>
  <c r="V332" i="14" s="1"/>
  <c r="W332" i="14" s="1"/>
  <c r="I332" i="14" s="1"/>
  <c r="C332" i="14" s="1"/>
  <c r="R332" i="14"/>
  <c r="Q332" i="14"/>
  <c r="V331" i="14"/>
  <c r="W331" i="14" s="1"/>
  <c r="I331" i="14" s="1"/>
  <c r="C331" i="14" s="1"/>
  <c r="U331" i="14"/>
  <c r="X331" i="14" s="1"/>
  <c r="Y331" i="14" s="1"/>
  <c r="T331" i="14"/>
  <c r="S331" i="14"/>
  <c r="R331" i="14"/>
  <c r="Q331" i="14"/>
  <c r="U330" i="14"/>
  <c r="T330" i="14"/>
  <c r="S330" i="14"/>
  <c r="R330" i="14"/>
  <c r="Q330" i="14"/>
  <c r="V330" i="14" s="1"/>
  <c r="W330" i="14" s="1"/>
  <c r="I330" i="14" s="1"/>
  <c r="C330" i="14" s="1"/>
  <c r="U329" i="14"/>
  <c r="T329" i="14"/>
  <c r="S329" i="14"/>
  <c r="V329" i="14" s="1"/>
  <c r="R329" i="14"/>
  <c r="Q329" i="14"/>
  <c r="X328" i="14"/>
  <c r="Y328" i="14" s="1"/>
  <c r="W328" i="14"/>
  <c r="I328" i="14" s="1"/>
  <c r="C328" i="14" s="1"/>
  <c r="U328" i="14"/>
  <c r="T328" i="14"/>
  <c r="S328" i="14"/>
  <c r="V328" i="14" s="1"/>
  <c r="R328" i="14"/>
  <c r="Q328" i="14"/>
  <c r="U327" i="14"/>
  <c r="T327" i="14"/>
  <c r="S327" i="14"/>
  <c r="R327" i="14"/>
  <c r="Q327" i="14"/>
  <c r="V327" i="14" s="1"/>
  <c r="W327" i="14" s="1"/>
  <c r="I327" i="14"/>
  <c r="C327" i="14" s="1"/>
  <c r="U326" i="14"/>
  <c r="T326" i="14"/>
  <c r="S326" i="14"/>
  <c r="R326" i="14"/>
  <c r="Q326" i="14"/>
  <c r="U325" i="14"/>
  <c r="T325" i="14"/>
  <c r="S325" i="14"/>
  <c r="R325" i="14"/>
  <c r="Q325" i="14"/>
  <c r="V325" i="14" s="1"/>
  <c r="W325" i="14" s="1"/>
  <c r="I325" i="14" s="1"/>
  <c r="C325" i="14" s="1"/>
  <c r="U324" i="14"/>
  <c r="T324" i="14"/>
  <c r="S324" i="14"/>
  <c r="R324" i="14"/>
  <c r="V324" i="14" s="1"/>
  <c r="W324" i="14" s="1"/>
  <c r="I324" i="14" s="1"/>
  <c r="C324" i="14" s="1"/>
  <c r="Q324" i="14"/>
  <c r="U323" i="14"/>
  <c r="T323" i="14"/>
  <c r="S323" i="14"/>
  <c r="R323" i="14"/>
  <c r="Q323" i="14"/>
  <c r="U322" i="14"/>
  <c r="T322" i="14"/>
  <c r="S322" i="14"/>
  <c r="R322" i="14"/>
  <c r="Q322" i="14"/>
  <c r="V322" i="14" s="1"/>
  <c r="W322" i="14" s="1"/>
  <c r="I322" i="14" s="1"/>
  <c r="C322" i="14" s="1"/>
  <c r="U321" i="14"/>
  <c r="T321" i="14"/>
  <c r="S321" i="14"/>
  <c r="R321" i="14"/>
  <c r="Q321" i="14"/>
  <c r="AH320" i="14"/>
  <c r="U320" i="14"/>
  <c r="T320" i="14"/>
  <c r="S320" i="14"/>
  <c r="V320" i="14" s="1"/>
  <c r="R320" i="14"/>
  <c r="Q320" i="14"/>
  <c r="U319" i="14"/>
  <c r="T319" i="14"/>
  <c r="S319" i="14"/>
  <c r="R319" i="14"/>
  <c r="Q319" i="14"/>
  <c r="U318" i="14"/>
  <c r="X318" i="14" s="1"/>
  <c r="Y318" i="14" s="1"/>
  <c r="T318" i="14"/>
  <c r="S318" i="14"/>
  <c r="R318" i="14"/>
  <c r="Q318" i="14"/>
  <c r="V318" i="14" s="1"/>
  <c r="W318" i="14" s="1"/>
  <c r="I318" i="14"/>
  <c r="C318" i="14"/>
  <c r="W317" i="14"/>
  <c r="I317" i="14" s="1"/>
  <c r="C317" i="14" s="1"/>
  <c r="U317" i="14"/>
  <c r="T317" i="14"/>
  <c r="S317" i="14"/>
  <c r="R317" i="14"/>
  <c r="Q317" i="14"/>
  <c r="V317" i="14" s="1"/>
  <c r="AH316" i="14"/>
  <c r="U316" i="14"/>
  <c r="T316" i="14"/>
  <c r="S316" i="14"/>
  <c r="R316" i="14"/>
  <c r="Q316" i="14"/>
  <c r="V316" i="14" s="1"/>
  <c r="W316" i="14" s="1"/>
  <c r="I316" i="14" s="1"/>
  <c r="C316" i="14" s="1"/>
  <c r="AI315" i="14"/>
  <c r="U315" i="14"/>
  <c r="T315" i="14"/>
  <c r="S315" i="14"/>
  <c r="R315" i="14"/>
  <c r="Q315" i="14"/>
  <c r="V315" i="14" s="1"/>
  <c r="W315" i="14" s="1"/>
  <c r="I315" i="14" s="1"/>
  <c r="C315" i="14" s="1"/>
  <c r="V314" i="14"/>
  <c r="W314" i="14" s="1"/>
  <c r="I314" i="14" s="1"/>
  <c r="C314" i="14" s="1"/>
  <c r="U314" i="14"/>
  <c r="T314" i="14"/>
  <c r="S314" i="14"/>
  <c r="R314" i="14"/>
  <c r="Q314" i="14"/>
  <c r="W313" i="14"/>
  <c r="I313" i="14" s="1"/>
  <c r="C313" i="14" s="1"/>
  <c r="V313" i="14"/>
  <c r="U313" i="14"/>
  <c r="T313" i="14"/>
  <c r="S313" i="14"/>
  <c r="R313" i="14"/>
  <c r="X313" i="14" s="1"/>
  <c r="Y313" i="14" s="1"/>
  <c r="Q313" i="14"/>
  <c r="U312" i="14"/>
  <c r="T312" i="14"/>
  <c r="S312" i="14"/>
  <c r="V312" i="14" s="1"/>
  <c r="W312" i="14" s="1"/>
  <c r="I312" i="14" s="1"/>
  <c r="C312" i="14" s="1"/>
  <c r="R312" i="14"/>
  <c r="Q312" i="14"/>
  <c r="U311" i="14"/>
  <c r="T311" i="14"/>
  <c r="S311" i="14"/>
  <c r="R311" i="14"/>
  <c r="Q311" i="14"/>
  <c r="V311" i="14" s="1"/>
  <c r="V310" i="14"/>
  <c r="W310" i="14" s="1"/>
  <c r="U310" i="14"/>
  <c r="T310" i="14"/>
  <c r="X310" i="14" s="1"/>
  <c r="Y310" i="14" s="1"/>
  <c r="S310" i="14"/>
  <c r="R310" i="14"/>
  <c r="Q310" i="14"/>
  <c r="I310" i="14"/>
  <c r="C310" i="14" s="1"/>
  <c r="U309" i="14"/>
  <c r="T309" i="14"/>
  <c r="S309" i="14"/>
  <c r="R309" i="14"/>
  <c r="Q309" i="14"/>
  <c r="V309" i="14" s="1"/>
  <c r="W309" i="14" s="1"/>
  <c r="I309" i="14" s="1"/>
  <c r="C309" i="14" s="1"/>
  <c r="X308" i="14"/>
  <c r="Y308" i="14" s="1"/>
  <c r="U308" i="14"/>
  <c r="T308" i="14"/>
  <c r="S308" i="14"/>
  <c r="R308" i="14"/>
  <c r="V308" i="14" s="1"/>
  <c r="W308" i="14" s="1"/>
  <c r="I308" i="14" s="1"/>
  <c r="C308" i="14" s="1"/>
  <c r="Q308" i="14"/>
  <c r="U307" i="14"/>
  <c r="T307" i="14"/>
  <c r="S307" i="14"/>
  <c r="R307" i="14"/>
  <c r="Q307" i="14"/>
  <c r="X306" i="14"/>
  <c r="Y306" i="14" s="1"/>
  <c r="U306" i="14"/>
  <c r="T306" i="14"/>
  <c r="S306" i="14"/>
  <c r="V306" i="14" s="1"/>
  <c r="W306" i="14" s="1"/>
  <c r="I306" i="14" s="1"/>
  <c r="C306" i="14" s="1"/>
  <c r="R306" i="14"/>
  <c r="Q306" i="14"/>
  <c r="U305" i="14"/>
  <c r="T305" i="14"/>
  <c r="S305" i="14"/>
  <c r="R305" i="14"/>
  <c r="Q305" i="14"/>
  <c r="V305" i="14" s="1"/>
  <c r="W305" i="14" s="1"/>
  <c r="I305" i="14" s="1"/>
  <c r="C305" i="14" s="1"/>
  <c r="V304" i="14"/>
  <c r="W304" i="14" s="1"/>
  <c r="I304" i="14" s="1"/>
  <c r="C304" i="14" s="1"/>
  <c r="U304" i="14"/>
  <c r="X304" i="14" s="1"/>
  <c r="Y304" i="14" s="1"/>
  <c r="T304" i="14"/>
  <c r="S304" i="14"/>
  <c r="R304" i="14"/>
  <c r="Q304" i="14"/>
  <c r="U303" i="14"/>
  <c r="T303" i="14"/>
  <c r="X303" i="14" s="1"/>
  <c r="Y303" i="14" s="1"/>
  <c r="S303" i="14"/>
  <c r="R303" i="14"/>
  <c r="Q303" i="14"/>
  <c r="V303" i="14" s="1"/>
  <c r="W303" i="14" s="1"/>
  <c r="I303" i="14" s="1"/>
  <c r="C303" i="14" s="1"/>
  <c r="U302" i="14"/>
  <c r="T302" i="14"/>
  <c r="S302" i="14"/>
  <c r="V302" i="14" s="1"/>
  <c r="R302" i="14"/>
  <c r="Q302" i="14"/>
  <c r="U301" i="14"/>
  <c r="T301" i="14"/>
  <c r="S301" i="14"/>
  <c r="R301" i="14"/>
  <c r="Q301" i="14"/>
  <c r="U300" i="14"/>
  <c r="T300" i="14"/>
  <c r="S300" i="14"/>
  <c r="R300" i="14"/>
  <c r="Q300" i="14"/>
  <c r="V300" i="14" s="1"/>
  <c r="W300" i="14" s="1"/>
  <c r="I300" i="14"/>
  <c r="C300" i="14" s="1"/>
  <c r="U299" i="14"/>
  <c r="T299" i="14"/>
  <c r="S299" i="14"/>
  <c r="R299" i="14"/>
  <c r="Q299" i="14"/>
  <c r="V299" i="14" s="1"/>
  <c r="U298" i="14"/>
  <c r="T298" i="14"/>
  <c r="S298" i="14"/>
  <c r="R298" i="14"/>
  <c r="Q298" i="14"/>
  <c r="U297" i="14"/>
  <c r="T297" i="14"/>
  <c r="S297" i="14"/>
  <c r="R297" i="14"/>
  <c r="Q297" i="14"/>
  <c r="U296" i="14"/>
  <c r="T296" i="14"/>
  <c r="S296" i="14"/>
  <c r="R296" i="14"/>
  <c r="Q296" i="14"/>
  <c r="V296" i="14" s="1"/>
  <c r="W296" i="14" s="1"/>
  <c r="I296" i="14" s="1"/>
  <c r="X295" i="14"/>
  <c r="Y295" i="14" s="1"/>
  <c r="U295" i="14"/>
  <c r="T295" i="14"/>
  <c r="S295" i="14"/>
  <c r="V295" i="14" s="1"/>
  <c r="W295" i="14" s="1"/>
  <c r="I295" i="14" s="1"/>
  <c r="C295" i="14" s="1"/>
  <c r="R295" i="14"/>
  <c r="Q295" i="14"/>
  <c r="U294" i="14"/>
  <c r="T294" i="14"/>
  <c r="S294" i="14"/>
  <c r="R294" i="14"/>
  <c r="Q294" i="14"/>
  <c r="V293" i="14"/>
  <c r="W293" i="14" s="1"/>
  <c r="I293" i="14" s="1"/>
  <c r="C293" i="14" s="1"/>
  <c r="U293" i="14"/>
  <c r="X293" i="14" s="1"/>
  <c r="Y293" i="14" s="1"/>
  <c r="T293" i="14"/>
  <c r="S293" i="14"/>
  <c r="R293" i="14"/>
  <c r="Q293" i="14"/>
  <c r="U292" i="14"/>
  <c r="T292" i="14"/>
  <c r="S292" i="14"/>
  <c r="R292" i="14"/>
  <c r="Q292" i="14"/>
  <c r="X291" i="14"/>
  <c r="Y291" i="14" s="1"/>
  <c r="U291" i="14"/>
  <c r="T291" i="14"/>
  <c r="S291" i="14"/>
  <c r="R291" i="14"/>
  <c r="Q291" i="14"/>
  <c r="V291" i="14" s="1"/>
  <c r="W291" i="14" s="1"/>
  <c r="I291" i="14" s="1"/>
  <c r="C291" i="14" s="1"/>
  <c r="U290" i="14"/>
  <c r="T290" i="14"/>
  <c r="S290" i="14"/>
  <c r="R290" i="14"/>
  <c r="Q290" i="14"/>
  <c r="U289" i="14"/>
  <c r="T289" i="14"/>
  <c r="S289" i="14"/>
  <c r="X289" i="14" s="1"/>
  <c r="Y289" i="14" s="1"/>
  <c r="R289" i="14"/>
  <c r="Q289" i="14"/>
  <c r="V289" i="14" s="1"/>
  <c r="W289" i="14" s="1"/>
  <c r="I289" i="14"/>
  <c r="C289" i="14" s="1"/>
  <c r="U288" i="14"/>
  <c r="T288" i="14"/>
  <c r="S288" i="14"/>
  <c r="R288" i="14"/>
  <c r="Q288" i="14"/>
  <c r="V288" i="14" s="1"/>
  <c r="U287" i="14"/>
  <c r="T287" i="14"/>
  <c r="S287" i="14"/>
  <c r="R287" i="14"/>
  <c r="Q287" i="14"/>
  <c r="V287" i="14" s="1"/>
  <c r="W287" i="14" s="1"/>
  <c r="I287" i="14" s="1"/>
  <c r="C287" i="14" s="1"/>
  <c r="U286" i="14"/>
  <c r="T286" i="14"/>
  <c r="S286" i="14"/>
  <c r="R286" i="14"/>
  <c r="Q286" i="14"/>
  <c r="U285" i="14"/>
  <c r="T285" i="14"/>
  <c r="S285" i="14"/>
  <c r="R285" i="14"/>
  <c r="Q285" i="14"/>
  <c r="U284" i="14"/>
  <c r="T284" i="14"/>
  <c r="S284" i="14"/>
  <c r="R284" i="14"/>
  <c r="Q284" i="14"/>
  <c r="V284" i="14" s="1"/>
  <c r="W284" i="14" s="1"/>
  <c r="I284" i="14" s="1"/>
  <c r="C284" i="14" s="1"/>
  <c r="U283" i="14"/>
  <c r="T283" i="14"/>
  <c r="S283" i="14"/>
  <c r="R283" i="14"/>
  <c r="Q283" i="14"/>
  <c r="V283" i="14" s="1"/>
  <c r="W283" i="14" s="1"/>
  <c r="I283" i="14" s="1"/>
  <c r="C283" i="14" s="1"/>
  <c r="V282" i="14"/>
  <c r="W282" i="14" s="1"/>
  <c r="I282" i="14" s="1"/>
  <c r="C282" i="14" s="1"/>
  <c r="U282" i="14"/>
  <c r="T282" i="14"/>
  <c r="S282" i="14"/>
  <c r="R282" i="14"/>
  <c r="Q282" i="14"/>
  <c r="U281" i="14"/>
  <c r="T281" i="14"/>
  <c r="S281" i="14"/>
  <c r="R281" i="14"/>
  <c r="Q281" i="14"/>
  <c r="U280" i="14"/>
  <c r="T280" i="14"/>
  <c r="S280" i="14"/>
  <c r="R280" i="14"/>
  <c r="Q280" i="14"/>
  <c r="V280" i="14" s="1"/>
  <c r="W280" i="14" s="1"/>
  <c r="I280" i="14"/>
  <c r="C280" i="14" s="1"/>
  <c r="U279" i="14"/>
  <c r="V279" i="14" s="1"/>
  <c r="W279" i="14" s="1"/>
  <c r="I279" i="14" s="1"/>
  <c r="C279" i="14" s="1"/>
  <c r="T279" i="14"/>
  <c r="S279" i="14"/>
  <c r="R279" i="14"/>
  <c r="Q279" i="14"/>
  <c r="U278" i="14"/>
  <c r="T278" i="14"/>
  <c r="S278" i="14"/>
  <c r="R278" i="14"/>
  <c r="Q278" i="14"/>
  <c r="W277" i="14"/>
  <c r="I277" i="14" s="1"/>
  <c r="C277" i="14" s="1"/>
  <c r="V277" i="14"/>
  <c r="U277" i="14"/>
  <c r="T277" i="14"/>
  <c r="S277" i="14"/>
  <c r="R277" i="14"/>
  <c r="Q277" i="14"/>
  <c r="U276" i="14"/>
  <c r="T276" i="14"/>
  <c r="S276" i="14"/>
  <c r="R276" i="14"/>
  <c r="Q276" i="14"/>
  <c r="V276" i="14" s="1"/>
  <c r="W276" i="14" s="1"/>
  <c r="I276" i="14" s="1"/>
  <c r="C276" i="14" s="1"/>
  <c r="U275" i="14"/>
  <c r="T275" i="14"/>
  <c r="S275" i="14"/>
  <c r="R275" i="14"/>
  <c r="Q275" i="14"/>
  <c r="U274" i="14"/>
  <c r="T274" i="14"/>
  <c r="S274" i="14"/>
  <c r="R274" i="14"/>
  <c r="Q274" i="14"/>
  <c r="V273" i="14"/>
  <c r="U273" i="14"/>
  <c r="T273" i="14"/>
  <c r="S273" i="14"/>
  <c r="R273" i="14"/>
  <c r="Q273" i="14"/>
  <c r="U272" i="14"/>
  <c r="T272" i="14"/>
  <c r="S272" i="14"/>
  <c r="R272" i="14"/>
  <c r="Q272" i="14"/>
  <c r="V272" i="14" s="1"/>
  <c r="W272" i="14" s="1"/>
  <c r="I272" i="14" s="1"/>
  <c r="C272" i="14" s="1"/>
  <c r="X271" i="14"/>
  <c r="Y271" i="14" s="1"/>
  <c r="W271" i="14"/>
  <c r="I271" i="14" s="1"/>
  <c r="C271" i="14" s="1"/>
  <c r="U271" i="14"/>
  <c r="T271" i="14"/>
  <c r="S271" i="14"/>
  <c r="R271" i="14"/>
  <c r="Q271" i="14"/>
  <c r="V271" i="14" s="1"/>
  <c r="U270" i="14"/>
  <c r="T270" i="14"/>
  <c r="S270" i="14"/>
  <c r="X270" i="14" s="1"/>
  <c r="Y270" i="14" s="1"/>
  <c r="R270" i="14"/>
  <c r="Q270" i="14"/>
  <c r="V270" i="14" s="1"/>
  <c r="W270" i="14" s="1"/>
  <c r="I270" i="14" s="1"/>
  <c r="C270" i="14" s="1"/>
  <c r="U269" i="14"/>
  <c r="T269" i="14"/>
  <c r="S269" i="14"/>
  <c r="R269" i="14"/>
  <c r="Q269" i="14"/>
  <c r="V269" i="14" s="1"/>
  <c r="W269" i="14" s="1"/>
  <c r="I269" i="14" s="1"/>
  <c r="C269" i="14" s="1"/>
  <c r="V268" i="14"/>
  <c r="W268" i="14" s="1"/>
  <c r="I268" i="14" s="1"/>
  <c r="C268" i="14" s="1"/>
  <c r="U268" i="14"/>
  <c r="T268" i="14"/>
  <c r="S268" i="14"/>
  <c r="R268" i="14"/>
  <c r="Q268" i="14"/>
  <c r="U267" i="14"/>
  <c r="T267" i="14"/>
  <c r="S267" i="14"/>
  <c r="R267" i="14"/>
  <c r="Q267" i="14"/>
  <c r="V267" i="14" s="1"/>
  <c r="W267" i="14" s="1"/>
  <c r="I267" i="14" s="1"/>
  <c r="C267" i="14" s="1"/>
  <c r="U266" i="14"/>
  <c r="T266" i="14"/>
  <c r="S266" i="14"/>
  <c r="R266" i="14"/>
  <c r="Q266" i="14"/>
  <c r="U265" i="14"/>
  <c r="T265" i="14"/>
  <c r="S265" i="14"/>
  <c r="R265" i="14"/>
  <c r="Q265" i="14"/>
  <c r="V265" i="14" s="1"/>
  <c r="W265" i="14" s="1"/>
  <c r="I265" i="14" s="1"/>
  <c r="C265" i="14" s="1"/>
  <c r="U264" i="14"/>
  <c r="T264" i="14"/>
  <c r="S264" i="14"/>
  <c r="R264" i="14"/>
  <c r="Q264" i="14"/>
  <c r="U263" i="14"/>
  <c r="T263" i="14"/>
  <c r="S263" i="14"/>
  <c r="R263" i="14"/>
  <c r="Q263" i="14"/>
  <c r="V262" i="14"/>
  <c r="W262" i="14" s="1"/>
  <c r="I262" i="14" s="1"/>
  <c r="C262" i="14" s="1"/>
  <c r="U262" i="14"/>
  <c r="T262" i="14"/>
  <c r="S262" i="14"/>
  <c r="R262" i="14"/>
  <c r="X262" i="14" s="1"/>
  <c r="Y262" i="14" s="1"/>
  <c r="Q262" i="14"/>
  <c r="U261" i="14"/>
  <c r="T261" i="14"/>
  <c r="S261" i="14"/>
  <c r="R261" i="14"/>
  <c r="Q261" i="14"/>
  <c r="U260" i="14"/>
  <c r="T260" i="14"/>
  <c r="S260" i="14"/>
  <c r="R260" i="14"/>
  <c r="Q260" i="14"/>
  <c r="V260" i="14" s="1"/>
  <c r="U259" i="14"/>
  <c r="T259" i="14"/>
  <c r="S259" i="14"/>
  <c r="R259" i="14"/>
  <c r="Q259" i="14"/>
  <c r="U258" i="14"/>
  <c r="T258" i="14"/>
  <c r="S258" i="14"/>
  <c r="R258" i="14"/>
  <c r="Q258" i="14"/>
  <c r="U257" i="14"/>
  <c r="X257" i="14" s="1"/>
  <c r="Y257" i="14" s="1"/>
  <c r="T257" i="14"/>
  <c r="S257" i="14"/>
  <c r="R257" i="14"/>
  <c r="Q257" i="14"/>
  <c r="V257" i="14" s="1"/>
  <c r="W257" i="14" s="1"/>
  <c r="I257" i="14" s="1"/>
  <c r="C257" i="14" s="1"/>
  <c r="U256" i="14"/>
  <c r="T256" i="14"/>
  <c r="S256" i="14"/>
  <c r="R256" i="14"/>
  <c r="Q256" i="14"/>
  <c r="V256" i="14" s="1"/>
  <c r="W256" i="14" s="1"/>
  <c r="I256" i="14" s="1"/>
  <c r="C256" i="14" s="1"/>
  <c r="U255" i="14"/>
  <c r="T255" i="14"/>
  <c r="V255" i="14" s="1"/>
  <c r="S255" i="14"/>
  <c r="R255" i="14"/>
  <c r="Q255" i="14"/>
  <c r="U254" i="14"/>
  <c r="T254" i="14"/>
  <c r="S254" i="14"/>
  <c r="R254" i="14"/>
  <c r="Q254" i="14"/>
  <c r="V253" i="14"/>
  <c r="W253" i="14" s="1"/>
  <c r="I253" i="14" s="1"/>
  <c r="C253" i="14" s="1"/>
  <c r="U253" i="14"/>
  <c r="T253" i="14"/>
  <c r="S253" i="14"/>
  <c r="R253" i="14"/>
  <c r="Q253" i="14"/>
  <c r="U252" i="14"/>
  <c r="T252" i="14"/>
  <c r="S252" i="14"/>
  <c r="R252" i="14"/>
  <c r="Q252" i="14"/>
  <c r="V252" i="14" s="1"/>
  <c r="W252" i="14" s="1"/>
  <c r="I252" i="14" s="1"/>
  <c r="C252" i="14" s="1"/>
  <c r="U251" i="14"/>
  <c r="T251" i="14"/>
  <c r="S251" i="14"/>
  <c r="R251" i="14"/>
  <c r="Q251" i="14"/>
  <c r="V251" i="14" s="1"/>
  <c r="W251" i="14" s="1"/>
  <c r="I251" i="14" s="1"/>
  <c r="U250" i="14"/>
  <c r="T250" i="14"/>
  <c r="S250" i="14"/>
  <c r="R250" i="14"/>
  <c r="Q250" i="14"/>
  <c r="U249" i="14"/>
  <c r="T249" i="14"/>
  <c r="S249" i="14"/>
  <c r="R249" i="14"/>
  <c r="Q249" i="14"/>
  <c r="V249" i="14" s="1"/>
  <c r="W249" i="14" s="1"/>
  <c r="I249" i="14" s="1"/>
  <c r="C249" i="14" s="1"/>
  <c r="U248" i="14"/>
  <c r="T248" i="14"/>
  <c r="S248" i="14"/>
  <c r="R248" i="14"/>
  <c r="Q248" i="14"/>
  <c r="V247" i="14"/>
  <c r="W247" i="14" s="1"/>
  <c r="I247" i="14" s="1"/>
  <c r="C247" i="14" s="1"/>
  <c r="U247" i="14"/>
  <c r="T247" i="14"/>
  <c r="S247" i="14"/>
  <c r="R247" i="14"/>
  <c r="Q247" i="14"/>
  <c r="U246" i="14"/>
  <c r="T246" i="14"/>
  <c r="S246" i="14"/>
  <c r="R246" i="14"/>
  <c r="Q246" i="14"/>
  <c r="U245" i="14"/>
  <c r="T245" i="14"/>
  <c r="S245" i="14"/>
  <c r="R245" i="14"/>
  <c r="Q245" i="14"/>
  <c r="V244" i="14"/>
  <c r="W244" i="14" s="1"/>
  <c r="I244" i="14" s="1"/>
  <c r="C244" i="14" s="1"/>
  <c r="U244" i="14"/>
  <c r="T244" i="14"/>
  <c r="X244" i="14" s="1"/>
  <c r="Y244" i="14" s="1"/>
  <c r="S244" i="14"/>
  <c r="R244" i="14"/>
  <c r="Q244" i="14"/>
  <c r="U243" i="14"/>
  <c r="T243" i="14"/>
  <c r="S243" i="14"/>
  <c r="R243" i="14"/>
  <c r="Q243" i="14"/>
  <c r="V243" i="14" s="1"/>
  <c r="W243" i="14" s="1"/>
  <c r="I243" i="14"/>
  <c r="C243" i="14" s="1"/>
  <c r="U242" i="14"/>
  <c r="T242" i="14"/>
  <c r="S242" i="14"/>
  <c r="R242" i="14"/>
  <c r="Q242" i="14"/>
  <c r="U241" i="14"/>
  <c r="T241" i="14"/>
  <c r="S241" i="14"/>
  <c r="R241" i="14"/>
  <c r="Q241" i="14"/>
  <c r="U240" i="14"/>
  <c r="T240" i="14"/>
  <c r="S240" i="14"/>
  <c r="R240" i="14"/>
  <c r="Q240" i="14"/>
  <c r="V240" i="14" s="1"/>
  <c r="W240" i="14" s="1"/>
  <c r="I240" i="14" s="1"/>
  <c r="C240" i="14"/>
  <c r="X239" i="14"/>
  <c r="Y239" i="14" s="1"/>
  <c r="V239" i="14"/>
  <c r="W239" i="14" s="1"/>
  <c r="I239" i="14" s="1"/>
  <c r="C239" i="14" s="1"/>
  <c r="U239" i="14"/>
  <c r="T239" i="14"/>
  <c r="S239" i="14"/>
  <c r="R239" i="14"/>
  <c r="Q239" i="14"/>
  <c r="U238" i="14"/>
  <c r="T238" i="14"/>
  <c r="S238" i="14"/>
  <c r="R238" i="14"/>
  <c r="Q238" i="14"/>
  <c r="U237" i="14"/>
  <c r="T237" i="14"/>
  <c r="S237" i="14"/>
  <c r="R237" i="14"/>
  <c r="Q237" i="14"/>
  <c r="U236" i="14"/>
  <c r="T236" i="14"/>
  <c r="S236" i="14"/>
  <c r="R236" i="14"/>
  <c r="Q236" i="14"/>
  <c r="U235" i="14"/>
  <c r="T235" i="14"/>
  <c r="S235" i="14"/>
  <c r="R235" i="14"/>
  <c r="Q235" i="14"/>
  <c r="U234" i="14"/>
  <c r="T234" i="14"/>
  <c r="S234" i="14"/>
  <c r="R234" i="14"/>
  <c r="Q234" i="14"/>
  <c r="U233" i="14"/>
  <c r="T233" i="14"/>
  <c r="S233" i="14"/>
  <c r="R233" i="14"/>
  <c r="Q233" i="14"/>
  <c r="V233" i="14" s="1"/>
  <c r="W233" i="14" s="1"/>
  <c r="I233" i="14" s="1"/>
  <c r="C233" i="14" s="1"/>
  <c r="U232" i="14"/>
  <c r="T232" i="14"/>
  <c r="S232" i="14"/>
  <c r="R232" i="14"/>
  <c r="Q232" i="14"/>
  <c r="V232" i="14" s="1"/>
  <c r="W232" i="14" s="1"/>
  <c r="I232" i="14" s="1"/>
  <c r="C232" i="14" s="1"/>
  <c r="U231" i="14"/>
  <c r="T231" i="14"/>
  <c r="S231" i="14"/>
  <c r="R231" i="14"/>
  <c r="Q231" i="14"/>
  <c r="U230" i="14"/>
  <c r="T230" i="14"/>
  <c r="S230" i="14"/>
  <c r="R230" i="14"/>
  <c r="Q230" i="14"/>
  <c r="U229" i="14"/>
  <c r="T229" i="14"/>
  <c r="S229" i="14"/>
  <c r="R229" i="14"/>
  <c r="Q229" i="14"/>
  <c r="V229" i="14" s="1"/>
  <c r="W229" i="14" s="1"/>
  <c r="I229" i="14" s="1"/>
  <c r="C229" i="14"/>
  <c r="V228" i="14"/>
  <c r="U228" i="14"/>
  <c r="T228" i="14"/>
  <c r="S228" i="14"/>
  <c r="R228" i="14"/>
  <c r="Q228" i="14"/>
  <c r="U227" i="14"/>
  <c r="T227" i="14"/>
  <c r="S227" i="14"/>
  <c r="R227" i="14"/>
  <c r="Q227" i="14"/>
  <c r="V227" i="14" s="1"/>
  <c r="W227" i="14" s="1"/>
  <c r="I227" i="14" s="1"/>
  <c r="C227" i="14" s="1"/>
  <c r="V226" i="14"/>
  <c r="W226" i="14" s="1"/>
  <c r="I226" i="14" s="1"/>
  <c r="C226" i="14" s="1"/>
  <c r="U226" i="14"/>
  <c r="T226" i="14"/>
  <c r="S226" i="14"/>
  <c r="R226" i="14"/>
  <c r="Q226" i="14"/>
  <c r="U225" i="14"/>
  <c r="T225" i="14"/>
  <c r="X225" i="14" s="1"/>
  <c r="Y225" i="14" s="1"/>
  <c r="S225" i="14"/>
  <c r="R225" i="14"/>
  <c r="Q225" i="14"/>
  <c r="V225" i="14" s="1"/>
  <c r="W225" i="14" s="1"/>
  <c r="I225" i="14" s="1"/>
  <c r="C225" i="14" s="1"/>
  <c r="U224" i="14"/>
  <c r="T224" i="14"/>
  <c r="S224" i="14"/>
  <c r="R224" i="14"/>
  <c r="Q224" i="14"/>
  <c r="U223" i="14"/>
  <c r="T223" i="14"/>
  <c r="S223" i="14"/>
  <c r="R223" i="14"/>
  <c r="Q223" i="14"/>
  <c r="U222" i="14"/>
  <c r="T222" i="14"/>
  <c r="S222" i="14"/>
  <c r="R222" i="14"/>
  <c r="Q222" i="14"/>
  <c r="V222" i="14" s="1"/>
  <c r="W222" i="14" s="1"/>
  <c r="I222" i="14" s="1"/>
  <c r="C222" i="14" s="1"/>
  <c r="U221" i="14"/>
  <c r="T221" i="14"/>
  <c r="S221" i="14"/>
  <c r="R221" i="14"/>
  <c r="Q221" i="14"/>
  <c r="U220" i="14"/>
  <c r="T220" i="14"/>
  <c r="S220" i="14"/>
  <c r="R220" i="14"/>
  <c r="Q220" i="14"/>
  <c r="U219" i="14"/>
  <c r="T219" i="14"/>
  <c r="S219" i="14"/>
  <c r="R219" i="14"/>
  <c r="Q219" i="14"/>
  <c r="V219" i="14" s="1"/>
  <c r="U218" i="14"/>
  <c r="T218" i="14"/>
  <c r="S218" i="14"/>
  <c r="R218" i="14"/>
  <c r="X218" i="14" s="1"/>
  <c r="Y218" i="14" s="1"/>
  <c r="Q218" i="14"/>
  <c r="V218" i="14" s="1"/>
  <c r="W218" i="14" s="1"/>
  <c r="I218" i="14" s="1"/>
  <c r="C218" i="14" s="1"/>
  <c r="U217" i="14"/>
  <c r="T217" i="14"/>
  <c r="S217" i="14"/>
  <c r="R217" i="14"/>
  <c r="Q217" i="14"/>
  <c r="U216" i="14"/>
  <c r="T216" i="14"/>
  <c r="S216" i="14"/>
  <c r="R216" i="14"/>
  <c r="Q216" i="14"/>
  <c r="V216" i="14" s="1"/>
  <c r="W216" i="14" s="1"/>
  <c r="I216" i="14" s="1"/>
  <c r="C216" i="14" s="1"/>
  <c r="X215" i="14"/>
  <c r="Y215" i="14" s="1"/>
  <c r="V215" i="14"/>
  <c r="W215" i="14" s="1"/>
  <c r="I215" i="14" s="1"/>
  <c r="U215" i="14"/>
  <c r="T215" i="14"/>
  <c r="S215" i="14"/>
  <c r="R215" i="14"/>
  <c r="Q215" i="14"/>
  <c r="U214" i="14"/>
  <c r="T214" i="14"/>
  <c r="S214" i="14"/>
  <c r="R214" i="14"/>
  <c r="Q214" i="14"/>
  <c r="V213" i="14"/>
  <c r="W213" i="14" s="1"/>
  <c r="I213" i="14" s="1"/>
  <c r="C213" i="14" s="1"/>
  <c r="U213" i="14"/>
  <c r="T213" i="14"/>
  <c r="S213" i="14"/>
  <c r="R213" i="14"/>
  <c r="Q213" i="14"/>
  <c r="U212" i="14"/>
  <c r="T212" i="14"/>
  <c r="S212" i="14"/>
  <c r="R212" i="14"/>
  <c r="Q212" i="14"/>
  <c r="V212" i="14" s="1"/>
  <c r="W212" i="14" s="1"/>
  <c r="I212" i="14" s="1"/>
  <c r="C212" i="14" s="1"/>
  <c r="U211" i="14"/>
  <c r="T211" i="14"/>
  <c r="S211" i="14"/>
  <c r="R211" i="14"/>
  <c r="Q211" i="14"/>
  <c r="V210" i="14"/>
  <c r="W210" i="14" s="1"/>
  <c r="I210" i="14" s="1"/>
  <c r="C210" i="14" s="1"/>
  <c r="U210" i="14"/>
  <c r="T210" i="14"/>
  <c r="X210" i="14" s="1"/>
  <c r="Y210" i="14" s="1"/>
  <c r="S210" i="14"/>
  <c r="R210" i="14"/>
  <c r="Q210" i="14"/>
  <c r="U209" i="14"/>
  <c r="T209" i="14"/>
  <c r="S209" i="14"/>
  <c r="R209" i="14"/>
  <c r="Q209" i="14"/>
  <c r="V209" i="14" s="1"/>
  <c r="W209" i="14" s="1"/>
  <c r="I209" i="14" s="1"/>
  <c r="C209" i="14" s="1"/>
  <c r="U208" i="14"/>
  <c r="T208" i="14"/>
  <c r="S208" i="14"/>
  <c r="R208" i="14"/>
  <c r="Q208" i="14"/>
  <c r="V208" i="14" s="1"/>
  <c r="W208" i="14" s="1"/>
  <c r="I208" i="14" s="1"/>
  <c r="C208" i="14" s="1"/>
  <c r="V207" i="14"/>
  <c r="W207" i="14" s="1"/>
  <c r="I207" i="14" s="1"/>
  <c r="C207" i="14" s="1"/>
  <c r="U207" i="14"/>
  <c r="T207" i="14"/>
  <c r="S207" i="14"/>
  <c r="R207" i="14"/>
  <c r="Q207" i="14"/>
  <c r="U206" i="14"/>
  <c r="T206" i="14"/>
  <c r="S206" i="14"/>
  <c r="R206" i="14"/>
  <c r="Q206" i="14"/>
  <c r="U205" i="14"/>
  <c r="T205" i="14"/>
  <c r="S205" i="14"/>
  <c r="R205" i="14"/>
  <c r="Q205" i="14"/>
  <c r="U204" i="14"/>
  <c r="T204" i="14"/>
  <c r="S204" i="14"/>
  <c r="R204" i="14"/>
  <c r="Q204" i="14"/>
  <c r="U203" i="14"/>
  <c r="T203" i="14"/>
  <c r="S203" i="14"/>
  <c r="R203" i="14"/>
  <c r="Q203" i="14"/>
  <c r="U202" i="14"/>
  <c r="T202" i="14"/>
  <c r="S202" i="14"/>
  <c r="R202" i="14"/>
  <c r="Q202" i="14"/>
  <c r="U201" i="14"/>
  <c r="T201" i="14"/>
  <c r="S201" i="14"/>
  <c r="R201" i="14"/>
  <c r="Q201" i="14"/>
  <c r="V201" i="14" s="1"/>
  <c r="W201" i="14" s="1"/>
  <c r="I201" i="14" s="1"/>
  <c r="C201" i="14" s="1"/>
  <c r="V200" i="14"/>
  <c r="W200" i="14" s="1"/>
  <c r="I200" i="14" s="1"/>
  <c r="C200" i="14" s="1"/>
  <c r="U200" i="14"/>
  <c r="T200" i="14"/>
  <c r="S200" i="14"/>
  <c r="R200" i="14"/>
  <c r="Q200" i="14"/>
  <c r="U199" i="14"/>
  <c r="T199" i="14"/>
  <c r="S199" i="14"/>
  <c r="R199" i="14"/>
  <c r="Q199" i="14"/>
  <c r="V199" i="14" s="1"/>
  <c r="U198" i="14"/>
  <c r="T198" i="14"/>
  <c r="S198" i="14"/>
  <c r="R198" i="14"/>
  <c r="Q198" i="14"/>
  <c r="V198" i="14" s="1"/>
  <c r="W198" i="14" s="1"/>
  <c r="I198" i="14" s="1"/>
  <c r="C198" i="14" s="1"/>
  <c r="W197" i="14"/>
  <c r="I197" i="14" s="1"/>
  <c r="C197" i="14" s="1"/>
  <c r="V197" i="14"/>
  <c r="U197" i="14"/>
  <c r="T197" i="14"/>
  <c r="S197" i="14"/>
  <c r="R197" i="14"/>
  <c r="Q197" i="14"/>
  <c r="U196" i="14"/>
  <c r="T196" i="14"/>
  <c r="S196" i="14"/>
  <c r="R196" i="14"/>
  <c r="Q196" i="14"/>
  <c r="U195" i="14"/>
  <c r="T195" i="14"/>
  <c r="S195" i="14"/>
  <c r="R195" i="14"/>
  <c r="Q195" i="14"/>
  <c r="U194" i="14"/>
  <c r="T194" i="14"/>
  <c r="S194" i="14"/>
  <c r="R194" i="14"/>
  <c r="Q194" i="14"/>
  <c r="U193" i="14"/>
  <c r="T193" i="14"/>
  <c r="S193" i="14"/>
  <c r="R193" i="14"/>
  <c r="Q193" i="14"/>
  <c r="X192" i="14"/>
  <c r="Y192" i="14" s="1"/>
  <c r="U192" i="14"/>
  <c r="T192" i="14"/>
  <c r="S192" i="14"/>
  <c r="R192" i="14"/>
  <c r="Q192" i="14"/>
  <c r="V192" i="14" s="1"/>
  <c r="W192" i="14" s="1"/>
  <c r="I192" i="14" s="1"/>
  <c r="C192" i="14" s="1"/>
  <c r="AH191" i="14"/>
  <c r="U191" i="14"/>
  <c r="T191" i="14"/>
  <c r="S191" i="14"/>
  <c r="V191" i="14" s="1"/>
  <c r="W191" i="14" s="1"/>
  <c r="R191" i="14"/>
  <c r="Q191" i="14"/>
  <c r="I191" i="14"/>
  <c r="C191" i="14" s="1"/>
  <c r="V190" i="14"/>
  <c r="W190" i="14" s="1"/>
  <c r="I190" i="14" s="1"/>
  <c r="C190" i="14" s="1"/>
  <c r="U190" i="14"/>
  <c r="T190" i="14"/>
  <c r="S190" i="14"/>
  <c r="R190" i="14"/>
  <c r="Q190" i="14"/>
  <c r="AH189" i="14"/>
  <c r="V189" i="14"/>
  <c r="W189" i="14" s="1"/>
  <c r="U189" i="14"/>
  <c r="T189" i="14"/>
  <c r="S189" i="14"/>
  <c r="R189" i="14"/>
  <c r="Q189" i="14"/>
  <c r="I189" i="14"/>
  <c r="C189" i="14" s="1"/>
  <c r="U188" i="14"/>
  <c r="T188" i="14"/>
  <c r="S188" i="14"/>
  <c r="R188" i="14"/>
  <c r="Q188" i="14"/>
  <c r="V188" i="14" s="1"/>
  <c r="W188" i="14" s="1"/>
  <c r="I188" i="14" s="1"/>
  <c r="C188" i="14" s="1"/>
  <c r="AH187" i="14"/>
  <c r="U187" i="14"/>
  <c r="T187" i="14"/>
  <c r="S187" i="14"/>
  <c r="R187" i="14"/>
  <c r="Q187" i="14"/>
  <c r="U186" i="14"/>
  <c r="T186" i="14"/>
  <c r="S186" i="14"/>
  <c r="R186" i="14"/>
  <c r="Q186" i="14"/>
  <c r="U185" i="14"/>
  <c r="T185" i="14"/>
  <c r="S185" i="14"/>
  <c r="R185" i="14"/>
  <c r="Q185" i="14"/>
  <c r="V185" i="14" s="1"/>
  <c r="W185" i="14" s="1"/>
  <c r="I185" i="14" s="1"/>
  <c r="C185" i="14" s="1"/>
  <c r="U184" i="14"/>
  <c r="T184" i="14"/>
  <c r="S184" i="14"/>
  <c r="R184" i="14"/>
  <c r="X184" i="14" s="1"/>
  <c r="Y184" i="14" s="1"/>
  <c r="Q184" i="14"/>
  <c r="V184" i="14" s="1"/>
  <c r="W184" i="14" s="1"/>
  <c r="I184" i="14" s="1"/>
  <c r="C184" i="14" s="1"/>
  <c r="U183" i="14"/>
  <c r="T183" i="14"/>
  <c r="S183" i="14"/>
  <c r="R183" i="14"/>
  <c r="Q183" i="14"/>
  <c r="U182" i="14"/>
  <c r="T182" i="14"/>
  <c r="S182" i="14"/>
  <c r="R182" i="14"/>
  <c r="Q182" i="14"/>
  <c r="V182" i="14" s="1"/>
  <c r="W182" i="14" s="1"/>
  <c r="I182" i="14" s="1"/>
  <c r="C182" i="14" s="1"/>
  <c r="AH181" i="14"/>
  <c r="U181" i="14"/>
  <c r="T181" i="14"/>
  <c r="S181" i="14"/>
  <c r="V181" i="14" s="1"/>
  <c r="W181" i="14" s="1"/>
  <c r="I181" i="14" s="1"/>
  <c r="C181" i="14" s="1"/>
  <c r="R181" i="14"/>
  <c r="Q181" i="14"/>
  <c r="U180" i="14"/>
  <c r="T180" i="14"/>
  <c r="S180" i="14"/>
  <c r="R180" i="14"/>
  <c r="Q180" i="14"/>
  <c r="U179" i="14"/>
  <c r="T179" i="14"/>
  <c r="S179" i="14"/>
  <c r="R179" i="14"/>
  <c r="Q179" i="14"/>
  <c r="V179" i="14" s="1"/>
  <c r="V178" i="14"/>
  <c r="W178" i="14" s="1"/>
  <c r="I178" i="14" s="1"/>
  <c r="C178" i="14" s="1"/>
  <c r="U178" i="14"/>
  <c r="T178" i="14"/>
  <c r="S178" i="14"/>
  <c r="R178" i="14"/>
  <c r="Q178" i="14"/>
  <c r="AI177" i="14"/>
  <c r="U177" i="14"/>
  <c r="T177" i="14"/>
  <c r="S177" i="14"/>
  <c r="R177" i="14"/>
  <c r="Q177" i="14"/>
  <c r="U176" i="14"/>
  <c r="T176" i="14"/>
  <c r="V176" i="14" s="1"/>
  <c r="W176" i="14" s="1"/>
  <c r="I176" i="14" s="1"/>
  <c r="C176" i="14" s="1"/>
  <c r="S176" i="14"/>
  <c r="R176" i="14"/>
  <c r="Q176" i="14"/>
  <c r="U175" i="14"/>
  <c r="T175" i="14"/>
  <c r="S175" i="14"/>
  <c r="R175" i="14"/>
  <c r="Q175" i="14"/>
  <c r="AI174" i="14"/>
  <c r="U174" i="14"/>
  <c r="T174" i="14"/>
  <c r="V174" i="14" s="1"/>
  <c r="W174" i="14" s="1"/>
  <c r="I174" i="14" s="1"/>
  <c r="C174" i="14" s="1"/>
  <c r="S174" i="14"/>
  <c r="R174" i="14"/>
  <c r="Q174" i="14"/>
  <c r="AH173" i="14"/>
  <c r="U173" i="14"/>
  <c r="T173" i="14"/>
  <c r="S173" i="14"/>
  <c r="R173" i="14"/>
  <c r="Q173" i="14"/>
  <c r="V173" i="14" s="1"/>
  <c r="W173" i="14" s="1"/>
  <c r="I173" i="14" s="1"/>
  <c r="C173" i="14" s="1"/>
  <c r="AH172" i="14"/>
  <c r="U172" i="14"/>
  <c r="T172" i="14"/>
  <c r="S172" i="14"/>
  <c r="R172" i="14"/>
  <c r="Q172" i="14"/>
  <c r="AH171" i="14"/>
  <c r="U171" i="14"/>
  <c r="T171" i="14"/>
  <c r="S171" i="14"/>
  <c r="R171" i="14"/>
  <c r="Q171" i="14"/>
  <c r="U170" i="14"/>
  <c r="T170" i="14"/>
  <c r="S170" i="14"/>
  <c r="R170" i="14"/>
  <c r="Q170" i="14"/>
  <c r="V170" i="14" s="1"/>
  <c r="W170" i="14" s="1"/>
  <c r="I170" i="14" s="1"/>
  <c r="C170" i="14" s="1"/>
  <c r="AH169" i="14"/>
  <c r="U169" i="14"/>
  <c r="T169" i="14"/>
  <c r="S169" i="14"/>
  <c r="R169" i="14"/>
  <c r="Q169" i="14"/>
  <c r="V169" i="14" s="1"/>
  <c r="W169" i="14" s="1"/>
  <c r="I169" i="14" s="1"/>
  <c r="C169" i="14" s="1"/>
  <c r="U168" i="14"/>
  <c r="T168" i="14"/>
  <c r="S168" i="14"/>
  <c r="R168" i="14"/>
  <c r="Q168" i="14"/>
  <c r="V167" i="14"/>
  <c r="W167" i="14" s="1"/>
  <c r="I167" i="14" s="1"/>
  <c r="C167" i="14" s="1"/>
  <c r="U167" i="14"/>
  <c r="T167" i="14"/>
  <c r="S167" i="14"/>
  <c r="R167" i="14"/>
  <c r="Q167" i="14"/>
  <c r="U166" i="14"/>
  <c r="T166" i="14"/>
  <c r="S166" i="14"/>
  <c r="R166" i="14"/>
  <c r="Q166" i="14"/>
  <c r="V166" i="14" s="1"/>
  <c r="W166" i="14" s="1"/>
  <c r="I166" i="14" s="1"/>
  <c r="C166" i="14" s="1"/>
  <c r="U165" i="14"/>
  <c r="T165" i="14"/>
  <c r="S165" i="14"/>
  <c r="R165" i="14"/>
  <c r="Q165" i="14"/>
  <c r="U164" i="14"/>
  <c r="X164" i="14" s="1"/>
  <c r="Y164" i="14" s="1"/>
  <c r="T164" i="14"/>
  <c r="S164" i="14"/>
  <c r="R164" i="14"/>
  <c r="Q164" i="14"/>
  <c r="V164" i="14" s="1"/>
  <c r="W164" i="14" s="1"/>
  <c r="I164" i="14" s="1"/>
  <c r="C164" i="14" s="1"/>
  <c r="U163" i="14"/>
  <c r="T163" i="14"/>
  <c r="S163" i="14"/>
  <c r="R163" i="14"/>
  <c r="Q163" i="14"/>
  <c r="U162" i="14"/>
  <c r="T162" i="14"/>
  <c r="S162" i="14"/>
  <c r="R162" i="14"/>
  <c r="V162" i="14" s="1"/>
  <c r="W162" i="14" s="1"/>
  <c r="I162" i="14" s="1"/>
  <c r="C162" i="14" s="1"/>
  <c r="Q162" i="14"/>
  <c r="AH161" i="14"/>
  <c r="U161" i="14"/>
  <c r="T161" i="14"/>
  <c r="S161" i="14"/>
  <c r="R161" i="14"/>
  <c r="Q161" i="14"/>
  <c r="U160" i="14"/>
  <c r="T160" i="14"/>
  <c r="S160" i="14"/>
  <c r="R160" i="14"/>
  <c r="V160" i="14" s="1"/>
  <c r="W160" i="14" s="1"/>
  <c r="I160" i="14" s="1"/>
  <c r="C160" i="14" s="1"/>
  <c r="Q160" i="14"/>
  <c r="AH159" i="14"/>
  <c r="U159" i="14"/>
  <c r="T159" i="14"/>
  <c r="S159" i="14"/>
  <c r="R159" i="14"/>
  <c r="X159" i="14" s="1"/>
  <c r="Y159" i="14" s="1"/>
  <c r="Q159" i="14"/>
  <c r="V159" i="14" s="1"/>
  <c r="W159" i="14" s="1"/>
  <c r="I159" i="14"/>
  <c r="C159" i="14" s="1"/>
  <c r="W158" i="14"/>
  <c r="I158" i="14" s="1"/>
  <c r="C158" i="14" s="1"/>
  <c r="V158" i="14"/>
  <c r="U158" i="14"/>
  <c r="T158" i="14"/>
  <c r="S158" i="14"/>
  <c r="R158" i="14"/>
  <c r="Q158" i="14"/>
  <c r="U157" i="14"/>
  <c r="T157" i="14"/>
  <c r="S157" i="14"/>
  <c r="X157" i="14" s="1"/>
  <c r="Y157" i="14" s="1"/>
  <c r="R157" i="14"/>
  <c r="Q157" i="14"/>
  <c r="V157" i="14" s="1"/>
  <c r="W157" i="14" s="1"/>
  <c r="I157" i="14" s="1"/>
  <c r="C157" i="14" s="1"/>
  <c r="U156" i="14"/>
  <c r="T156" i="14"/>
  <c r="S156" i="14"/>
  <c r="R156" i="14"/>
  <c r="Q156" i="14"/>
  <c r="U155" i="14"/>
  <c r="T155" i="14"/>
  <c r="S155" i="14"/>
  <c r="R155" i="14"/>
  <c r="Q155" i="14"/>
  <c r="V155" i="14" s="1"/>
  <c r="W155" i="14" s="1"/>
  <c r="I155" i="14" s="1"/>
  <c r="C155" i="14" s="1"/>
  <c r="U154" i="14"/>
  <c r="T154" i="14"/>
  <c r="S154" i="14"/>
  <c r="R154" i="14"/>
  <c r="Q154" i="14"/>
  <c r="U153" i="14"/>
  <c r="T153" i="14"/>
  <c r="S153" i="14"/>
  <c r="R153" i="14"/>
  <c r="Q153" i="14"/>
  <c r="AH152" i="14"/>
  <c r="U152" i="14"/>
  <c r="T152" i="14"/>
  <c r="S152" i="14"/>
  <c r="R152" i="14"/>
  <c r="Q152" i="14"/>
  <c r="U151" i="14"/>
  <c r="T151" i="14"/>
  <c r="S151" i="14"/>
  <c r="R151" i="14"/>
  <c r="Q151" i="14"/>
  <c r="V151" i="14" s="1"/>
  <c r="W151" i="14" s="1"/>
  <c r="I151" i="14" s="1"/>
  <c r="C151" i="14" s="1"/>
  <c r="AH150" i="14"/>
  <c r="U150" i="14"/>
  <c r="T150" i="14"/>
  <c r="S150" i="14"/>
  <c r="R150" i="14"/>
  <c r="Q150" i="14"/>
  <c r="V150" i="14" s="1"/>
  <c r="W150" i="14" s="1"/>
  <c r="I150" i="14" s="1"/>
  <c r="C150" i="14" s="1"/>
  <c r="W149" i="14"/>
  <c r="I149" i="14" s="1"/>
  <c r="C149" i="14" s="1"/>
  <c r="V149" i="14"/>
  <c r="U149" i="14"/>
  <c r="T149" i="14"/>
  <c r="S149" i="14"/>
  <c r="R149" i="14"/>
  <c r="Q149" i="14"/>
  <c r="U148" i="14"/>
  <c r="T148" i="14"/>
  <c r="X148" i="14" s="1"/>
  <c r="Y148" i="14" s="1"/>
  <c r="S148" i="14"/>
  <c r="R148" i="14"/>
  <c r="Q148" i="14"/>
  <c r="V148" i="14" s="1"/>
  <c r="W148" i="14" s="1"/>
  <c r="I148" i="14" s="1"/>
  <c r="C148" i="14" s="1"/>
  <c r="U147" i="14"/>
  <c r="T147" i="14"/>
  <c r="S147" i="14"/>
  <c r="R147" i="14"/>
  <c r="Q147" i="14"/>
  <c r="U146" i="14"/>
  <c r="T146" i="14"/>
  <c r="S146" i="14"/>
  <c r="R146" i="14"/>
  <c r="Q146" i="14"/>
  <c r="U145" i="14"/>
  <c r="T145" i="14"/>
  <c r="S145" i="14"/>
  <c r="R145" i="14"/>
  <c r="Q145" i="14"/>
  <c r="U144" i="14"/>
  <c r="T144" i="14"/>
  <c r="S144" i="14"/>
  <c r="R144" i="14"/>
  <c r="Q144" i="14"/>
  <c r="U143" i="14"/>
  <c r="T143" i="14"/>
  <c r="S143" i="14"/>
  <c r="R143" i="14"/>
  <c r="Q143" i="14"/>
  <c r="V143" i="14" s="1"/>
  <c r="W143" i="14" s="1"/>
  <c r="I143" i="14" s="1"/>
  <c r="C143" i="14" s="1"/>
  <c r="Y142" i="14"/>
  <c r="X142" i="14"/>
  <c r="V142" i="14"/>
  <c r="W142" i="14" s="1"/>
  <c r="I142" i="14" s="1"/>
  <c r="C142" i="14" s="1"/>
  <c r="U142" i="14"/>
  <c r="T142" i="14"/>
  <c r="S142" i="14"/>
  <c r="R142" i="14"/>
  <c r="Q142" i="14"/>
  <c r="U141" i="14"/>
  <c r="T141" i="14"/>
  <c r="S141" i="14"/>
  <c r="R141" i="14"/>
  <c r="Q141" i="14"/>
  <c r="V141" i="14" s="1"/>
  <c r="V140" i="14"/>
  <c r="W140" i="14" s="1"/>
  <c r="I140" i="14" s="1"/>
  <c r="C140" i="14" s="1"/>
  <c r="U140" i="14"/>
  <c r="T140" i="14"/>
  <c r="S140" i="14"/>
  <c r="R140" i="14"/>
  <c r="Q140" i="14"/>
  <c r="U139" i="14"/>
  <c r="T139" i="14"/>
  <c r="S139" i="14"/>
  <c r="R139" i="14"/>
  <c r="Q139" i="14"/>
  <c r="U138" i="14"/>
  <c r="T138" i="14"/>
  <c r="S138" i="14"/>
  <c r="R138" i="14"/>
  <c r="Q138" i="14"/>
  <c r="U137" i="14"/>
  <c r="T137" i="14"/>
  <c r="S137" i="14"/>
  <c r="R137" i="14"/>
  <c r="Q137" i="14"/>
  <c r="V137" i="14" s="1"/>
  <c r="W137" i="14" s="1"/>
  <c r="I137" i="14" s="1"/>
  <c r="C137" i="14" s="1"/>
  <c r="U136" i="14"/>
  <c r="T136" i="14"/>
  <c r="S136" i="14"/>
  <c r="R136" i="14"/>
  <c r="Q136" i="14"/>
  <c r="V136" i="14" s="1"/>
  <c r="W136" i="14" s="1"/>
  <c r="I136" i="14" s="1"/>
  <c r="C136" i="14" s="1"/>
  <c r="W135" i="14"/>
  <c r="I135" i="14" s="1"/>
  <c r="C135" i="14" s="1"/>
  <c r="V135" i="14"/>
  <c r="U135" i="14"/>
  <c r="T135" i="14"/>
  <c r="S135" i="14"/>
  <c r="R135" i="14"/>
  <c r="Q135" i="14"/>
  <c r="U134" i="14"/>
  <c r="T134" i="14"/>
  <c r="S134" i="14"/>
  <c r="R134" i="14"/>
  <c r="Q134" i="14"/>
  <c r="U133" i="14"/>
  <c r="T133" i="14"/>
  <c r="S133" i="14"/>
  <c r="R133" i="14"/>
  <c r="Q133" i="14"/>
  <c r="U132" i="14"/>
  <c r="T132" i="14"/>
  <c r="S132" i="14"/>
  <c r="R132" i="14"/>
  <c r="Q132" i="14"/>
  <c r="U131" i="14"/>
  <c r="T131" i="14"/>
  <c r="S131" i="14"/>
  <c r="R131" i="14"/>
  <c r="Q131" i="14"/>
  <c r="U130" i="14"/>
  <c r="T130" i="14"/>
  <c r="S130" i="14"/>
  <c r="R130" i="14"/>
  <c r="Q130" i="14"/>
  <c r="V130" i="14" s="1"/>
  <c r="W130" i="14" s="1"/>
  <c r="I130" i="14" s="1"/>
  <c r="C130" i="14" s="1"/>
  <c r="U129" i="14"/>
  <c r="T129" i="14"/>
  <c r="S129" i="14"/>
  <c r="R129" i="14"/>
  <c r="Q129" i="14"/>
  <c r="V129" i="14" s="1"/>
  <c r="W129" i="14" s="1"/>
  <c r="I129" i="14" s="1"/>
  <c r="C129" i="14" s="1"/>
  <c r="V128" i="14"/>
  <c r="W128" i="14" s="1"/>
  <c r="I128" i="14" s="1"/>
  <c r="C128" i="14" s="1"/>
  <c r="U128" i="14"/>
  <c r="T128" i="14"/>
  <c r="S128" i="14"/>
  <c r="R128" i="14"/>
  <c r="Q128" i="14"/>
  <c r="AI127" i="14"/>
  <c r="U127" i="14"/>
  <c r="T127" i="14"/>
  <c r="S127" i="14"/>
  <c r="R127" i="14"/>
  <c r="Q127" i="14"/>
  <c r="V127" i="14" s="1"/>
  <c r="W127" i="14" s="1"/>
  <c r="I127" i="14" s="1"/>
  <c r="C127" i="14" s="1"/>
  <c r="AI126" i="14"/>
  <c r="U126" i="14"/>
  <c r="T126" i="14"/>
  <c r="S126" i="14"/>
  <c r="R126" i="14"/>
  <c r="Q126" i="14"/>
  <c r="AI125" i="14"/>
  <c r="U125" i="14"/>
  <c r="T125" i="14"/>
  <c r="S125" i="14"/>
  <c r="R125" i="14"/>
  <c r="Q125" i="14"/>
  <c r="AI124" i="14"/>
  <c r="V124" i="14"/>
  <c r="W124" i="14" s="1"/>
  <c r="I124" i="14" s="1"/>
  <c r="C124" i="14" s="1"/>
  <c r="U124" i="14"/>
  <c r="T124" i="14"/>
  <c r="S124" i="14"/>
  <c r="R124" i="14"/>
  <c r="Q124" i="14"/>
  <c r="AH123" i="14"/>
  <c r="U123" i="14"/>
  <c r="T123" i="14"/>
  <c r="S123" i="14"/>
  <c r="R123" i="14"/>
  <c r="X123" i="14" s="1"/>
  <c r="Y123" i="14" s="1"/>
  <c r="Q123" i="14"/>
  <c r="V123" i="14" s="1"/>
  <c r="W123" i="14" s="1"/>
  <c r="I123" i="14" s="1"/>
  <c r="C123" i="14"/>
  <c r="AH122" i="14"/>
  <c r="V122" i="14"/>
  <c r="W122" i="14" s="1"/>
  <c r="I122" i="14" s="1"/>
  <c r="C122" i="14" s="1"/>
  <c r="U122" i="14"/>
  <c r="T122" i="14"/>
  <c r="S122" i="14"/>
  <c r="R122" i="14"/>
  <c r="Q122" i="14"/>
  <c r="AH121" i="14"/>
  <c r="U121" i="14"/>
  <c r="T121" i="14"/>
  <c r="S121" i="14"/>
  <c r="R121" i="14"/>
  <c r="X121" i="14" s="1"/>
  <c r="Y121" i="14" s="1"/>
  <c r="Q121" i="14"/>
  <c r="V121" i="14" s="1"/>
  <c r="W121" i="14" s="1"/>
  <c r="I121" i="14"/>
  <c r="C121" i="14" s="1"/>
  <c r="AH120" i="14"/>
  <c r="U120" i="14"/>
  <c r="T120" i="14"/>
  <c r="S120" i="14"/>
  <c r="R120" i="14"/>
  <c r="Q120" i="14"/>
  <c r="U119" i="14"/>
  <c r="T119" i="14"/>
  <c r="S119" i="14"/>
  <c r="R119" i="14"/>
  <c r="Q119" i="14"/>
  <c r="V118" i="14"/>
  <c r="W118" i="14" s="1"/>
  <c r="I118" i="14" s="1"/>
  <c r="C118" i="14" s="1"/>
  <c r="U118" i="14"/>
  <c r="T118" i="14"/>
  <c r="S118" i="14"/>
  <c r="R118" i="14"/>
  <c r="Q118" i="14"/>
  <c r="U117" i="14"/>
  <c r="T117" i="14"/>
  <c r="S117" i="14"/>
  <c r="R117" i="14"/>
  <c r="Q117" i="14"/>
  <c r="V117" i="14" s="1"/>
  <c r="W117" i="14" s="1"/>
  <c r="I117" i="14" s="1"/>
  <c r="C117" i="14" s="1"/>
  <c r="V116" i="14"/>
  <c r="W116" i="14" s="1"/>
  <c r="I116" i="14" s="1"/>
  <c r="C116" i="14" s="1"/>
  <c r="U116" i="14"/>
  <c r="T116" i="14"/>
  <c r="S116" i="14"/>
  <c r="R116" i="14"/>
  <c r="Q116" i="14"/>
  <c r="W115" i="14"/>
  <c r="U115" i="14"/>
  <c r="T115" i="14"/>
  <c r="S115" i="14"/>
  <c r="V115" i="14" s="1"/>
  <c r="R115" i="14"/>
  <c r="Q115" i="14"/>
  <c r="I115" i="14"/>
  <c r="C115" i="14" s="1"/>
  <c r="U114" i="14"/>
  <c r="T114" i="14"/>
  <c r="S114" i="14"/>
  <c r="R114" i="14"/>
  <c r="Q114" i="14"/>
  <c r="U113" i="14"/>
  <c r="X113" i="14" s="1"/>
  <c r="Y113" i="14" s="1"/>
  <c r="T113" i="14"/>
  <c r="S113" i="14"/>
  <c r="R113" i="14"/>
  <c r="Q113" i="14"/>
  <c r="V113" i="14" s="1"/>
  <c r="W113" i="14" s="1"/>
  <c r="I113" i="14" s="1"/>
  <c r="C113" i="14" s="1"/>
  <c r="U112" i="14"/>
  <c r="T112" i="14"/>
  <c r="S112" i="14"/>
  <c r="R112" i="14"/>
  <c r="Q112" i="14"/>
  <c r="V111" i="14"/>
  <c r="W111" i="14" s="1"/>
  <c r="I111" i="14" s="1"/>
  <c r="C111" i="14" s="1"/>
  <c r="U111" i="14"/>
  <c r="T111" i="14"/>
  <c r="S111" i="14"/>
  <c r="R111" i="14"/>
  <c r="Q111" i="14"/>
  <c r="U110" i="14"/>
  <c r="T110" i="14"/>
  <c r="S110" i="14"/>
  <c r="V110" i="14" s="1"/>
  <c r="W110" i="14" s="1"/>
  <c r="I110" i="14" s="1"/>
  <c r="C110" i="14" s="1"/>
  <c r="R110" i="14"/>
  <c r="Q110" i="14"/>
  <c r="V109" i="14"/>
  <c r="W109" i="14" s="1"/>
  <c r="U109" i="14"/>
  <c r="T109" i="14"/>
  <c r="S109" i="14"/>
  <c r="X109" i="14" s="1"/>
  <c r="Y109" i="14" s="1"/>
  <c r="R109" i="14"/>
  <c r="Q109" i="14"/>
  <c r="I109" i="14"/>
  <c r="C109" i="14" s="1"/>
  <c r="U108" i="14"/>
  <c r="T108" i="14"/>
  <c r="S108" i="14"/>
  <c r="R108" i="14"/>
  <c r="Q108" i="14"/>
  <c r="U107" i="14"/>
  <c r="T107" i="14"/>
  <c r="S107" i="14"/>
  <c r="R107" i="14"/>
  <c r="Q107" i="14"/>
  <c r="U106" i="14"/>
  <c r="T106" i="14"/>
  <c r="S106" i="14"/>
  <c r="R106" i="14"/>
  <c r="Q106" i="14"/>
  <c r="U105" i="14"/>
  <c r="T105" i="14"/>
  <c r="S105" i="14"/>
  <c r="R105" i="14"/>
  <c r="Q105" i="14"/>
  <c r="V105" i="14" s="1"/>
  <c r="W105" i="14" s="1"/>
  <c r="I105" i="14" s="1"/>
  <c r="C105" i="14" s="1"/>
  <c r="U104" i="14"/>
  <c r="T104" i="14"/>
  <c r="S104" i="14"/>
  <c r="R104" i="14"/>
  <c r="Q104" i="14"/>
  <c r="V104" i="14" s="1"/>
  <c r="W104" i="14" s="1"/>
  <c r="I104" i="14" s="1"/>
  <c r="C104" i="14" s="1"/>
  <c r="U103" i="14"/>
  <c r="T103" i="14"/>
  <c r="S103" i="14"/>
  <c r="R103" i="14"/>
  <c r="Q103" i="14"/>
  <c r="V103" i="14" s="1"/>
  <c r="W103" i="14" s="1"/>
  <c r="I103" i="14" s="1"/>
  <c r="C103" i="14" s="1"/>
  <c r="U102" i="14"/>
  <c r="T102" i="14"/>
  <c r="S102" i="14"/>
  <c r="V102" i="14" s="1"/>
  <c r="W102" i="14" s="1"/>
  <c r="R102" i="14"/>
  <c r="X102" i="14" s="1"/>
  <c r="Y102" i="14" s="1"/>
  <c r="Q102" i="14"/>
  <c r="I102" i="14"/>
  <c r="C102" i="14"/>
  <c r="U101" i="14"/>
  <c r="T101" i="14"/>
  <c r="S101" i="14"/>
  <c r="R101" i="14"/>
  <c r="Q101" i="14"/>
  <c r="V101" i="14" s="1"/>
  <c r="W101" i="14" s="1"/>
  <c r="I101" i="14" s="1"/>
  <c r="C101" i="14" s="1"/>
  <c r="U100" i="14"/>
  <c r="T100" i="14"/>
  <c r="X100" i="14" s="1"/>
  <c r="Y100" i="14" s="1"/>
  <c r="S100" i="14"/>
  <c r="R100" i="14"/>
  <c r="Q100" i="14"/>
  <c r="V100" i="14" s="1"/>
  <c r="W100" i="14" s="1"/>
  <c r="I100" i="14"/>
  <c r="C100" i="14"/>
  <c r="U99" i="14"/>
  <c r="T99" i="14"/>
  <c r="S99" i="14"/>
  <c r="R99" i="14"/>
  <c r="Q99" i="14"/>
  <c r="V99" i="14" s="1"/>
  <c r="W99" i="14" s="1"/>
  <c r="I99" i="14" s="1"/>
  <c r="C99" i="14" s="1"/>
  <c r="U98" i="14"/>
  <c r="T98" i="14"/>
  <c r="S98" i="14"/>
  <c r="R98" i="14"/>
  <c r="Q98" i="14"/>
  <c r="X97" i="14"/>
  <c r="Y97" i="14" s="1"/>
  <c r="U97" i="14"/>
  <c r="T97" i="14"/>
  <c r="S97" i="14"/>
  <c r="R97" i="14"/>
  <c r="Q97" i="14"/>
  <c r="V97" i="14" s="1"/>
  <c r="W97" i="14" s="1"/>
  <c r="I97" i="14" s="1"/>
  <c r="C97" i="14" s="1"/>
  <c r="U96" i="14"/>
  <c r="T96" i="14"/>
  <c r="S96" i="14"/>
  <c r="R96" i="14"/>
  <c r="Q96" i="14"/>
  <c r="V96" i="14" s="1"/>
  <c r="W96" i="14" s="1"/>
  <c r="I96" i="14" s="1"/>
  <c r="C96" i="14" s="1"/>
  <c r="X95" i="14"/>
  <c r="Y95" i="14" s="1"/>
  <c r="W95" i="14"/>
  <c r="I95" i="14" s="1"/>
  <c r="C95" i="14" s="1"/>
  <c r="V95" i="14"/>
  <c r="U95" i="14"/>
  <c r="T95" i="14"/>
  <c r="S95" i="14"/>
  <c r="R95" i="14"/>
  <c r="Q95" i="14"/>
  <c r="U94" i="14"/>
  <c r="T94" i="14"/>
  <c r="S94" i="14"/>
  <c r="R94" i="14"/>
  <c r="X94" i="14" s="1"/>
  <c r="Y94" i="14" s="1"/>
  <c r="Q94" i="14"/>
  <c r="V94" i="14" s="1"/>
  <c r="W94" i="14" s="1"/>
  <c r="I94" i="14" s="1"/>
  <c r="C94" i="14"/>
  <c r="V93" i="14"/>
  <c r="W93" i="14" s="1"/>
  <c r="I93" i="14" s="1"/>
  <c r="C93" i="14" s="1"/>
  <c r="U93" i="14"/>
  <c r="T93" i="14"/>
  <c r="S93" i="14"/>
  <c r="R93" i="14"/>
  <c r="Q93" i="14"/>
  <c r="U92" i="14"/>
  <c r="T92" i="14"/>
  <c r="S92" i="14"/>
  <c r="V92" i="14" s="1"/>
  <c r="W92" i="14" s="1"/>
  <c r="I92" i="14" s="1"/>
  <c r="C92" i="14" s="1"/>
  <c r="R92" i="14"/>
  <c r="Q92" i="14"/>
  <c r="V91" i="14"/>
  <c r="U91" i="14"/>
  <c r="T91" i="14"/>
  <c r="S91" i="14"/>
  <c r="R91" i="14"/>
  <c r="Q91" i="14"/>
  <c r="U90" i="14"/>
  <c r="T90" i="14"/>
  <c r="S90" i="14"/>
  <c r="R90" i="14"/>
  <c r="Q90" i="14"/>
  <c r="V90" i="14" s="1"/>
  <c r="U89" i="14"/>
  <c r="V89" i="14" s="1"/>
  <c r="W89" i="14" s="1"/>
  <c r="I89" i="14" s="1"/>
  <c r="C89" i="14" s="1"/>
  <c r="T89" i="14"/>
  <c r="S89" i="14"/>
  <c r="R89" i="14"/>
  <c r="Q89" i="14"/>
  <c r="V88" i="14"/>
  <c r="W88" i="14" s="1"/>
  <c r="I88" i="14" s="1"/>
  <c r="C88" i="14" s="1"/>
  <c r="U88" i="14"/>
  <c r="T88" i="14"/>
  <c r="S88" i="14"/>
  <c r="R88" i="14"/>
  <c r="Q88" i="14"/>
  <c r="U87" i="14"/>
  <c r="T87" i="14"/>
  <c r="S87" i="14"/>
  <c r="R87" i="14"/>
  <c r="Q87" i="14"/>
  <c r="V86" i="14"/>
  <c r="W86" i="14" s="1"/>
  <c r="I86" i="14" s="1"/>
  <c r="C86" i="14" s="1"/>
  <c r="U86" i="14"/>
  <c r="T86" i="14"/>
  <c r="S86" i="14"/>
  <c r="R86" i="14"/>
  <c r="X86" i="14" s="1"/>
  <c r="Y86" i="14" s="1"/>
  <c r="Q86" i="14"/>
  <c r="V85" i="14"/>
  <c r="W85" i="14" s="1"/>
  <c r="I85" i="14" s="1"/>
  <c r="C85" i="14" s="1"/>
  <c r="U85" i="14"/>
  <c r="X85" i="14" s="1"/>
  <c r="Y85" i="14" s="1"/>
  <c r="T85" i="14"/>
  <c r="S85" i="14"/>
  <c r="R85" i="14"/>
  <c r="Q85" i="14"/>
  <c r="V84" i="14"/>
  <c r="W84" i="14" s="1"/>
  <c r="U84" i="14"/>
  <c r="T84" i="14"/>
  <c r="S84" i="14"/>
  <c r="R84" i="14"/>
  <c r="X84" i="14" s="1"/>
  <c r="Y84" i="14" s="1"/>
  <c r="Q84" i="14"/>
  <c r="I84" i="14"/>
  <c r="C84" i="14" s="1"/>
  <c r="U83" i="14"/>
  <c r="T83" i="14"/>
  <c r="V83" i="14" s="1"/>
  <c r="S83" i="14"/>
  <c r="R83" i="14"/>
  <c r="Q83" i="14"/>
  <c r="U82" i="14"/>
  <c r="T82" i="14"/>
  <c r="S82" i="14"/>
  <c r="R82" i="14"/>
  <c r="Q82" i="14"/>
  <c r="V82" i="14" s="1"/>
  <c r="W82" i="14" s="1"/>
  <c r="I82" i="14" s="1"/>
  <c r="C82" i="14"/>
  <c r="V81" i="14"/>
  <c r="W81" i="14" s="1"/>
  <c r="I81" i="14" s="1"/>
  <c r="C81" i="14" s="1"/>
  <c r="U81" i="14"/>
  <c r="T81" i="14"/>
  <c r="S81" i="14"/>
  <c r="R81" i="14"/>
  <c r="Q81" i="14"/>
  <c r="U80" i="14"/>
  <c r="T80" i="14"/>
  <c r="S80" i="14"/>
  <c r="R80" i="14"/>
  <c r="Q80" i="14"/>
  <c r="V80" i="14" s="1"/>
  <c r="W80" i="14" s="1"/>
  <c r="I80" i="14" s="1"/>
  <c r="C80" i="14" s="1"/>
  <c r="U79" i="14"/>
  <c r="T79" i="14"/>
  <c r="S79" i="14"/>
  <c r="R79" i="14"/>
  <c r="Q79" i="14"/>
  <c r="T78" i="14"/>
  <c r="S78" i="14"/>
  <c r="V78" i="14" s="1"/>
  <c r="R78" i="14"/>
  <c r="X78" i="14" s="1"/>
  <c r="Y78" i="14" s="1"/>
  <c r="Q78" i="14"/>
  <c r="U78" i="14" s="1"/>
  <c r="W78" i="14" s="1"/>
  <c r="I78" i="14" s="1"/>
  <c r="C78" i="14" s="1"/>
  <c r="U76" i="14"/>
  <c r="T76" i="14"/>
  <c r="S76" i="14"/>
  <c r="V76" i="14" s="1"/>
  <c r="W76" i="14" s="1"/>
  <c r="I76" i="14" s="1"/>
  <c r="C76" i="14" s="1"/>
  <c r="R76" i="14"/>
  <c r="Q76" i="14"/>
  <c r="U75" i="14"/>
  <c r="T75" i="14"/>
  <c r="S75" i="14"/>
  <c r="R75" i="14"/>
  <c r="Q75" i="14"/>
  <c r="V75" i="14" s="1"/>
  <c r="W75" i="14" s="1"/>
  <c r="I75" i="14" s="1"/>
  <c r="C75" i="14" s="1"/>
  <c r="U74" i="14"/>
  <c r="T74" i="14"/>
  <c r="S74" i="14"/>
  <c r="R74" i="14"/>
  <c r="Q74" i="14"/>
  <c r="U73" i="14"/>
  <c r="T73" i="14"/>
  <c r="S73" i="14"/>
  <c r="V73" i="14" s="1"/>
  <c r="W73" i="14" s="1"/>
  <c r="I73" i="14" s="1"/>
  <c r="R73" i="14"/>
  <c r="Q73" i="14"/>
  <c r="C73" i="14"/>
  <c r="U72" i="14"/>
  <c r="T72" i="14"/>
  <c r="V72" i="14" s="1"/>
  <c r="W72" i="14" s="1"/>
  <c r="I72" i="14" s="1"/>
  <c r="C72" i="14" s="1"/>
  <c r="S72" i="14"/>
  <c r="R72" i="14"/>
  <c r="Q72" i="14"/>
  <c r="U71" i="14"/>
  <c r="T71" i="14"/>
  <c r="S71" i="14"/>
  <c r="R71" i="14"/>
  <c r="Q71" i="14"/>
  <c r="V71" i="14" s="1"/>
  <c r="U70" i="14"/>
  <c r="T70" i="14"/>
  <c r="V70" i="14" s="1"/>
  <c r="W70" i="14" s="1"/>
  <c r="I70" i="14" s="1"/>
  <c r="C70" i="14" s="1"/>
  <c r="S70" i="14"/>
  <c r="R70" i="14"/>
  <c r="Q70" i="14"/>
  <c r="U69" i="14"/>
  <c r="T69" i="14"/>
  <c r="S69" i="14"/>
  <c r="V69" i="14" s="1"/>
  <c r="W69" i="14" s="1"/>
  <c r="I69" i="14" s="1"/>
  <c r="R69" i="14"/>
  <c r="Q69" i="14"/>
  <c r="C69" i="14"/>
  <c r="U68" i="14"/>
  <c r="V68" i="14" s="1"/>
  <c r="W68" i="14" s="1"/>
  <c r="I68" i="14" s="1"/>
  <c r="C68" i="14" s="1"/>
  <c r="T68" i="14"/>
  <c r="S68" i="14"/>
  <c r="R68" i="14"/>
  <c r="Q68" i="14"/>
  <c r="U67" i="14"/>
  <c r="T67" i="14"/>
  <c r="S67" i="14"/>
  <c r="R67" i="14"/>
  <c r="Q67" i="14"/>
  <c r="V67" i="14" s="1"/>
  <c r="U66" i="14"/>
  <c r="V66" i="14" s="1"/>
  <c r="W66" i="14" s="1"/>
  <c r="I66" i="14" s="1"/>
  <c r="C66" i="14" s="1"/>
  <c r="T66" i="14"/>
  <c r="S66" i="14"/>
  <c r="R66" i="14"/>
  <c r="Q66" i="14"/>
  <c r="U65" i="14"/>
  <c r="T65" i="14"/>
  <c r="S65" i="14"/>
  <c r="R65" i="14"/>
  <c r="X65" i="14" s="1"/>
  <c r="Y65" i="14" s="1"/>
  <c r="Q65" i="14"/>
  <c r="V65" i="14" s="1"/>
  <c r="W65" i="14" s="1"/>
  <c r="I65" i="14"/>
  <c r="C65" i="14" s="1"/>
  <c r="X64" i="14"/>
  <c r="Y64" i="14" s="1"/>
  <c r="W64" i="14"/>
  <c r="I64" i="14" s="1"/>
  <c r="C64" i="14" s="1"/>
  <c r="V64" i="14"/>
  <c r="U64" i="14"/>
  <c r="T64" i="14"/>
  <c r="S64" i="14"/>
  <c r="R64" i="14"/>
  <c r="Q64" i="14"/>
  <c r="U63" i="14"/>
  <c r="T63" i="14"/>
  <c r="S63" i="14"/>
  <c r="R63" i="14"/>
  <c r="Q63" i="14"/>
  <c r="W62" i="14"/>
  <c r="I62" i="14" s="1"/>
  <c r="C62" i="14" s="1"/>
  <c r="V62" i="14"/>
  <c r="U62" i="14"/>
  <c r="T62" i="14"/>
  <c r="S62" i="14"/>
  <c r="R62" i="14"/>
  <c r="Q62" i="14"/>
  <c r="U61" i="14"/>
  <c r="T61" i="14"/>
  <c r="S61" i="14"/>
  <c r="R61" i="14"/>
  <c r="Q61" i="14"/>
  <c r="V61" i="14" s="1"/>
  <c r="W61" i="14" s="1"/>
  <c r="I61" i="14"/>
  <c r="C61" i="14" s="1"/>
  <c r="X60" i="14"/>
  <c r="Y60" i="14" s="1"/>
  <c r="V60" i="14"/>
  <c r="W60" i="14" s="1"/>
  <c r="I60" i="14" s="1"/>
  <c r="C60" i="14" s="1"/>
  <c r="U60" i="14"/>
  <c r="T60" i="14"/>
  <c r="S60" i="14"/>
  <c r="R60" i="14"/>
  <c r="Q60" i="14"/>
  <c r="U59" i="14"/>
  <c r="T59" i="14"/>
  <c r="S59" i="14"/>
  <c r="R59" i="14"/>
  <c r="X59" i="14" s="1"/>
  <c r="Y59" i="14" s="1"/>
  <c r="Q59" i="14"/>
  <c r="V59" i="14" s="1"/>
  <c r="W59" i="14" s="1"/>
  <c r="I59" i="14" s="1"/>
  <c r="C59" i="14" s="1"/>
  <c r="U58" i="14"/>
  <c r="T58" i="14"/>
  <c r="S58" i="14"/>
  <c r="R58" i="14"/>
  <c r="Q58" i="14"/>
  <c r="U57" i="14"/>
  <c r="T57" i="14"/>
  <c r="S57" i="14"/>
  <c r="R57" i="14"/>
  <c r="Q57" i="14"/>
  <c r="V57" i="14" s="1"/>
  <c r="W57" i="14" s="1"/>
  <c r="I57" i="14" s="1"/>
  <c r="C57" i="14"/>
  <c r="U56" i="14"/>
  <c r="V56" i="14" s="1"/>
  <c r="W56" i="14" s="1"/>
  <c r="I56" i="14" s="1"/>
  <c r="C56" i="14" s="1"/>
  <c r="T56" i="14"/>
  <c r="S56" i="14"/>
  <c r="R56" i="14"/>
  <c r="Q56" i="14"/>
  <c r="T55" i="14"/>
  <c r="S55" i="14"/>
  <c r="R55" i="14"/>
  <c r="Q55" i="14"/>
  <c r="U55" i="14" s="1"/>
  <c r="W55" i="14" s="1"/>
  <c r="I55" i="14"/>
  <c r="C55" i="14" s="1"/>
  <c r="U53" i="14"/>
  <c r="T53" i="14"/>
  <c r="S53" i="14"/>
  <c r="R53" i="14"/>
  <c r="Q53" i="14"/>
  <c r="U52" i="14"/>
  <c r="T52" i="14"/>
  <c r="S52" i="14"/>
  <c r="R52" i="14"/>
  <c r="Q52" i="14"/>
  <c r="V51" i="14"/>
  <c r="W51" i="14" s="1"/>
  <c r="I51" i="14" s="1"/>
  <c r="C51" i="14" s="1"/>
  <c r="U51" i="14"/>
  <c r="T51" i="14"/>
  <c r="S51" i="14"/>
  <c r="R51" i="14"/>
  <c r="Q51" i="14"/>
  <c r="U50" i="14"/>
  <c r="T50" i="14"/>
  <c r="S50" i="14"/>
  <c r="R50" i="14"/>
  <c r="Q50" i="14"/>
  <c r="V50" i="14" s="1"/>
  <c r="W50" i="14" s="1"/>
  <c r="I50" i="14"/>
  <c r="C50" i="14" s="1"/>
  <c r="W49" i="14"/>
  <c r="I49" i="14" s="1"/>
  <c r="C49" i="14" s="1"/>
  <c r="V49" i="14"/>
  <c r="U49" i="14"/>
  <c r="T49" i="14"/>
  <c r="S49" i="14"/>
  <c r="R49" i="14"/>
  <c r="Q49" i="14"/>
  <c r="U48" i="14"/>
  <c r="T48" i="14"/>
  <c r="S48" i="14"/>
  <c r="R48" i="14"/>
  <c r="Q48" i="14"/>
  <c r="U47" i="14"/>
  <c r="T47" i="14"/>
  <c r="S47" i="14"/>
  <c r="R47" i="14"/>
  <c r="V47" i="14" s="1"/>
  <c r="Q47" i="14"/>
  <c r="U46" i="14"/>
  <c r="T46" i="14"/>
  <c r="S46" i="14"/>
  <c r="R46" i="14"/>
  <c r="Q46" i="14"/>
  <c r="X45" i="14"/>
  <c r="Y45" i="14" s="1"/>
  <c r="U45" i="14"/>
  <c r="T45" i="14"/>
  <c r="S45" i="14"/>
  <c r="V45" i="14" s="1"/>
  <c r="W45" i="14" s="1"/>
  <c r="I45" i="14" s="1"/>
  <c r="C45" i="14" s="1"/>
  <c r="R45" i="14"/>
  <c r="Q45" i="14"/>
  <c r="AH44" i="14"/>
  <c r="U44" i="14"/>
  <c r="T44" i="14"/>
  <c r="S44" i="14"/>
  <c r="R44" i="14"/>
  <c r="Q44" i="14"/>
  <c r="V44" i="14" s="1"/>
  <c r="W44" i="14" s="1"/>
  <c r="I44" i="14"/>
  <c r="C44" i="14" s="1"/>
  <c r="AI43" i="14"/>
  <c r="U43" i="14"/>
  <c r="T43" i="14"/>
  <c r="V43" i="14" s="1"/>
  <c r="W43" i="14" s="1"/>
  <c r="I43" i="14" s="1"/>
  <c r="C43" i="14" s="1"/>
  <c r="S43" i="14"/>
  <c r="R43" i="14"/>
  <c r="Q43" i="14"/>
  <c r="AH42" i="14"/>
  <c r="U42" i="14"/>
  <c r="T42" i="14"/>
  <c r="S42" i="14"/>
  <c r="R42" i="14"/>
  <c r="Q42" i="14"/>
  <c r="AH41" i="14"/>
  <c r="U41" i="14"/>
  <c r="T41" i="14"/>
  <c r="S41" i="14"/>
  <c r="X41" i="14" s="1"/>
  <c r="Y41" i="14" s="1"/>
  <c r="R41" i="14"/>
  <c r="Q41" i="14"/>
  <c r="V41" i="14" s="1"/>
  <c r="W41" i="14" s="1"/>
  <c r="I41" i="14" s="1"/>
  <c r="C41" i="14"/>
  <c r="AI40" i="14"/>
  <c r="X40" i="14"/>
  <c r="Y40" i="14" s="1"/>
  <c r="W40" i="14"/>
  <c r="I40" i="14" s="1"/>
  <c r="C40" i="14" s="1"/>
  <c r="V40" i="14"/>
  <c r="U40" i="14"/>
  <c r="T40" i="14"/>
  <c r="S40" i="14"/>
  <c r="R40" i="14"/>
  <c r="Q40" i="14"/>
  <c r="AH39" i="14"/>
  <c r="U39" i="14"/>
  <c r="T39" i="14"/>
  <c r="S39" i="14"/>
  <c r="R39" i="14"/>
  <c r="Q39" i="14"/>
  <c r="V39" i="14" s="1"/>
  <c r="W39" i="14" s="1"/>
  <c r="I39" i="14" s="1"/>
  <c r="C39" i="14"/>
  <c r="AH38" i="14"/>
  <c r="Y38" i="14"/>
  <c r="U38" i="14"/>
  <c r="T38" i="14"/>
  <c r="S38" i="14"/>
  <c r="R38" i="14"/>
  <c r="X38" i="14" s="1"/>
  <c r="Q38" i="14"/>
  <c r="V38" i="14" s="1"/>
  <c r="W38" i="14" s="1"/>
  <c r="I38" i="14" s="1"/>
  <c r="C38" i="14" s="1"/>
  <c r="AI37" i="14"/>
  <c r="U37" i="14"/>
  <c r="T37" i="14"/>
  <c r="S37" i="14"/>
  <c r="R37" i="14"/>
  <c r="Q37" i="14"/>
  <c r="V37" i="14" s="1"/>
  <c r="W37" i="14" s="1"/>
  <c r="I37" i="14" s="1"/>
  <c r="C37" i="14" s="1"/>
  <c r="AH36" i="14"/>
  <c r="U36" i="14"/>
  <c r="X36" i="14" s="1"/>
  <c r="Y36" i="14" s="1"/>
  <c r="T36" i="14"/>
  <c r="S36" i="14"/>
  <c r="R36" i="14"/>
  <c r="Q36" i="14"/>
  <c r="V36" i="14" s="1"/>
  <c r="W36" i="14" s="1"/>
  <c r="I36" i="14" s="1"/>
  <c r="C36" i="14" s="1"/>
  <c r="AI35" i="14"/>
  <c r="U35" i="14"/>
  <c r="T35" i="14"/>
  <c r="S35" i="14"/>
  <c r="R35" i="14"/>
  <c r="Q35" i="14"/>
  <c r="AH34" i="14"/>
  <c r="U34" i="14"/>
  <c r="T34" i="14"/>
  <c r="S34" i="14"/>
  <c r="R34" i="14"/>
  <c r="X34" i="14" s="1"/>
  <c r="Y34" i="14" s="1"/>
  <c r="Q34" i="14"/>
  <c r="V34" i="14" s="1"/>
  <c r="W34" i="14" s="1"/>
  <c r="I34" i="14"/>
  <c r="C34" i="14" s="1"/>
  <c r="AI33" i="14"/>
  <c r="W33" i="14"/>
  <c r="I33" i="14" s="1"/>
  <c r="C33" i="14" s="1"/>
  <c r="U33" i="14"/>
  <c r="T33" i="14"/>
  <c r="S33" i="14"/>
  <c r="R33" i="14"/>
  <c r="V33" i="14" s="1"/>
  <c r="Q33" i="14"/>
  <c r="AI32" i="14"/>
  <c r="U32" i="14"/>
  <c r="T32" i="14"/>
  <c r="S32" i="14"/>
  <c r="R32" i="14"/>
  <c r="Q32" i="14"/>
  <c r="U31" i="14"/>
  <c r="T31" i="14"/>
  <c r="S31" i="14"/>
  <c r="R31" i="14"/>
  <c r="Q31" i="14"/>
  <c r="AH30" i="14"/>
  <c r="V30" i="14"/>
  <c r="W30" i="14" s="1"/>
  <c r="I30" i="14" s="1"/>
  <c r="C30" i="14" s="1"/>
  <c r="U30" i="14"/>
  <c r="T30" i="14"/>
  <c r="S30" i="14"/>
  <c r="R30" i="14"/>
  <c r="Q30" i="14"/>
  <c r="AI29" i="14"/>
  <c r="U29" i="14"/>
  <c r="T29" i="14"/>
  <c r="S29" i="14"/>
  <c r="R29" i="14"/>
  <c r="Q29" i="14"/>
  <c r="V29" i="14" s="1"/>
  <c r="W29" i="14" s="1"/>
  <c r="I29" i="14" s="1"/>
  <c r="C29" i="14"/>
  <c r="U28" i="14"/>
  <c r="T28" i="14"/>
  <c r="V28" i="14" s="1"/>
  <c r="S28" i="14"/>
  <c r="R28" i="14"/>
  <c r="Q28" i="14"/>
  <c r="V27" i="14"/>
  <c r="W27" i="14" s="1"/>
  <c r="I27" i="14" s="1"/>
  <c r="U27" i="14"/>
  <c r="T27" i="14"/>
  <c r="S27" i="14"/>
  <c r="R27" i="14"/>
  <c r="Q27" i="14"/>
  <c r="C27" i="14"/>
  <c r="AI26" i="14"/>
  <c r="U26" i="14"/>
  <c r="T26" i="14"/>
  <c r="S26" i="14"/>
  <c r="R26" i="14"/>
  <c r="Q26" i="14"/>
  <c r="AH25" i="14"/>
  <c r="X25" i="14"/>
  <c r="Y25" i="14" s="1"/>
  <c r="U25" i="14"/>
  <c r="T25" i="14"/>
  <c r="S25" i="14"/>
  <c r="R25" i="14"/>
  <c r="Q25" i="14"/>
  <c r="V25" i="14" s="1"/>
  <c r="W25" i="14" s="1"/>
  <c r="I25" i="14" s="1"/>
  <c r="C25" i="14" s="1"/>
  <c r="AH24" i="14"/>
  <c r="U24" i="14"/>
  <c r="T24" i="14"/>
  <c r="S24" i="14"/>
  <c r="R24" i="14"/>
  <c r="V24" i="14" s="1"/>
  <c r="Q24" i="14"/>
  <c r="AI23" i="14"/>
  <c r="U23" i="14"/>
  <c r="T23" i="14"/>
  <c r="V23" i="14" s="1"/>
  <c r="W23" i="14" s="1"/>
  <c r="I23" i="14" s="1"/>
  <c r="C23" i="14" s="1"/>
  <c r="S23" i="14"/>
  <c r="R23" i="14"/>
  <c r="Q23" i="14"/>
  <c r="U22" i="14"/>
  <c r="T22" i="14"/>
  <c r="S22" i="14"/>
  <c r="R22" i="14"/>
  <c r="Q22" i="14"/>
  <c r="AI21" i="14"/>
  <c r="U21" i="14"/>
  <c r="T21" i="14"/>
  <c r="S21" i="14"/>
  <c r="R21" i="14"/>
  <c r="Q21" i="14"/>
  <c r="AI20" i="14"/>
  <c r="U20" i="14"/>
  <c r="T20" i="14"/>
  <c r="S20" i="14"/>
  <c r="R20" i="14"/>
  <c r="Q20" i="14"/>
  <c r="V20" i="14" s="1"/>
  <c r="W20" i="14" s="1"/>
  <c r="I20" i="14" s="1"/>
  <c r="C20" i="14" s="1"/>
  <c r="U19" i="14"/>
  <c r="T19" i="14"/>
  <c r="V19" i="14" s="1"/>
  <c r="W19" i="14" s="1"/>
  <c r="I19" i="14" s="1"/>
  <c r="C19" i="14" s="1"/>
  <c r="S19" i="14"/>
  <c r="R19" i="14"/>
  <c r="Q19" i="14"/>
  <c r="U18" i="14"/>
  <c r="T18" i="14"/>
  <c r="S18" i="14"/>
  <c r="R18" i="14"/>
  <c r="Q18" i="14"/>
  <c r="V17" i="14"/>
  <c r="U17" i="14"/>
  <c r="T17" i="14"/>
  <c r="S17" i="14"/>
  <c r="R17" i="14"/>
  <c r="Q17" i="14"/>
  <c r="U16" i="14"/>
  <c r="T16" i="14"/>
  <c r="S16" i="14"/>
  <c r="R16" i="14"/>
  <c r="Q16" i="14"/>
  <c r="U15" i="14"/>
  <c r="T15" i="14"/>
  <c r="S15" i="14"/>
  <c r="R15" i="14"/>
  <c r="V15" i="14" s="1"/>
  <c r="Q15" i="14"/>
  <c r="U14" i="14"/>
  <c r="T14" i="14"/>
  <c r="S14" i="14"/>
  <c r="R14" i="14"/>
  <c r="Q14" i="14"/>
  <c r="U13" i="14"/>
  <c r="T13" i="14"/>
  <c r="S13" i="14"/>
  <c r="R13" i="14"/>
  <c r="Q13" i="14"/>
  <c r="U12" i="14"/>
  <c r="T12" i="14"/>
  <c r="S12" i="14"/>
  <c r="V12" i="14" s="1"/>
  <c r="W12" i="14" s="1"/>
  <c r="I12" i="14" s="1"/>
  <c r="C12" i="14" s="1"/>
  <c r="R12" i="14"/>
  <c r="Q12" i="14"/>
  <c r="U11" i="14"/>
  <c r="T11" i="14"/>
  <c r="V11" i="14" s="1"/>
  <c r="W11" i="14" s="1"/>
  <c r="I11" i="14" s="1"/>
  <c r="C11" i="14" s="1"/>
  <c r="S11" i="14"/>
  <c r="X11" i="14" s="1"/>
  <c r="Y11" i="14" s="1"/>
  <c r="R11" i="14"/>
  <c r="Q11" i="14"/>
  <c r="U10" i="14"/>
  <c r="T10" i="14"/>
  <c r="S10" i="14"/>
  <c r="R10" i="14"/>
  <c r="Q10" i="14"/>
  <c r="U9" i="14"/>
  <c r="T9" i="14"/>
  <c r="S9" i="14"/>
  <c r="R9" i="14"/>
  <c r="Q9" i="14"/>
  <c r="U8" i="14"/>
  <c r="T8" i="14"/>
  <c r="V8" i="14" s="1"/>
  <c r="W8" i="14" s="1"/>
  <c r="I8" i="14" s="1"/>
  <c r="C8" i="14" s="1"/>
  <c r="S8" i="14"/>
  <c r="R8" i="14"/>
  <c r="Q8" i="14"/>
  <c r="V7" i="14"/>
  <c r="U7" i="14"/>
  <c r="T7" i="14"/>
  <c r="S7" i="14"/>
  <c r="R7" i="14"/>
  <c r="Q7" i="14"/>
  <c r="U6" i="14"/>
  <c r="T6" i="14"/>
  <c r="S6" i="14"/>
  <c r="R6" i="14"/>
  <c r="Q6" i="14"/>
  <c r="U5" i="14"/>
  <c r="T5" i="14"/>
  <c r="S5" i="14"/>
  <c r="R5" i="14"/>
  <c r="Q5" i="14"/>
  <c r="U4" i="14"/>
  <c r="W4" i="14" s="1"/>
  <c r="I4" i="14" s="1"/>
  <c r="C4" i="14" s="1"/>
  <c r="T4" i="14"/>
  <c r="S4" i="14"/>
  <c r="R4" i="14"/>
  <c r="Q4" i="14"/>
  <c r="U339" i="12"/>
  <c r="T339" i="12"/>
  <c r="S339" i="12"/>
  <c r="R339" i="12"/>
  <c r="Q339" i="12"/>
  <c r="AH169" i="12"/>
  <c r="U169" i="12"/>
  <c r="T169" i="12"/>
  <c r="S169" i="12"/>
  <c r="R169" i="12"/>
  <c r="Q169" i="12"/>
  <c r="U173" i="12"/>
  <c r="T173" i="12"/>
  <c r="S173" i="12"/>
  <c r="R173" i="12"/>
  <c r="Q173" i="12"/>
  <c r="U172" i="12"/>
  <c r="T172" i="12"/>
  <c r="S172" i="12"/>
  <c r="R172" i="12"/>
  <c r="Q172" i="12"/>
  <c r="U176" i="12"/>
  <c r="T176" i="12"/>
  <c r="S176" i="12"/>
  <c r="R176" i="12"/>
  <c r="Q176" i="12"/>
  <c r="U177" i="12"/>
  <c r="T177" i="12"/>
  <c r="S177" i="12"/>
  <c r="R177" i="12"/>
  <c r="Q177" i="12"/>
  <c r="AH170" i="12"/>
  <c r="U170" i="12"/>
  <c r="T170" i="12"/>
  <c r="S170" i="12"/>
  <c r="R170" i="12"/>
  <c r="Q170" i="12"/>
  <c r="T158" i="12"/>
  <c r="U158" i="12"/>
  <c r="AH158" i="12"/>
  <c r="S158" i="12"/>
  <c r="R158" i="12"/>
  <c r="Q158" i="12"/>
  <c r="U157" i="12"/>
  <c r="T157" i="12"/>
  <c r="S157" i="12"/>
  <c r="R157" i="12"/>
  <c r="Q157" i="12"/>
  <c r="AH156" i="12"/>
  <c r="U156" i="12"/>
  <c r="T156" i="12"/>
  <c r="S156" i="12"/>
  <c r="R156" i="12"/>
  <c r="Q156" i="12"/>
  <c r="U155" i="12"/>
  <c r="T155" i="12"/>
  <c r="S155" i="12"/>
  <c r="R155" i="12"/>
  <c r="Q155" i="12"/>
  <c r="U154" i="12"/>
  <c r="T154" i="12"/>
  <c r="S154" i="12"/>
  <c r="R154" i="12"/>
  <c r="Q154" i="12"/>
  <c r="U153" i="12"/>
  <c r="T153" i="12"/>
  <c r="S153" i="12"/>
  <c r="R153" i="12"/>
  <c r="Q153" i="12"/>
  <c r="U152" i="12"/>
  <c r="T152" i="12"/>
  <c r="S152" i="12"/>
  <c r="R152" i="12"/>
  <c r="Q152" i="12"/>
  <c r="U151" i="12"/>
  <c r="T151" i="12"/>
  <c r="S151" i="12"/>
  <c r="R151" i="12"/>
  <c r="Q151" i="12"/>
  <c r="U150" i="12"/>
  <c r="T150" i="12"/>
  <c r="S150" i="12"/>
  <c r="R150" i="12"/>
  <c r="Q150" i="12"/>
  <c r="U129" i="12"/>
  <c r="T129" i="12"/>
  <c r="S129" i="12"/>
  <c r="R129" i="12"/>
  <c r="Q129" i="12"/>
  <c r="U128" i="12"/>
  <c r="T128" i="12"/>
  <c r="S128" i="12"/>
  <c r="R128" i="12"/>
  <c r="Q128" i="12"/>
  <c r="U341" i="12"/>
  <c r="T341" i="12"/>
  <c r="S341" i="12"/>
  <c r="R341" i="12"/>
  <c r="Q341" i="12"/>
  <c r="U206" i="12"/>
  <c r="T206" i="12"/>
  <c r="S206" i="12"/>
  <c r="R206" i="12"/>
  <c r="Q206" i="12"/>
  <c r="U205" i="12"/>
  <c r="T205" i="12"/>
  <c r="S205" i="12"/>
  <c r="R205" i="12"/>
  <c r="Q205" i="12"/>
  <c r="U379" i="12"/>
  <c r="U378" i="12"/>
  <c r="T379" i="12"/>
  <c r="S379" i="12"/>
  <c r="R379" i="12"/>
  <c r="Q379" i="12"/>
  <c r="T378" i="12"/>
  <c r="S378" i="12"/>
  <c r="R378" i="12"/>
  <c r="U377" i="12"/>
  <c r="T377" i="12"/>
  <c r="S377" i="12"/>
  <c r="R377" i="12"/>
  <c r="U376" i="12"/>
  <c r="T376" i="12"/>
  <c r="S376" i="12"/>
  <c r="R376" i="12"/>
  <c r="Q374" i="12"/>
  <c r="U375" i="12"/>
  <c r="T375" i="12"/>
  <c r="S375" i="12"/>
  <c r="R375" i="12"/>
  <c r="U374" i="12"/>
  <c r="T374" i="12"/>
  <c r="S374" i="12"/>
  <c r="R374" i="12"/>
  <c r="Q378" i="12"/>
  <c r="Q377" i="12"/>
  <c r="Q376" i="12"/>
  <c r="Q375" i="12"/>
  <c r="S363" i="12"/>
  <c r="U373" i="12"/>
  <c r="T373" i="12"/>
  <c r="S373" i="12"/>
  <c r="R373" i="12"/>
  <c r="Q373" i="12"/>
  <c r="U372" i="12"/>
  <c r="T372" i="12"/>
  <c r="S372" i="12"/>
  <c r="R372" i="12"/>
  <c r="Q372" i="12"/>
  <c r="U371" i="12"/>
  <c r="T371" i="12"/>
  <c r="S371" i="12"/>
  <c r="R371" i="12"/>
  <c r="Q371" i="12"/>
  <c r="U370" i="12"/>
  <c r="T370" i="12"/>
  <c r="S370" i="12"/>
  <c r="R370" i="12"/>
  <c r="Q370" i="12"/>
  <c r="U369" i="12"/>
  <c r="T369" i="12"/>
  <c r="S369" i="12"/>
  <c r="R369" i="12"/>
  <c r="Q369" i="12"/>
  <c r="U368" i="12"/>
  <c r="T368" i="12"/>
  <c r="S368" i="12"/>
  <c r="R368" i="12"/>
  <c r="Q368" i="12"/>
  <c r="U367" i="12"/>
  <c r="T367" i="12"/>
  <c r="S367" i="12"/>
  <c r="R367" i="12"/>
  <c r="Q367" i="12"/>
  <c r="U366" i="12"/>
  <c r="T366" i="12"/>
  <c r="S366" i="12"/>
  <c r="R366" i="12"/>
  <c r="Q366" i="12"/>
  <c r="U365" i="12"/>
  <c r="T365" i="12"/>
  <c r="S365" i="12"/>
  <c r="R365" i="12"/>
  <c r="Q365" i="12"/>
  <c r="U364" i="12"/>
  <c r="T364" i="12"/>
  <c r="S364" i="12"/>
  <c r="R364" i="12"/>
  <c r="Q364" i="12"/>
  <c r="U363" i="12"/>
  <c r="T363" i="12"/>
  <c r="R363" i="12"/>
  <c r="Q363" i="12"/>
  <c r="U362" i="12"/>
  <c r="T362" i="12"/>
  <c r="S362" i="12"/>
  <c r="R362" i="12"/>
  <c r="Q362" i="12"/>
  <c r="AF361" i="12"/>
  <c r="AE361" i="12"/>
  <c r="AD361" i="12"/>
  <c r="AC361" i="12"/>
  <c r="AB361" i="12"/>
  <c r="AA361" i="12"/>
  <c r="Z361" i="12"/>
  <c r="U361" i="12"/>
  <c r="T361" i="12"/>
  <c r="S361" i="12"/>
  <c r="R361" i="12"/>
  <c r="Q361" i="12"/>
  <c r="AF360" i="12"/>
  <c r="AE360" i="12"/>
  <c r="AD360" i="12"/>
  <c r="AC360" i="12"/>
  <c r="AB360" i="12"/>
  <c r="AA360" i="12"/>
  <c r="Z360" i="12"/>
  <c r="U360" i="12"/>
  <c r="T360" i="12"/>
  <c r="S360" i="12"/>
  <c r="R360" i="12"/>
  <c r="Q360" i="12"/>
  <c r="AF359" i="12"/>
  <c r="AE359" i="12"/>
  <c r="AD359" i="12"/>
  <c r="AC359" i="12"/>
  <c r="AB359" i="12"/>
  <c r="AA359" i="12"/>
  <c r="Z359" i="12"/>
  <c r="U359" i="12"/>
  <c r="T359" i="12"/>
  <c r="S359" i="12"/>
  <c r="R359" i="12"/>
  <c r="Q359" i="12"/>
  <c r="AF358" i="12"/>
  <c r="AE358" i="12"/>
  <c r="AD358" i="12"/>
  <c r="AC358" i="12"/>
  <c r="AB358" i="12"/>
  <c r="AA358" i="12"/>
  <c r="Z358" i="12"/>
  <c r="U358" i="12"/>
  <c r="T358" i="12"/>
  <c r="S358" i="12"/>
  <c r="R358" i="12"/>
  <c r="Q358" i="12"/>
  <c r="AF357" i="12"/>
  <c r="AE357" i="12"/>
  <c r="AD357" i="12"/>
  <c r="AC357" i="12"/>
  <c r="AB357" i="12"/>
  <c r="AA357" i="12"/>
  <c r="Z357" i="12"/>
  <c r="U357" i="12"/>
  <c r="T357" i="12"/>
  <c r="S357" i="12"/>
  <c r="R357" i="12"/>
  <c r="Q357" i="12"/>
  <c r="AF356" i="12"/>
  <c r="AE356" i="12"/>
  <c r="AD356" i="12"/>
  <c r="AC356" i="12"/>
  <c r="AB356" i="12"/>
  <c r="AA356" i="12"/>
  <c r="Z356" i="12"/>
  <c r="U356" i="12"/>
  <c r="T356" i="12"/>
  <c r="S356" i="12"/>
  <c r="R356" i="12"/>
  <c r="Q356" i="12"/>
  <c r="AF355" i="12"/>
  <c r="AE355" i="12"/>
  <c r="AD355" i="12"/>
  <c r="AC355" i="12"/>
  <c r="AB355" i="12"/>
  <c r="AA355" i="12"/>
  <c r="Z355" i="12"/>
  <c r="U355" i="12"/>
  <c r="T355" i="12"/>
  <c r="S355" i="12"/>
  <c r="R355" i="12"/>
  <c r="Q355" i="12"/>
  <c r="AF354" i="12"/>
  <c r="AE354" i="12"/>
  <c r="AD354" i="12"/>
  <c r="AC354" i="12"/>
  <c r="AB354" i="12"/>
  <c r="AA354" i="12"/>
  <c r="Z354" i="12"/>
  <c r="U354" i="12"/>
  <c r="T354" i="12"/>
  <c r="S354" i="12"/>
  <c r="R354" i="12"/>
  <c r="Q354" i="12"/>
  <c r="Z353" i="12"/>
  <c r="Z352" i="12"/>
  <c r="Z351" i="12"/>
  <c r="Z350" i="12"/>
  <c r="Z349" i="12"/>
  <c r="Z348" i="12"/>
  <c r="Z347" i="12"/>
  <c r="Z346" i="12"/>
  <c r="Z345" i="12"/>
  <c r="Z344" i="12"/>
  <c r="Z343" i="12"/>
  <c r="AA346" i="12"/>
  <c r="AB350" i="12"/>
  <c r="AF353" i="12"/>
  <c r="AE353" i="12"/>
  <c r="AD353" i="12"/>
  <c r="AC353" i="12"/>
  <c r="AB353" i="12"/>
  <c r="AA353" i="12"/>
  <c r="U353" i="12"/>
  <c r="T353" i="12"/>
  <c r="S353" i="12"/>
  <c r="R353" i="12"/>
  <c r="Q353" i="12"/>
  <c r="AF352" i="12"/>
  <c r="AE352" i="12"/>
  <c r="AD352" i="12"/>
  <c r="AC352" i="12"/>
  <c r="AB352" i="12"/>
  <c r="AA352" i="12"/>
  <c r="U352" i="12"/>
  <c r="T352" i="12"/>
  <c r="S352" i="12"/>
  <c r="R352" i="12"/>
  <c r="Q352" i="12"/>
  <c r="AF351" i="12"/>
  <c r="AE351" i="12"/>
  <c r="AD351" i="12"/>
  <c r="AC351" i="12"/>
  <c r="AB351" i="12"/>
  <c r="AA351" i="12"/>
  <c r="U351" i="12"/>
  <c r="T351" i="12"/>
  <c r="S351" i="12"/>
  <c r="R351" i="12"/>
  <c r="Q351" i="12"/>
  <c r="AF350" i="12"/>
  <c r="AE350" i="12"/>
  <c r="AD350" i="12"/>
  <c r="AC350" i="12"/>
  <c r="AA350" i="12"/>
  <c r="U350" i="12"/>
  <c r="T350" i="12"/>
  <c r="S350" i="12"/>
  <c r="R350" i="12"/>
  <c r="Q350" i="12"/>
  <c r="AF349" i="12"/>
  <c r="AE349" i="12"/>
  <c r="AD349" i="12"/>
  <c r="AC349" i="12"/>
  <c r="AB349" i="12"/>
  <c r="AA349" i="12"/>
  <c r="U349" i="12"/>
  <c r="T349" i="12"/>
  <c r="S349" i="12"/>
  <c r="R349" i="12"/>
  <c r="Q349" i="12"/>
  <c r="AF348" i="12"/>
  <c r="AE348" i="12"/>
  <c r="AD348" i="12"/>
  <c r="AC348" i="12"/>
  <c r="AB348" i="12"/>
  <c r="AA348" i="12"/>
  <c r="U348" i="12"/>
  <c r="T348" i="12"/>
  <c r="S348" i="12"/>
  <c r="R348" i="12"/>
  <c r="Q348" i="12"/>
  <c r="AF347" i="12"/>
  <c r="AE347" i="12"/>
  <c r="AD347" i="12"/>
  <c r="AC347" i="12"/>
  <c r="AB347" i="12"/>
  <c r="AA347" i="12"/>
  <c r="U347" i="12"/>
  <c r="T347" i="12"/>
  <c r="S347" i="12"/>
  <c r="R347" i="12"/>
  <c r="Q347" i="12"/>
  <c r="AF346" i="12"/>
  <c r="AE346" i="12"/>
  <c r="AD346" i="12"/>
  <c r="AC346" i="12"/>
  <c r="AB346" i="12"/>
  <c r="U346" i="12"/>
  <c r="T346" i="12"/>
  <c r="S346" i="12"/>
  <c r="R346" i="12"/>
  <c r="Q346" i="12"/>
  <c r="AF345" i="12"/>
  <c r="AE345" i="12"/>
  <c r="AD345" i="12"/>
  <c r="AC345" i="12"/>
  <c r="AB345" i="12"/>
  <c r="AA345" i="12"/>
  <c r="U345" i="12"/>
  <c r="T345" i="12"/>
  <c r="S345" i="12"/>
  <c r="R345" i="12"/>
  <c r="Q345" i="12"/>
  <c r="AF344" i="12"/>
  <c r="AE344" i="12"/>
  <c r="AD344" i="12"/>
  <c r="AC344" i="12"/>
  <c r="AB344" i="12"/>
  <c r="AA344" i="12"/>
  <c r="U344" i="12"/>
  <c r="T344" i="12"/>
  <c r="S344" i="12"/>
  <c r="R344" i="12"/>
  <c r="Q344" i="12"/>
  <c r="AB343" i="12"/>
  <c r="AA343" i="12"/>
  <c r="AF343" i="12"/>
  <c r="AE343" i="12"/>
  <c r="AD343" i="12"/>
  <c r="AC343" i="12"/>
  <c r="U343" i="12"/>
  <c r="T343" i="12"/>
  <c r="S343" i="12"/>
  <c r="R343" i="12"/>
  <c r="Q343" i="12"/>
  <c r="R332" i="12"/>
  <c r="U342" i="12"/>
  <c r="T342" i="12"/>
  <c r="S342" i="12"/>
  <c r="R342" i="12"/>
  <c r="Q342" i="12"/>
  <c r="AH19" i="12"/>
  <c r="U19" i="12"/>
  <c r="T19" i="12"/>
  <c r="S19" i="12"/>
  <c r="R19" i="12"/>
  <c r="Q19" i="12"/>
  <c r="AI18" i="12"/>
  <c r="U18" i="12"/>
  <c r="T18" i="12"/>
  <c r="S18" i="12"/>
  <c r="R18" i="12"/>
  <c r="Q18" i="12"/>
  <c r="U13" i="12"/>
  <c r="T13" i="12"/>
  <c r="S13" i="12"/>
  <c r="R13" i="12"/>
  <c r="Q13" i="12"/>
  <c r="AH317" i="12"/>
  <c r="AH313" i="12"/>
  <c r="AI312" i="12"/>
  <c r="U338" i="12"/>
  <c r="T338" i="12"/>
  <c r="S338" i="12"/>
  <c r="R338" i="12"/>
  <c r="Q338" i="12"/>
  <c r="U248" i="12"/>
  <c r="T248" i="12"/>
  <c r="S248" i="12"/>
  <c r="R248" i="12"/>
  <c r="Q248" i="12"/>
  <c r="U292" i="12"/>
  <c r="T292" i="12"/>
  <c r="S292" i="12"/>
  <c r="R292" i="12"/>
  <c r="Q292" i="12"/>
  <c r="U291" i="12"/>
  <c r="T291" i="12"/>
  <c r="S291" i="12"/>
  <c r="R291" i="12"/>
  <c r="Q291" i="12"/>
  <c r="U290" i="12"/>
  <c r="T290" i="12"/>
  <c r="S290" i="12"/>
  <c r="R290" i="12"/>
  <c r="Q290" i="12"/>
  <c r="U289" i="12"/>
  <c r="T289" i="12"/>
  <c r="S289" i="12"/>
  <c r="R289" i="12"/>
  <c r="Q289" i="12"/>
  <c r="U288" i="12"/>
  <c r="T288" i="12"/>
  <c r="S288" i="12"/>
  <c r="R288" i="12"/>
  <c r="Q288" i="12"/>
  <c r="U287" i="12"/>
  <c r="T287" i="12"/>
  <c r="S287" i="12"/>
  <c r="R287" i="12"/>
  <c r="Q287" i="12"/>
  <c r="U286" i="12"/>
  <c r="T286" i="12"/>
  <c r="S286" i="12"/>
  <c r="R286" i="12"/>
  <c r="Q286" i="12"/>
  <c r="U285" i="12"/>
  <c r="T285" i="12"/>
  <c r="S285" i="12"/>
  <c r="R285" i="12"/>
  <c r="Q285" i="12"/>
  <c r="U284" i="12"/>
  <c r="T284" i="12"/>
  <c r="S284" i="12"/>
  <c r="R284" i="12"/>
  <c r="Q284" i="12"/>
  <c r="U283" i="12"/>
  <c r="T283" i="12"/>
  <c r="S283" i="12"/>
  <c r="R283" i="12"/>
  <c r="Q283" i="12"/>
  <c r="U282" i="12"/>
  <c r="T282" i="12"/>
  <c r="S282" i="12"/>
  <c r="R282" i="12"/>
  <c r="Q282" i="12"/>
  <c r="U281" i="12"/>
  <c r="T281" i="12"/>
  <c r="S281" i="12"/>
  <c r="R281" i="12"/>
  <c r="Q281" i="12"/>
  <c r="U280" i="12"/>
  <c r="T280" i="12"/>
  <c r="S280" i="12"/>
  <c r="R280" i="12"/>
  <c r="Q280" i="12"/>
  <c r="U279" i="12"/>
  <c r="T279" i="12"/>
  <c r="S279" i="12"/>
  <c r="R279" i="12"/>
  <c r="Q279" i="12"/>
  <c r="U278" i="12"/>
  <c r="T278" i="12"/>
  <c r="S278" i="12"/>
  <c r="R278" i="12"/>
  <c r="Q278" i="12"/>
  <c r="U277" i="12"/>
  <c r="T277" i="12"/>
  <c r="S277" i="12"/>
  <c r="R277" i="12"/>
  <c r="Q277" i="12"/>
  <c r="U276" i="12"/>
  <c r="T276" i="12"/>
  <c r="S276" i="12"/>
  <c r="R276" i="12"/>
  <c r="Q276" i="12"/>
  <c r="U275" i="12"/>
  <c r="T275" i="12"/>
  <c r="S275" i="12"/>
  <c r="R275" i="12"/>
  <c r="Q275" i="12"/>
  <c r="U274" i="12"/>
  <c r="T274" i="12"/>
  <c r="S274" i="12"/>
  <c r="R274" i="12"/>
  <c r="Q274" i="12"/>
  <c r="U273" i="12"/>
  <c r="T273" i="12"/>
  <c r="S273" i="12"/>
  <c r="R273" i="12"/>
  <c r="Q273" i="12"/>
  <c r="U272" i="12"/>
  <c r="T272" i="12"/>
  <c r="S272" i="12"/>
  <c r="R272" i="12"/>
  <c r="Q272" i="12"/>
  <c r="U271" i="12"/>
  <c r="T271" i="12"/>
  <c r="S271" i="12"/>
  <c r="R271" i="12"/>
  <c r="Q271" i="12"/>
  <c r="U270" i="12"/>
  <c r="T270" i="12"/>
  <c r="S270" i="12"/>
  <c r="R270" i="12"/>
  <c r="Q270" i="12"/>
  <c r="U269" i="12"/>
  <c r="T269" i="12"/>
  <c r="S269" i="12"/>
  <c r="R269" i="12"/>
  <c r="Q269" i="12"/>
  <c r="U268" i="12"/>
  <c r="T268" i="12"/>
  <c r="S268" i="12"/>
  <c r="R268" i="12"/>
  <c r="Q268" i="12"/>
  <c r="U267" i="12"/>
  <c r="T267" i="12"/>
  <c r="S267" i="12"/>
  <c r="R267" i="12"/>
  <c r="Q267" i="12"/>
  <c r="U266" i="12"/>
  <c r="T266" i="12"/>
  <c r="S266" i="12"/>
  <c r="R266" i="12"/>
  <c r="Q266" i="12"/>
  <c r="U265" i="12"/>
  <c r="T265" i="12"/>
  <c r="S265" i="12"/>
  <c r="R265" i="12"/>
  <c r="Q265" i="12"/>
  <c r="U264" i="12"/>
  <c r="T264" i="12"/>
  <c r="S264" i="12"/>
  <c r="R264" i="12"/>
  <c r="Q264" i="12"/>
  <c r="U263" i="12"/>
  <c r="T263" i="12"/>
  <c r="S263" i="12"/>
  <c r="R263" i="12"/>
  <c r="Q263" i="12"/>
  <c r="U262" i="12"/>
  <c r="T262" i="12"/>
  <c r="S262" i="12"/>
  <c r="R262" i="12"/>
  <c r="Q262" i="12"/>
  <c r="U261" i="12"/>
  <c r="T261" i="12"/>
  <c r="S261" i="12"/>
  <c r="R261" i="12"/>
  <c r="Q261" i="12"/>
  <c r="U260" i="12"/>
  <c r="T260" i="12"/>
  <c r="S260" i="12"/>
  <c r="R260" i="12"/>
  <c r="Q260" i="12"/>
  <c r="U259" i="12"/>
  <c r="T259" i="12"/>
  <c r="S259" i="12"/>
  <c r="R259" i="12"/>
  <c r="Q259" i="12"/>
  <c r="U258" i="12"/>
  <c r="T258" i="12"/>
  <c r="S258" i="12"/>
  <c r="R258" i="12"/>
  <c r="Q258" i="12"/>
  <c r="U257" i="12"/>
  <c r="T257" i="12"/>
  <c r="S257" i="12"/>
  <c r="R257" i="12"/>
  <c r="Q257" i="12"/>
  <c r="U256" i="12"/>
  <c r="T256" i="12"/>
  <c r="S256" i="12"/>
  <c r="R256" i="12"/>
  <c r="Q256" i="12"/>
  <c r="U255" i="12"/>
  <c r="T255" i="12"/>
  <c r="S255" i="12"/>
  <c r="R255" i="12"/>
  <c r="Q255" i="12"/>
  <c r="U254" i="12"/>
  <c r="T254" i="12"/>
  <c r="S254" i="12"/>
  <c r="R254" i="12"/>
  <c r="Q254" i="12"/>
  <c r="U253" i="12"/>
  <c r="T253" i="12"/>
  <c r="S253" i="12"/>
  <c r="R253" i="12"/>
  <c r="Q253" i="12"/>
  <c r="U252" i="12"/>
  <c r="T252" i="12"/>
  <c r="S252" i="12"/>
  <c r="R252" i="12"/>
  <c r="Q252" i="12"/>
  <c r="U251" i="12"/>
  <c r="T251" i="12"/>
  <c r="S251" i="12"/>
  <c r="R251" i="12"/>
  <c r="Q251" i="12"/>
  <c r="U250" i="12"/>
  <c r="T250" i="12"/>
  <c r="S250" i="12"/>
  <c r="R250" i="12"/>
  <c r="Q250" i="12"/>
  <c r="U249" i="12"/>
  <c r="T249" i="12"/>
  <c r="S249" i="12"/>
  <c r="R249" i="12"/>
  <c r="Q249" i="12"/>
  <c r="U340" i="12"/>
  <c r="T340" i="12"/>
  <c r="S340" i="12"/>
  <c r="R340" i="12"/>
  <c r="Q340" i="12"/>
  <c r="U337" i="12"/>
  <c r="T337" i="12"/>
  <c r="S337" i="12"/>
  <c r="R337" i="12"/>
  <c r="Q337" i="12"/>
  <c r="U336" i="12"/>
  <c r="T336" i="12"/>
  <c r="S336" i="12"/>
  <c r="R336" i="12"/>
  <c r="Q336" i="12"/>
  <c r="U335" i="12"/>
  <c r="T335" i="12"/>
  <c r="S335" i="12"/>
  <c r="R335" i="12"/>
  <c r="Q335" i="12"/>
  <c r="U334" i="12"/>
  <c r="T334" i="12"/>
  <c r="S334" i="12"/>
  <c r="R334" i="12"/>
  <c r="Q334" i="12"/>
  <c r="U333" i="12"/>
  <c r="T333" i="12"/>
  <c r="S333" i="12"/>
  <c r="R333" i="12"/>
  <c r="Q333" i="12"/>
  <c r="U332" i="12"/>
  <c r="T332" i="12"/>
  <c r="S332" i="12"/>
  <c r="Q332" i="12"/>
  <c r="U331" i="12"/>
  <c r="T331" i="12"/>
  <c r="S331" i="12"/>
  <c r="R331" i="12"/>
  <c r="Q331" i="12"/>
  <c r="U330" i="12"/>
  <c r="T330" i="12"/>
  <c r="S330" i="12"/>
  <c r="R330" i="12"/>
  <c r="Q330" i="12"/>
  <c r="U329" i="12"/>
  <c r="T329" i="12"/>
  <c r="S329" i="12"/>
  <c r="R329" i="12"/>
  <c r="Q329" i="12"/>
  <c r="U328" i="12"/>
  <c r="T328" i="12"/>
  <c r="S328" i="12"/>
  <c r="R328" i="12"/>
  <c r="Q328" i="12"/>
  <c r="U327" i="12"/>
  <c r="T327" i="12"/>
  <c r="S327" i="12"/>
  <c r="R327" i="12"/>
  <c r="Q327" i="12"/>
  <c r="U326" i="12"/>
  <c r="T326" i="12"/>
  <c r="S326" i="12"/>
  <c r="R326" i="12"/>
  <c r="Q326" i="12"/>
  <c r="U325" i="12"/>
  <c r="T325" i="12"/>
  <c r="S325" i="12"/>
  <c r="R325" i="12"/>
  <c r="Q325" i="12"/>
  <c r="U324" i="12"/>
  <c r="T324" i="12"/>
  <c r="S324" i="12"/>
  <c r="R324" i="12"/>
  <c r="Q324" i="12"/>
  <c r="U323" i="12"/>
  <c r="T323" i="12"/>
  <c r="S323" i="12"/>
  <c r="R323" i="12"/>
  <c r="Q323" i="12"/>
  <c r="U322" i="12"/>
  <c r="T322" i="12"/>
  <c r="S322" i="12"/>
  <c r="R322" i="12"/>
  <c r="Q322" i="12"/>
  <c r="U321" i="12"/>
  <c r="T321" i="12"/>
  <c r="S321" i="12"/>
  <c r="R321" i="12"/>
  <c r="Q321" i="12"/>
  <c r="U320" i="12"/>
  <c r="T320" i="12"/>
  <c r="S320" i="12"/>
  <c r="R320" i="12"/>
  <c r="Q320" i="12"/>
  <c r="U319" i="12"/>
  <c r="T319" i="12"/>
  <c r="S319" i="12"/>
  <c r="R319" i="12"/>
  <c r="Q319" i="12"/>
  <c r="U318" i="12"/>
  <c r="T318" i="12"/>
  <c r="S318" i="12"/>
  <c r="R318" i="12"/>
  <c r="Q318" i="12"/>
  <c r="U317" i="12"/>
  <c r="T317" i="12"/>
  <c r="S317" i="12"/>
  <c r="R317" i="12"/>
  <c r="Q317" i="12"/>
  <c r="U316" i="12"/>
  <c r="T316" i="12"/>
  <c r="S316" i="12"/>
  <c r="R316" i="12"/>
  <c r="Q316" i="12"/>
  <c r="U315" i="12"/>
  <c r="T315" i="12"/>
  <c r="S315" i="12"/>
  <c r="R315" i="12"/>
  <c r="Q315" i="12"/>
  <c r="U314" i="12"/>
  <c r="T314" i="12"/>
  <c r="S314" i="12"/>
  <c r="R314" i="12"/>
  <c r="Q314" i="12"/>
  <c r="U313" i="12"/>
  <c r="T313" i="12"/>
  <c r="S313" i="12"/>
  <c r="R313" i="12"/>
  <c r="Q313" i="12"/>
  <c r="U312" i="12"/>
  <c r="T312" i="12"/>
  <c r="S312" i="12"/>
  <c r="R312" i="12"/>
  <c r="Q312" i="12"/>
  <c r="U311" i="12"/>
  <c r="T311" i="12"/>
  <c r="S311" i="12"/>
  <c r="R311" i="12"/>
  <c r="Q311" i="12"/>
  <c r="U310" i="12"/>
  <c r="T310" i="12"/>
  <c r="S310" i="12"/>
  <c r="R310" i="12"/>
  <c r="Q310" i="12"/>
  <c r="U309" i="12"/>
  <c r="T309" i="12"/>
  <c r="S309" i="12"/>
  <c r="R309" i="12"/>
  <c r="Q309" i="12"/>
  <c r="U308" i="12"/>
  <c r="T308" i="12"/>
  <c r="S308" i="12"/>
  <c r="R308" i="12"/>
  <c r="Q308" i="12"/>
  <c r="U307" i="12"/>
  <c r="T307" i="12"/>
  <c r="S307" i="12"/>
  <c r="R307" i="12"/>
  <c r="Q307" i="12"/>
  <c r="U306" i="12"/>
  <c r="T306" i="12"/>
  <c r="S306" i="12"/>
  <c r="R306" i="12"/>
  <c r="Q306" i="12"/>
  <c r="U305" i="12"/>
  <c r="T305" i="12"/>
  <c r="S305" i="12"/>
  <c r="R305" i="12"/>
  <c r="Q305" i="12"/>
  <c r="U304" i="12"/>
  <c r="T304" i="12"/>
  <c r="S304" i="12"/>
  <c r="R304" i="12"/>
  <c r="Q304" i="12"/>
  <c r="U303" i="12"/>
  <c r="T303" i="12"/>
  <c r="S303" i="12"/>
  <c r="R303" i="12"/>
  <c r="Q303" i="12"/>
  <c r="U302" i="12"/>
  <c r="T302" i="12"/>
  <c r="S302" i="12"/>
  <c r="R302" i="12"/>
  <c r="Q302" i="12"/>
  <c r="U301" i="12"/>
  <c r="T301" i="12"/>
  <c r="S301" i="12"/>
  <c r="R301" i="12"/>
  <c r="Q301" i="12"/>
  <c r="U300" i="12"/>
  <c r="T300" i="12"/>
  <c r="S300" i="12"/>
  <c r="R300" i="12"/>
  <c r="Q300" i="12"/>
  <c r="U299" i="12"/>
  <c r="T299" i="12"/>
  <c r="S299" i="12"/>
  <c r="R299" i="12"/>
  <c r="Q299" i="12"/>
  <c r="U298" i="12"/>
  <c r="T298" i="12"/>
  <c r="S298" i="12"/>
  <c r="R298" i="12"/>
  <c r="Q298" i="12"/>
  <c r="U297" i="12"/>
  <c r="T297" i="12"/>
  <c r="S297" i="12"/>
  <c r="R297" i="12"/>
  <c r="Q297" i="12"/>
  <c r="U293" i="12"/>
  <c r="T293" i="12"/>
  <c r="S293" i="12"/>
  <c r="R293" i="12"/>
  <c r="Q293" i="12"/>
  <c r="U296" i="12"/>
  <c r="T296" i="12"/>
  <c r="S296" i="12"/>
  <c r="R296" i="12"/>
  <c r="Q296" i="12"/>
  <c r="U295" i="12"/>
  <c r="T295" i="12"/>
  <c r="S295" i="12"/>
  <c r="R295" i="12"/>
  <c r="Q295" i="12"/>
  <c r="U294" i="12"/>
  <c r="T294" i="12"/>
  <c r="S294" i="12"/>
  <c r="R294" i="12"/>
  <c r="Q294" i="12"/>
  <c r="U247" i="12"/>
  <c r="T247" i="12"/>
  <c r="S247" i="12"/>
  <c r="R247" i="12"/>
  <c r="Q247" i="12"/>
  <c r="U246" i="12"/>
  <c r="T246" i="12"/>
  <c r="S246" i="12"/>
  <c r="R246" i="12"/>
  <c r="Q246" i="12"/>
  <c r="U245" i="12"/>
  <c r="T245" i="12"/>
  <c r="S245" i="12"/>
  <c r="R245" i="12"/>
  <c r="Q245" i="12"/>
  <c r="U244" i="12"/>
  <c r="T244" i="12"/>
  <c r="S244" i="12"/>
  <c r="R244" i="12"/>
  <c r="Q244" i="12"/>
  <c r="U243" i="12"/>
  <c r="T243" i="12"/>
  <c r="S243" i="12"/>
  <c r="R243" i="12"/>
  <c r="Q243" i="12"/>
  <c r="U242" i="12"/>
  <c r="T242" i="12"/>
  <c r="S242" i="12"/>
  <c r="R242" i="12"/>
  <c r="Q242" i="12"/>
  <c r="U241" i="12"/>
  <c r="T241" i="12"/>
  <c r="S241" i="12"/>
  <c r="R241" i="12"/>
  <c r="Q241" i="12"/>
  <c r="U240" i="12"/>
  <c r="T240" i="12"/>
  <c r="S240" i="12"/>
  <c r="R240" i="12"/>
  <c r="Q240" i="12"/>
  <c r="U239" i="12"/>
  <c r="T239" i="12"/>
  <c r="S239" i="12"/>
  <c r="R239" i="12"/>
  <c r="Q239" i="12"/>
  <c r="U238" i="12"/>
  <c r="T238" i="12"/>
  <c r="S238" i="12"/>
  <c r="R238" i="12"/>
  <c r="Q238" i="12"/>
  <c r="U237" i="12"/>
  <c r="T237" i="12"/>
  <c r="S237" i="12"/>
  <c r="R237" i="12"/>
  <c r="Q237" i="12"/>
  <c r="U236" i="12"/>
  <c r="T236" i="12"/>
  <c r="S236" i="12"/>
  <c r="R236" i="12"/>
  <c r="Q236" i="12"/>
  <c r="U235" i="12"/>
  <c r="T235" i="12"/>
  <c r="S235" i="12"/>
  <c r="R235" i="12"/>
  <c r="Q235" i="12"/>
  <c r="U234" i="12"/>
  <c r="T234" i="12"/>
  <c r="S234" i="12"/>
  <c r="R234" i="12"/>
  <c r="Q234" i="12"/>
  <c r="U233" i="12"/>
  <c r="T233" i="12"/>
  <c r="S233" i="12"/>
  <c r="R233" i="12"/>
  <c r="Q233" i="12"/>
  <c r="U232" i="12"/>
  <c r="T232" i="12"/>
  <c r="S232" i="12"/>
  <c r="R232" i="12"/>
  <c r="Q232" i="12"/>
  <c r="U231" i="12"/>
  <c r="T231" i="12"/>
  <c r="S231" i="12"/>
  <c r="R231" i="12"/>
  <c r="Q231" i="12"/>
  <c r="U230" i="12"/>
  <c r="T230" i="12"/>
  <c r="S230" i="12"/>
  <c r="R230" i="12"/>
  <c r="Q230" i="12"/>
  <c r="U229" i="12"/>
  <c r="T229" i="12"/>
  <c r="S229" i="12"/>
  <c r="R229" i="12"/>
  <c r="Q229" i="12"/>
  <c r="U228" i="12"/>
  <c r="T228" i="12"/>
  <c r="S228" i="12"/>
  <c r="R228" i="12"/>
  <c r="Q228" i="12"/>
  <c r="U227" i="12"/>
  <c r="T227" i="12"/>
  <c r="S227" i="12"/>
  <c r="R227" i="12"/>
  <c r="Q227" i="12"/>
  <c r="U226" i="12"/>
  <c r="T226" i="12"/>
  <c r="S226" i="12"/>
  <c r="R226" i="12"/>
  <c r="Q226" i="12"/>
  <c r="U225" i="12"/>
  <c r="T225" i="12"/>
  <c r="S225" i="12"/>
  <c r="R225" i="12"/>
  <c r="Q225" i="12"/>
  <c r="U224" i="12"/>
  <c r="T224" i="12"/>
  <c r="S224" i="12"/>
  <c r="R224" i="12"/>
  <c r="Q224" i="12"/>
  <c r="U223" i="12"/>
  <c r="T223" i="12"/>
  <c r="S223" i="12"/>
  <c r="R223" i="12"/>
  <c r="Q223" i="12"/>
  <c r="U222" i="12"/>
  <c r="T222" i="12"/>
  <c r="S222" i="12"/>
  <c r="R222" i="12"/>
  <c r="Q222" i="12"/>
  <c r="U221" i="12"/>
  <c r="T221" i="12"/>
  <c r="S221" i="12"/>
  <c r="R221" i="12"/>
  <c r="Q221" i="12"/>
  <c r="U220" i="12"/>
  <c r="T220" i="12"/>
  <c r="S220" i="12"/>
  <c r="R220" i="12"/>
  <c r="Q220" i="12"/>
  <c r="U219" i="12"/>
  <c r="T219" i="12"/>
  <c r="S219" i="12"/>
  <c r="R219" i="12"/>
  <c r="Q219" i="12"/>
  <c r="U198" i="12"/>
  <c r="T198" i="12"/>
  <c r="S198" i="12"/>
  <c r="R198" i="12"/>
  <c r="Q198" i="12"/>
  <c r="U218" i="12"/>
  <c r="T218" i="12"/>
  <c r="S218" i="12"/>
  <c r="R218" i="12"/>
  <c r="Q218" i="12"/>
  <c r="U217" i="12"/>
  <c r="T217" i="12"/>
  <c r="S217" i="12"/>
  <c r="R217" i="12"/>
  <c r="Q217" i="12"/>
  <c r="U216" i="12"/>
  <c r="T216" i="12"/>
  <c r="S216" i="12"/>
  <c r="R216" i="12"/>
  <c r="Q216" i="12"/>
  <c r="U215" i="12"/>
  <c r="T215" i="12"/>
  <c r="S215" i="12"/>
  <c r="R215" i="12"/>
  <c r="Q215" i="12"/>
  <c r="U214" i="12"/>
  <c r="T214" i="12"/>
  <c r="S214" i="12"/>
  <c r="R214" i="12"/>
  <c r="Q214" i="12"/>
  <c r="U213" i="12"/>
  <c r="T213" i="12"/>
  <c r="S213" i="12"/>
  <c r="R213" i="12"/>
  <c r="Q213" i="12"/>
  <c r="U212" i="12"/>
  <c r="T212" i="12"/>
  <c r="S212" i="12"/>
  <c r="R212" i="12"/>
  <c r="Q212" i="12"/>
  <c r="U211" i="12"/>
  <c r="T211" i="12"/>
  <c r="S211" i="12"/>
  <c r="R211" i="12"/>
  <c r="Q211" i="12"/>
  <c r="U210" i="12"/>
  <c r="T210" i="12"/>
  <c r="S210" i="12"/>
  <c r="R210" i="12"/>
  <c r="Q210" i="12"/>
  <c r="U209" i="12"/>
  <c r="T209" i="12"/>
  <c r="S209" i="12"/>
  <c r="R209" i="12"/>
  <c r="Q209" i="12"/>
  <c r="U208" i="12"/>
  <c r="T208" i="12"/>
  <c r="S208" i="12"/>
  <c r="R208" i="12"/>
  <c r="Q208" i="12"/>
  <c r="U207" i="12"/>
  <c r="T207" i="12"/>
  <c r="S207" i="12"/>
  <c r="R207" i="12"/>
  <c r="Q207" i="12"/>
  <c r="U204" i="12"/>
  <c r="T204" i="12"/>
  <c r="S204" i="12"/>
  <c r="R204" i="12"/>
  <c r="Q204" i="12"/>
  <c r="U203" i="12"/>
  <c r="T203" i="12"/>
  <c r="S203" i="12"/>
  <c r="R203" i="12"/>
  <c r="Q203" i="12"/>
  <c r="U202" i="12"/>
  <c r="T202" i="12"/>
  <c r="S202" i="12"/>
  <c r="R202" i="12"/>
  <c r="Q202" i="12"/>
  <c r="AH184" i="12"/>
  <c r="AH186" i="12"/>
  <c r="AH188" i="12"/>
  <c r="U201" i="12"/>
  <c r="T201" i="12"/>
  <c r="S201" i="12"/>
  <c r="R201" i="12"/>
  <c r="Q201" i="12"/>
  <c r="U200" i="12"/>
  <c r="T200" i="12"/>
  <c r="S200" i="12"/>
  <c r="R200" i="12"/>
  <c r="Q200" i="12"/>
  <c r="U199" i="12"/>
  <c r="T199" i="12"/>
  <c r="S199" i="12"/>
  <c r="R199" i="12"/>
  <c r="Q199" i="12"/>
  <c r="U197" i="12"/>
  <c r="T197" i="12"/>
  <c r="S197" i="12"/>
  <c r="R197" i="12"/>
  <c r="Q197" i="12"/>
  <c r="U196" i="12"/>
  <c r="T196" i="12"/>
  <c r="S196" i="12"/>
  <c r="R196" i="12"/>
  <c r="Q196" i="12"/>
  <c r="U195" i="12"/>
  <c r="T195" i="12"/>
  <c r="S195" i="12"/>
  <c r="R195" i="12"/>
  <c r="Q195" i="12"/>
  <c r="U194" i="12"/>
  <c r="T194" i="12"/>
  <c r="S194" i="12"/>
  <c r="R194" i="12"/>
  <c r="Q194" i="12"/>
  <c r="U193" i="12"/>
  <c r="T193" i="12"/>
  <c r="S193" i="12"/>
  <c r="R193" i="12"/>
  <c r="Q193" i="12"/>
  <c r="U192" i="12"/>
  <c r="T192" i="12"/>
  <c r="S192" i="12"/>
  <c r="R192" i="12"/>
  <c r="Q192" i="12"/>
  <c r="U191" i="12"/>
  <c r="T191" i="12"/>
  <c r="S191" i="12"/>
  <c r="R191" i="12"/>
  <c r="Q191" i="12"/>
  <c r="U190" i="12"/>
  <c r="T190" i="12"/>
  <c r="S190" i="12"/>
  <c r="R190" i="12"/>
  <c r="Q190" i="12"/>
  <c r="U189" i="12"/>
  <c r="T189" i="12"/>
  <c r="S189" i="12"/>
  <c r="R189" i="12"/>
  <c r="Q189" i="12"/>
  <c r="U188" i="12"/>
  <c r="T188" i="12"/>
  <c r="S188" i="12"/>
  <c r="R188" i="12"/>
  <c r="Q188" i="12"/>
  <c r="U187" i="12"/>
  <c r="T187" i="12"/>
  <c r="S187" i="12"/>
  <c r="R187" i="12"/>
  <c r="Q187" i="12"/>
  <c r="U186" i="12"/>
  <c r="T186" i="12"/>
  <c r="S186" i="12"/>
  <c r="R186" i="12"/>
  <c r="Q186" i="12"/>
  <c r="U185" i="12"/>
  <c r="T185" i="12"/>
  <c r="S185" i="12"/>
  <c r="R185" i="12"/>
  <c r="Q185" i="12"/>
  <c r="U184" i="12"/>
  <c r="T184" i="12"/>
  <c r="S184" i="12"/>
  <c r="R184" i="12"/>
  <c r="Q184" i="12"/>
  <c r="U183" i="12"/>
  <c r="T183" i="12"/>
  <c r="S183" i="12"/>
  <c r="R183" i="12"/>
  <c r="Q183" i="12"/>
  <c r="AH178" i="12"/>
  <c r="AI174" i="12"/>
  <c r="AI171" i="12"/>
  <c r="AH166" i="12"/>
  <c r="AH168" i="12"/>
  <c r="U166" i="12"/>
  <c r="T166" i="12"/>
  <c r="S166" i="12"/>
  <c r="R166" i="12"/>
  <c r="Q166" i="12"/>
  <c r="U165" i="12"/>
  <c r="T165" i="12"/>
  <c r="S165" i="12"/>
  <c r="R165" i="12"/>
  <c r="Q165" i="12"/>
  <c r="U182" i="12"/>
  <c r="T182" i="12"/>
  <c r="S182" i="12"/>
  <c r="R182" i="12"/>
  <c r="Q182" i="12"/>
  <c r="U181" i="12"/>
  <c r="T181" i="12"/>
  <c r="S181" i="12"/>
  <c r="R181" i="12"/>
  <c r="Q181" i="12"/>
  <c r="U180" i="12"/>
  <c r="T180" i="12"/>
  <c r="S180" i="12"/>
  <c r="R180" i="12"/>
  <c r="Q180" i="12"/>
  <c r="U179" i="12"/>
  <c r="T179" i="12"/>
  <c r="S179" i="12"/>
  <c r="R179" i="12"/>
  <c r="Q179" i="12"/>
  <c r="U178" i="12"/>
  <c r="T178" i="12"/>
  <c r="S178" i="12"/>
  <c r="R178" i="12"/>
  <c r="Q178" i="12"/>
  <c r="U175" i="12"/>
  <c r="T175" i="12"/>
  <c r="S175" i="12"/>
  <c r="R175" i="12"/>
  <c r="Q175" i="12"/>
  <c r="U174" i="12"/>
  <c r="T174" i="12"/>
  <c r="S174" i="12"/>
  <c r="R174" i="12"/>
  <c r="Q174" i="12"/>
  <c r="U171" i="12"/>
  <c r="T171" i="12"/>
  <c r="S171" i="12"/>
  <c r="R171" i="12"/>
  <c r="Q171" i="12"/>
  <c r="AH149" i="12"/>
  <c r="AH147" i="12"/>
  <c r="U168" i="12"/>
  <c r="T168" i="12"/>
  <c r="S168" i="12"/>
  <c r="R168" i="12"/>
  <c r="Q168" i="12"/>
  <c r="U167" i="12"/>
  <c r="T167" i="12"/>
  <c r="S167" i="12"/>
  <c r="R167" i="12"/>
  <c r="Q167" i="12"/>
  <c r="U164" i="12"/>
  <c r="T164" i="12"/>
  <c r="S164" i="12"/>
  <c r="R164" i="12"/>
  <c r="Q164" i="12"/>
  <c r="U163" i="12"/>
  <c r="T163" i="12"/>
  <c r="S163" i="12"/>
  <c r="R163" i="12"/>
  <c r="Q163" i="12"/>
  <c r="U162" i="12"/>
  <c r="T162" i="12"/>
  <c r="S162" i="12"/>
  <c r="R162" i="12"/>
  <c r="Q162" i="12"/>
  <c r="U161" i="12"/>
  <c r="T161" i="12"/>
  <c r="S161" i="12"/>
  <c r="R161" i="12"/>
  <c r="Q161" i="12"/>
  <c r="U160" i="12"/>
  <c r="T160" i="12"/>
  <c r="S160" i="12"/>
  <c r="R160" i="12"/>
  <c r="Q160" i="12"/>
  <c r="U159" i="12"/>
  <c r="T159" i="12"/>
  <c r="S159" i="12"/>
  <c r="R159" i="12"/>
  <c r="Q159" i="12"/>
  <c r="U149" i="12"/>
  <c r="T149" i="12"/>
  <c r="S149" i="12"/>
  <c r="R149" i="12"/>
  <c r="Q149" i="12"/>
  <c r="U148" i="12"/>
  <c r="T148" i="12"/>
  <c r="S148" i="12"/>
  <c r="R148" i="12"/>
  <c r="Q148" i="12"/>
  <c r="U147" i="12"/>
  <c r="T147" i="12"/>
  <c r="S147" i="12"/>
  <c r="R147" i="12"/>
  <c r="Q147" i="12"/>
  <c r="U146" i="12"/>
  <c r="T146" i="12"/>
  <c r="S146" i="12"/>
  <c r="R146" i="12"/>
  <c r="Q146" i="12"/>
  <c r="U145" i="12"/>
  <c r="T145" i="12"/>
  <c r="S145" i="12"/>
  <c r="R145" i="12"/>
  <c r="Q145" i="12"/>
  <c r="U144" i="12"/>
  <c r="T144" i="12"/>
  <c r="S144" i="12"/>
  <c r="R144" i="12"/>
  <c r="Q144" i="12"/>
  <c r="U143" i="12"/>
  <c r="T143" i="12"/>
  <c r="S143" i="12"/>
  <c r="R143" i="12"/>
  <c r="Q143" i="12"/>
  <c r="U142" i="12"/>
  <c r="T142" i="12"/>
  <c r="S142" i="12"/>
  <c r="R142" i="12"/>
  <c r="Q142" i="12"/>
  <c r="U141" i="12"/>
  <c r="T141" i="12"/>
  <c r="S141" i="12"/>
  <c r="R141" i="12"/>
  <c r="Q141" i="12"/>
  <c r="U140" i="12"/>
  <c r="T140" i="12"/>
  <c r="S140" i="12"/>
  <c r="R140" i="12"/>
  <c r="Q140" i="12"/>
  <c r="U139" i="12"/>
  <c r="T139" i="12"/>
  <c r="S139" i="12"/>
  <c r="R139" i="12"/>
  <c r="Q139" i="12"/>
  <c r="U138" i="12"/>
  <c r="T138" i="12"/>
  <c r="S138" i="12"/>
  <c r="R138" i="12"/>
  <c r="Q138" i="12"/>
  <c r="U137" i="12"/>
  <c r="T137" i="12"/>
  <c r="S137" i="12"/>
  <c r="R137" i="12"/>
  <c r="Q137" i="12"/>
  <c r="U136" i="12"/>
  <c r="T136" i="12"/>
  <c r="S136" i="12"/>
  <c r="R136" i="12"/>
  <c r="Q136" i="12"/>
  <c r="U135" i="12"/>
  <c r="T135" i="12"/>
  <c r="S135" i="12"/>
  <c r="R135" i="12"/>
  <c r="Q135" i="12"/>
  <c r="U134" i="12"/>
  <c r="T134" i="12"/>
  <c r="S134" i="12"/>
  <c r="R134" i="12"/>
  <c r="Q134" i="12"/>
  <c r="U133" i="12"/>
  <c r="T133" i="12"/>
  <c r="S133" i="12"/>
  <c r="R133" i="12"/>
  <c r="Q133" i="12"/>
  <c r="U132" i="12"/>
  <c r="T132" i="12"/>
  <c r="S132" i="12"/>
  <c r="R132" i="12"/>
  <c r="Q132" i="12"/>
  <c r="U131" i="12"/>
  <c r="T131" i="12"/>
  <c r="S131" i="12"/>
  <c r="R131" i="12"/>
  <c r="Q131" i="12"/>
  <c r="AI124" i="12"/>
  <c r="AI123" i="12"/>
  <c r="AI122" i="12"/>
  <c r="AI121" i="12"/>
  <c r="AH120" i="12"/>
  <c r="AH119" i="12"/>
  <c r="AH118" i="12"/>
  <c r="AH117" i="12"/>
  <c r="U124" i="12"/>
  <c r="T124" i="12"/>
  <c r="S124" i="12"/>
  <c r="R124" i="12"/>
  <c r="Q124" i="12"/>
  <c r="U123" i="12"/>
  <c r="T123" i="12"/>
  <c r="S123" i="12"/>
  <c r="R123" i="12"/>
  <c r="Q123" i="12"/>
  <c r="U122" i="12"/>
  <c r="T122" i="12"/>
  <c r="S122" i="12"/>
  <c r="R122" i="12"/>
  <c r="Q122" i="12"/>
  <c r="U120" i="12"/>
  <c r="T120" i="12"/>
  <c r="S120" i="12"/>
  <c r="R120" i="12"/>
  <c r="Q120" i="12"/>
  <c r="U119" i="12"/>
  <c r="T119" i="12"/>
  <c r="S119" i="12"/>
  <c r="R119" i="12"/>
  <c r="Q119" i="12"/>
  <c r="U118" i="12"/>
  <c r="T118" i="12"/>
  <c r="S118" i="12"/>
  <c r="R118" i="12"/>
  <c r="Q118" i="12"/>
  <c r="U130" i="12"/>
  <c r="T130" i="12"/>
  <c r="S130" i="12"/>
  <c r="R130" i="12"/>
  <c r="Q130" i="12"/>
  <c r="U127" i="12"/>
  <c r="T127" i="12"/>
  <c r="S127" i="12"/>
  <c r="R127" i="12"/>
  <c r="Q127" i="12"/>
  <c r="U126" i="12"/>
  <c r="T126" i="12"/>
  <c r="S126" i="12"/>
  <c r="R126" i="12"/>
  <c r="Q126" i="12"/>
  <c r="U125" i="12"/>
  <c r="T125" i="12"/>
  <c r="S125" i="12"/>
  <c r="R125" i="12"/>
  <c r="Q125" i="12"/>
  <c r="U111" i="12"/>
  <c r="T111" i="12"/>
  <c r="S111" i="12"/>
  <c r="R111" i="12"/>
  <c r="Q111" i="12"/>
  <c r="U108" i="12"/>
  <c r="T108" i="12"/>
  <c r="S108" i="12"/>
  <c r="R108" i="12"/>
  <c r="Q108" i="12"/>
  <c r="U105" i="12"/>
  <c r="T105" i="12"/>
  <c r="S105" i="12"/>
  <c r="R105" i="12"/>
  <c r="Q105" i="12"/>
  <c r="U121" i="12"/>
  <c r="T121" i="12"/>
  <c r="S121" i="12"/>
  <c r="R121" i="12"/>
  <c r="Q121" i="12"/>
  <c r="U117" i="12"/>
  <c r="T117" i="12"/>
  <c r="S117" i="12"/>
  <c r="R117" i="12"/>
  <c r="Q117" i="12"/>
  <c r="U116" i="12"/>
  <c r="T116" i="12"/>
  <c r="S116" i="12"/>
  <c r="R116" i="12"/>
  <c r="Q116" i="12"/>
  <c r="U115" i="12"/>
  <c r="T115" i="12"/>
  <c r="S115" i="12"/>
  <c r="R115" i="12"/>
  <c r="Q115" i="12"/>
  <c r="U114" i="12"/>
  <c r="T114" i="12"/>
  <c r="S114" i="12"/>
  <c r="R114" i="12"/>
  <c r="Q114" i="12"/>
  <c r="U113" i="12"/>
  <c r="T113" i="12"/>
  <c r="S113" i="12"/>
  <c r="R113" i="12"/>
  <c r="Q113" i="12"/>
  <c r="U112" i="12"/>
  <c r="T112" i="12"/>
  <c r="S112" i="12"/>
  <c r="R112" i="12"/>
  <c r="Q112" i="12"/>
  <c r="U110" i="12"/>
  <c r="T110" i="12"/>
  <c r="S110" i="12"/>
  <c r="R110" i="12"/>
  <c r="Q110" i="12"/>
  <c r="U109" i="12"/>
  <c r="T109" i="12"/>
  <c r="S109" i="12"/>
  <c r="R109" i="12"/>
  <c r="Q109" i="12"/>
  <c r="U107" i="12"/>
  <c r="T107" i="12"/>
  <c r="S107" i="12"/>
  <c r="R107" i="12"/>
  <c r="Q107" i="12"/>
  <c r="U106" i="12"/>
  <c r="T106" i="12"/>
  <c r="S106" i="12"/>
  <c r="R106" i="12"/>
  <c r="Q106" i="12"/>
  <c r="U104" i="12"/>
  <c r="T104" i="12"/>
  <c r="S104" i="12"/>
  <c r="R104" i="12"/>
  <c r="Q104" i="12"/>
  <c r="U103" i="12"/>
  <c r="T103" i="12"/>
  <c r="S103" i="12"/>
  <c r="R103" i="12"/>
  <c r="Q103" i="12"/>
  <c r="U102" i="12"/>
  <c r="T102" i="12"/>
  <c r="S102" i="12"/>
  <c r="R102" i="12"/>
  <c r="U101" i="12"/>
  <c r="T101" i="12"/>
  <c r="S101" i="12"/>
  <c r="R101" i="12"/>
  <c r="Q102" i="12"/>
  <c r="Q101" i="12"/>
  <c r="U100" i="12"/>
  <c r="T100" i="12"/>
  <c r="S100" i="12"/>
  <c r="R100" i="12"/>
  <c r="U99" i="12"/>
  <c r="T99" i="12"/>
  <c r="S99" i="12"/>
  <c r="R99" i="12"/>
  <c r="T98" i="12"/>
  <c r="S98" i="12"/>
  <c r="R98" i="12"/>
  <c r="U98" i="12"/>
  <c r="U97" i="12"/>
  <c r="T97" i="12"/>
  <c r="S97" i="12"/>
  <c r="R97" i="12"/>
  <c r="Q100" i="12"/>
  <c r="Q99" i="12"/>
  <c r="Q98" i="12"/>
  <c r="Q97" i="12"/>
  <c r="U96" i="12"/>
  <c r="T96" i="12"/>
  <c r="S96" i="12"/>
  <c r="R96" i="12"/>
  <c r="Q96" i="12"/>
  <c r="U95" i="12"/>
  <c r="T95" i="12"/>
  <c r="S95" i="12"/>
  <c r="R95" i="12"/>
  <c r="Q95" i="12"/>
  <c r="AH33" i="12"/>
  <c r="U33" i="12"/>
  <c r="T33" i="12"/>
  <c r="S33" i="12"/>
  <c r="R33" i="12"/>
  <c r="Q33" i="12"/>
  <c r="AI32" i="12"/>
  <c r="U32" i="12"/>
  <c r="T32" i="12"/>
  <c r="S32" i="12"/>
  <c r="R32" i="12"/>
  <c r="Q32" i="12"/>
  <c r="AH31" i="12"/>
  <c r="U31" i="12"/>
  <c r="T31" i="12"/>
  <c r="S31" i="12"/>
  <c r="R31" i="12"/>
  <c r="Q31" i="12"/>
  <c r="AI30" i="12"/>
  <c r="U30" i="12"/>
  <c r="T30" i="12"/>
  <c r="S30" i="12"/>
  <c r="R30" i="12"/>
  <c r="Q30" i="12"/>
  <c r="AH25" i="12"/>
  <c r="AI38" i="12"/>
  <c r="AI35" i="12"/>
  <c r="AI28" i="12"/>
  <c r="AI27" i="12"/>
  <c r="AH39" i="12"/>
  <c r="AH37" i="12"/>
  <c r="AH36" i="12"/>
  <c r="AH34" i="12"/>
  <c r="AH29" i="12"/>
  <c r="U27" i="12"/>
  <c r="T27" i="12"/>
  <c r="S27" i="12"/>
  <c r="R27" i="12"/>
  <c r="Q27" i="12"/>
  <c r="U39" i="12"/>
  <c r="T39" i="12"/>
  <c r="S39" i="12"/>
  <c r="R39" i="12"/>
  <c r="Q39" i="12"/>
  <c r="U25" i="12"/>
  <c r="T25" i="12"/>
  <c r="S25" i="12"/>
  <c r="R25" i="12"/>
  <c r="Q25" i="12"/>
  <c r="AI15" i="12"/>
  <c r="U15" i="12"/>
  <c r="T15" i="12"/>
  <c r="S15" i="12"/>
  <c r="R15" i="12"/>
  <c r="Q15" i="12"/>
  <c r="U34" i="12"/>
  <c r="T34" i="12"/>
  <c r="S34" i="12"/>
  <c r="R34" i="12"/>
  <c r="Q34" i="12"/>
  <c r="U29" i="12"/>
  <c r="T29" i="12"/>
  <c r="S29" i="12"/>
  <c r="R29" i="12"/>
  <c r="Q29" i="12"/>
  <c r="U28" i="12"/>
  <c r="T28" i="12"/>
  <c r="S28" i="12"/>
  <c r="R28" i="12"/>
  <c r="Q28" i="12"/>
  <c r="U36" i="12"/>
  <c r="T36" i="12"/>
  <c r="S36" i="12"/>
  <c r="R36" i="12"/>
  <c r="Q36" i="12"/>
  <c r="U35" i="12"/>
  <c r="T35" i="12"/>
  <c r="S35" i="12"/>
  <c r="R35" i="12"/>
  <c r="Q35" i="12"/>
  <c r="AI21" i="12"/>
  <c r="AH20" i="12"/>
  <c r="U21" i="12"/>
  <c r="T21" i="12"/>
  <c r="S21" i="12"/>
  <c r="R21" i="12"/>
  <c r="Q21" i="12"/>
  <c r="U20" i="12"/>
  <c r="T20" i="12"/>
  <c r="S20" i="12"/>
  <c r="R20" i="12"/>
  <c r="Q20" i="12"/>
  <c r="AI24" i="12"/>
  <c r="AI16" i="12"/>
  <c r="U24" i="12"/>
  <c r="T24" i="12"/>
  <c r="S24" i="12"/>
  <c r="R24" i="12"/>
  <c r="Q24" i="12"/>
  <c r="U23" i="12"/>
  <c r="T23" i="12"/>
  <c r="S23" i="12"/>
  <c r="R23" i="12"/>
  <c r="Q23" i="12"/>
  <c r="U22" i="12"/>
  <c r="T22" i="12"/>
  <c r="S22" i="12"/>
  <c r="R22" i="12"/>
  <c r="Q22" i="12"/>
  <c r="U60" i="12"/>
  <c r="T60" i="12"/>
  <c r="S60" i="12"/>
  <c r="R60" i="12"/>
  <c r="Q60" i="12"/>
  <c r="U58" i="12"/>
  <c r="T58" i="12"/>
  <c r="S58" i="12"/>
  <c r="R58" i="12"/>
  <c r="Q58" i="12"/>
  <c r="Q59" i="12"/>
  <c r="R59" i="12"/>
  <c r="S59" i="12"/>
  <c r="T59" i="12"/>
  <c r="U59" i="12"/>
  <c r="U94" i="12"/>
  <c r="T94" i="12"/>
  <c r="S94" i="12"/>
  <c r="R94" i="12"/>
  <c r="Q94" i="12"/>
  <c r="U93" i="12"/>
  <c r="T93" i="12"/>
  <c r="S93" i="12"/>
  <c r="R93" i="12"/>
  <c r="Q93" i="12"/>
  <c r="U92" i="12"/>
  <c r="T92" i="12"/>
  <c r="S92" i="12"/>
  <c r="R92" i="12"/>
  <c r="Q92" i="12"/>
  <c r="U91" i="12"/>
  <c r="T91" i="12"/>
  <c r="S91" i="12"/>
  <c r="R91" i="12"/>
  <c r="Q91" i="12"/>
  <c r="U90" i="12"/>
  <c r="T90" i="12"/>
  <c r="S90" i="12"/>
  <c r="R90" i="12"/>
  <c r="Q90" i="12"/>
  <c r="U89" i="12"/>
  <c r="T89" i="12"/>
  <c r="S89" i="12"/>
  <c r="R89" i="12"/>
  <c r="Q89" i="12"/>
  <c r="U88" i="12"/>
  <c r="T88" i="12"/>
  <c r="S88" i="12"/>
  <c r="R88" i="12"/>
  <c r="Q88" i="12"/>
  <c r="U87" i="12"/>
  <c r="T87" i="12"/>
  <c r="S87" i="12"/>
  <c r="R87" i="12"/>
  <c r="Q87" i="12"/>
  <c r="U86" i="12"/>
  <c r="T86" i="12"/>
  <c r="S86" i="12"/>
  <c r="R86" i="12"/>
  <c r="Q86" i="12"/>
  <c r="U85" i="12"/>
  <c r="T85" i="12"/>
  <c r="S85" i="12"/>
  <c r="R85" i="12"/>
  <c r="Q85" i="12"/>
  <c r="U84" i="12"/>
  <c r="T84" i="12"/>
  <c r="S84" i="12"/>
  <c r="R84" i="12"/>
  <c r="Q84" i="12"/>
  <c r="U83" i="12"/>
  <c r="T83" i="12"/>
  <c r="S83" i="12"/>
  <c r="R83" i="12"/>
  <c r="Q83" i="12"/>
  <c r="U82" i="12"/>
  <c r="T82" i="12"/>
  <c r="S82" i="12"/>
  <c r="R82" i="12"/>
  <c r="Q82" i="12"/>
  <c r="U81" i="12"/>
  <c r="T81" i="12"/>
  <c r="S81" i="12"/>
  <c r="R81" i="12"/>
  <c r="Q81" i="12"/>
  <c r="U80" i="12"/>
  <c r="T80" i="12"/>
  <c r="S80" i="12"/>
  <c r="R80" i="12"/>
  <c r="Q80" i="12"/>
  <c r="U79" i="12"/>
  <c r="T79" i="12"/>
  <c r="S79" i="12"/>
  <c r="R79" i="12"/>
  <c r="Q79" i="12"/>
  <c r="U78" i="12"/>
  <c r="T78" i="12"/>
  <c r="S78" i="12"/>
  <c r="R78" i="12"/>
  <c r="Q78" i="12"/>
  <c r="U77" i="12"/>
  <c r="T77" i="12"/>
  <c r="S77" i="12"/>
  <c r="R77" i="12"/>
  <c r="Q77" i="12"/>
  <c r="U76" i="12"/>
  <c r="T76" i="12"/>
  <c r="S76" i="12"/>
  <c r="R76" i="12"/>
  <c r="Q76" i="12"/>
  <c r="T75" i="12"/>
  <c r="S75" i="12"/>
  <c r="R75" i="12"/>
  <c r="Q75" i="12"/>
  <c r="N23" i="13"/>
  <c r="M23" i="13"/>
  <c r="L23" i="13"/>
  <c r="K23" i="13"/>
  <c r="J23" i="13"/>
  <c r="N22" i="13"/>
  <c r="M22" i="13"/>
  <c r="L22" i="13"/>
  <c r="K22" i="13"/>
  <c r="J22" i="13"/>
  <c r="N21" i="13"/>
  <c r="M21" i="13"/>
  <c r="L21" i="13"/>
  <c r="K21" i="13"/>
  <c r="J21" i="13"/>
  <c r="N20" i="13"/>
  <c r="M20" i="13"/>
  <c r="L20" i="13"/>
  <c r="K20" i="13"/>
  <c r="J20" i="13"/>
  <c r="N19" i="13"/>
  <c r="M19" i="13"/>
  <c r="L19" i="13"/>
  <c r="K19" i="13"/>
  <c r="J19" i="13"/>
  <c r="N18" i="13"/>
  <c r="M18" i="13"/>
  <c r="L18" i="13"/>
  <c r="K18" i="13"/>
  <c r="J18" i="13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N13" i="13"/>
  <c r="M13" i="13"/>
  <c r="L13" i="13"/>
  <c r="K13" i="13"/>
  <c r="J13" i="13"/>
  <c r="N12" i="13"/>
  <c r="M12" i="13"/>
  <c r="L12" i="13"/>
  <c r="K12" i="13"/>
  <c r="J12" i="13"/>
  <c r="O12" i="13" s="1"/>
  <c r="P12" i="13" s="1"/>
  <c r="N11" i="13"/>
  <c r="M11" i="13"/>
  <c r="L11" i="13"/>
  <c r="K11" i="13"/>
  <c r="J11" i="13"/>
  <c r="N10" i="13"/>
  <c r="M10" i="13"/>
  <c r="L10" i="13"/>
  <c r="K10" i="13"/>
  <c r="J10" i="13"/>
  <c r="N9" i="13"/>
  <c r="M9" i="13"/>
  <c r="L9" i="13"/>
  <c r="K9" i="13"/>
  <c r="J9" i="13"/>
  <c r="N8" i="13"/>
  <c r="M8" i="13"/>
  <c r="L8" i="13"/>
  <c r="K8" i="13"/>
  <c r="J8" i="13"/>
  <c r="N7" i="13"/>
  <c r="M7" i="13"/>
  <c r="L7" i="13"/>
  <c r="K7" i="13"/>
  <c r="J7" i="13"/>
  <c r="N6" i="13"/>
  <c r="M6" i="13"/>
  <c r="L6" i="13"/>
  <c r="K6" i="13"/>
  <c r="J6" i="13"/>
  <c r="N5" i="13"/>
  <c r="M5" i="13"/>
  <c r="L5" i="13"/>
  <c r="K5" i="13"/>
  <c r="J5" i="13"/>
  <c r="M4" i="13"/>
  <c r="L4" i="13"/>
  <c r="K4" i="13"/>
  <c r="J4" i="13"/>
  <c r="T52" i="12"/>
  <c r="S52" i="12"/>
  <c r="R52" i="12"/>
  <c r="Q52" i="12"/>
  <c r="U66" i="12"/>
  <c r="T66" i="12"/>
  <c r="S66" i="12"/>
  <c r="R66" i="12"/>
  <c r="Q66" i="12"/>
  <c r="U67" i="12"/>
  <c r="T67" i="12"/>
  <c r="S67" i="12"/>
  <c r="R67" i="12"/>
  <c r="Q67" i="12"/>
  <c r="U62" i="12"/>
  <c r="T62" i="12"/>
  <c r="S62" i="12"/>
  <c r="R62" i="12"/>
  <c r="Q62" i="12"/>
  <c r="U48" i="12"/>
  <c r="T48" i="12"/>
  <c r="S48" i="12"/>
  <c r="R48" i="12"/>
  <c r="Q48" i="12"/>
  <c r="U47" i="12"/>
  <c r="T47" i="12"/>
  <c r="S47" i="12"/>
  <c r="R47" i="12"/>
  <c r="Q47" i="12"/>
  <c r="U46" i="12"/>
  <c r="T46" i="12"/>
  <c r="S46" i="12"/>
  <c r="R46" i="12"/>
  <c r="Q46" i="12"/>
  <c r="U45" i="12"/>
  <c r="T45" i="12"/>
  <c r="S45" i="12"/>
  <c r="R45" i="12"/>
  <c r="Q45" i="12"/>
  <c r="U44" i="12"/>
  <c r="T44" i="12"/>
  <c r="S44" i="12"/>
  <c r="R44" i="12"/>
  <c r="Q44" i="12"/>
  <c r="U43" i="12"/>
  <c r="T43" i="12"/>
  <c r="S43" i="12"/>
  <c r="R43" i="12"/>
  <c r="Q43" i="12"/>
  <c r="U42" i="12"/>
  <c r="T42" i="12"/>
  <c r="S42" i="12"/>
  <c r="R42" i="12"/>
  <c r="Q42" i="12"/>
  <c r="U41" i="12"/>
  <c r="T41" i="12"/>
  <c r="S41" i="12"/>
  <c r="R41" i="12"/>
  <c r="Q41" i="12"/>
  <c r="U40" i="12"/>
  <c r="T40" i="12"/>
  <c r="S40" i="12"/>
  <c r="R40" i="12"/>
  <c r="Q40" i="12"/>
  <c r="U38" i="12"/>
  <c r="T38" i="12"/>
  <c r="S38" i="12"/>
  <c r="R38" i="12"/>
  <c r="Q38" i="12"/>
  <c r="U37" i="12"/>
  <c r="T37" i="12"/>
  <c r="S37" i="12"/>
  <c r="R37" i="12"/>
  <c r="Q37" i="12"/>
  <c r="U26" i="12"/>
  <c r="T26" i="12"/>
  <c r="S26" i="12"/>
  <c r="R26" i="12"/>
  <c r="Q26" i="12"/>
  <c r="U17" i="12"/>
  <c r="T17" i="12"/>
  <c r="S17" i="12"/>
  <c r="R17" i="12"/>
  <c r="Q17" i="12"/>
  <c r="U16" i="12"/>
  <c r="T16" i="12"/>
  <c r="S16" i="12"/>
  <c r="R16" i="12"/>
  <c r="Q16" i="12"/>
  <c r="U73" i="12"/>
  <c r="T73" i="12"/>
  <c r="S73" i="12"/>
  <c r="R73" i="12"/>
  <c r="Q73" i="12"/>
  <c r="U72" i="12"/>
  <c r="T72" i="12"/>
  <c r="S72" i="12"/>
  <c r="R72" i="12"/>
  <c r="Q72" i="12"/>
  <c r="U71" i="12"/>
  <c r="T71" i="12"/>
  <c r="S71" i="12"/>
  <c r="R71" i="12"/>
  <c r="Q71" i="12"/>
  <c r="U70" i="12"/>
  <c r="T70" i="12"/>
  <c r="S70" i="12"/>
  <c r="R70" i="12"/>
  <c r="Q70" i="12"/>
  <c r="U69" i="12"/>
  <c r="T69" i="12"/>
  <c r="S69" i="12"/>
  <c r="R69" i="12"/>
  <c r="Q69" i="12"/>
  <c r="U68" i="12"/>
  <c r="T68" i="12"/>
  <c r="S68" i="12"/>
  <c r="R68" i="12"/>
  <c r="Q68" i="12"/>
  <c r="U65" i="12"/>
  <c r="T65" i="12"/>
  <c r="S65" i="12"/>
  <c r="R65" i="12"/>
  <c r="Q65" i="12"/>
  <c r="U64" i="12"/>
  <c r="T64" i="12"/>
  <c r="S64" i="12"/>
  <c r="R64" i="12"/>
  <c r="Q64" i="12"/>
  <c r="U63" i="12"/>
  <c r="T63" i="12"/>
  <c r="S63" i="12"/>
  <c r="R63" i="12"/>
  <c r="Q63" i="12"/>
  <c r="U61" i="12"/>
  <c r="T61" i="12"/>
  <c r="S61" i="12"/>
  <c r="R61" i="12"/>
  <c r="Q61" i="12"/>
  <c r="U57" i="12"/>
  <c r="T57" i="12"/>
  <c r="S57" i="12"/>
  <c r="R57" i="12"/>
  <c r="Q57" i="12"/>
  <c r="U56" i="12"/>
  <c r="T56" i="12"/>
  <c r="S56" i="12"/>
  <c r="R56" i="12"/>
  <c r="Q56" i="12"/>
  <c r="U55" i="12"/>
  <c r="T55" i="12"/>
  <c r="S55" i="12"/>
  <c r="R55" i="12"/>
  <c r="Q55" i="12"/>
  <c r="U54" i="12"/>
  <c r="T54" i="12"/>
  <c r="S54" i="12"/>
  <c r="R54" i="12"/>
  <c r="Q54" i="12"/>
  <c r="U53" i="12"/>
  <c r="T53" i="12"/>
  <c r="S53" i="12"/>
  <c r="R53" i="12"/>
  <c r="Q53" i="12"/>
  <c r="U12" i="12"/>
  <c r="T12" i="12"/>
  <c r="S12" i="12"/>
  <c r="R12" i="12"/>
  <c r="Q12" i="12"/>
  <c r="U11" i="12"/>
  <c r="T11" i="12"/>
  <c r="S11" i="12"/>
  <c r="R11" i="12"/>
  <c r="Q11" i="12"/>
  <c r="U10" i="12"/>
  <c r="T10" i="12"/>
  <c r="S10" i="12"/>
  <c r="R10" i="12"/>
  <c r="Q10" i="12"/>
  <c r="U9" i="12"/>
  <c r="T9" i="12"/>
  <c r="S9" i="12"/>
  <c r="R9" i="12"/>
  <c r="Q9" i="12"/>
  <c r="U8" i="12"/>
  <c r="T8" i="12"/>
  <c r="S8" i="12"/>
  <c r="R8" i="12"/>
  <c r="Q8" i="12"/>
  <c r="U7" i="12"/>
  <c r="T7" i="12"/>
  <c r="S7" i="12"/>
  <c r="R7" i="12"/>
  <c r="Q7" i="12"/>
  <c r="U6" i="12"/>
  <c r="T6" i="12"/>
  <c r="S6" i="12"/>
  <c r="R6" i="12"/>
  <c r="Q6" i="12"/>
  <c r="U5" i="12"/>
  <c r="T5" i="12"/>
  <c r="S5" i="12"/>
  <c r="R5" i="12"/>
  <c r="Q5" i="12"/>
  <c r="T4" i="12"/>
  <c r="S4" i="12"/>
  <c r="R4" i="12"/>
  <c r="Q4" i="12"/>
  <c r="R144" i="7"/>
  <c r="C22" i="8"/>
  <c r="C24" i="8"/>
  <c r="C32" i="8"/>
  <c r="C33" i="8"/>
  <c r="O105" i="1"/>
  <c r="N105" i="1"/>
  <c r="M105" i="1"/>
  <c r="L105" i="1"/>
  <c r="K105" i="1"/>
  <c r="O97" i="1"/>
  <c r="N97" i="1"/>
  <c r="M97" i="1"/>
  <c r="L97" i="1"/>
  <c r="K97" i="1"/>
  <c r="O79" i="1"/>
  <c r="N79" i="1"/>
  <c r="M79" i="1"/>
  <c r="L79" i="1"/>
  <c r="K79" i="1"/>
  <c r="O62" i="1"/>
  <c r="N62" i="1"/>
  <c r="M62" i="1"/>
  <c r="L62" i="1"/>
  <c r="K62" i="1"/>
  <c r="O20" i="1"/>
  <c r="N20" i="1"/>
  <c r="M20" i="1"/>
  <c r="L20" i="1"/>
  <c r="K20" i="1"/>
  <c r="O12" i="1"/>
  <c r="N12" i="1"/>
  <c r="M12" i="1"/>
  <c r="L12" i="1"/>
  <c r="K12" i="1"/>
  <c r="O41" i="1"/>
  <c r="N41" i="1"/>
  <c r="M41" i="1"/>
  <c r="L41" i="1"/>
  <c r="O6" i="1"/>
  <c r="N6" i="1"/>
  <c r="M6" i="1"/>
  <c r="L6" i="1"/>
  <c r="K6" i="1"/>
  <c r="O37" i="1"/>
  <c r="N37" i="1"/>
  <c r="M37" i="1"/>
  <c r="L37" i="1"/>
  <c r="K37" i="1"/>
  <c r="O36" i="1"/>
  <c r="N36" i="1"/>
  <c r="M36" i="1"/>
  <c r="L36" i="1"/>
  <c r="K36" i="1"/>
  <c r="M24" i="10"/>
  <c r="L24" i="10"/>
  <c r="K24" i="10"/>
  <c r="J24" i="10"/>
  <c r="N24" i="10" s="1"/>
  <c r="O24" i="10" s="1"/>
  <c r="H24" i="10" s="1"/>
  <c r="C24" i="10" s="1"/>
  <c r="M25" i="10"/>
  <c r="L25" i="10"/>
  <c r="K25" i="10"/>
  <c r="J25" i="10"/>
  <c r="M23" i="10"/>
  <c r="L23" i="10"/>
  <c r="K23" i="10"/>
  <c r="J23" i="10"/>
  <c r="M6" i="10"/>
  <c r="L6" i="10"/>
  <c r="K6" i="10"/>
  <c r="J6" i="10"/>
  <c r="M5" i="10"/>
  <c r="L5" i="10"/>
  <c r="K5" i="10"/>
  <c r="J5" i="10"/>
  <c r="M30" i="11"/>
  <c r="L30" i="11"/>
  <c r="K30" i="11"/>
  <c r="J30" i="11"/>
  <c r="M29" i="11"/>
  <c r="L29" i="11"/>
  <c r="K29" i="11"/>
  <c r="J29" i="11"/>
  <c r="M28" i="11"/>
  <c r="L28" i="11"/>
  <c r="K28" i="11"/>
  <c r="J28" i="11"/>
  <c r="M27" i="11"/>
  <c r="L27" i="11"/>
  <c r="K27" i="11"/>
  <c r="J27" i="11"/>
  <c r="M26" i="11"/>
  <c r="L26" i="11"/>
  <c r="K26" i="11"/>
  <c r="J26" i="11"/>
  <c r="M25" i="11"/>
  <c r="L25" i="11"/>
  <c r="K25" i="11"/>
  <c r="J25" i="11"/>
  <c r="M68" i="10"/>
  <c r="L68" i="10"/>
  <c r="K68" i="10"/>
  <c r="J68" i="10"/>
  <c r="M67" i="10"/>
  <c r="L67" i="10"/>
  <c r="K67" i="10"/>
  <c r="J67" i="10"/>
  <c r="M66" i="10"/>
  <c r="L66" i="10"/>
  <c r="K66" i="10"/>
  <c r="J66" i="10"/>
  <c r="M65" i="10"/>
  <c r="L65" i="10"/>
  <c r="K65" i="10"/>
  <c r="J65" i="10"/>
  <c r="M56" i="10"/>
  <c r="L56" i="10"/>
  <c r="K56" i="10"/>
  <c r="J56" i="10"/>
  <c r="M55" i="10"/>
  <c r="L55" i="10"/>
  <c r="K55" i="10"/>
  <c r="J55" i="10"/>
  <c r="M54" i="10"/>
  <c r="L54" i="10"/>
  <c r="K54" i="10"/>
  <c r="J54" i="10"/>
  <c r="M45" i="10"/>
  <c r="L45" i="10"/>
  <c r="K45" i="10"/>
  <c r="J45" i="10"/>
  <c r="M44" i="10"/>
  <c r="L44" i="10"/>
  <c r="K44" i="10"/>
  <c r="J44" i="10"/>
  <c r="M43" i="10"/>
  <c r="L43" i="10"/>
  <c r="K43" i="10"/>
  <c r="J43" i="10"/>
  <c r="M42" i="10"/>
  <c r="L42" i="10"/>
  <c r="K42" i="10"/>
  <c r="J42" i="10"/>
  <c r="M41" i="10"/>
  <c r="L41" i="10"/>
  <c r="K41" i="10"/>
  <c r="J41" i="10"/>
  <c r="M60" i="10"/>
  <c r="L60" i="10"/>
  <c r="K60" i="10"/>
  <c r="J60" i="10"/>
  <c r="M59" i="10"/>
  <c r="L59" i="10"/>
  <c r="K59" i="10"/>
  <c r="J59" i="10"/>
  <c r="M58" i="10"/>
  <c r="L58" i="10"/>
  <c r="K58" i="10"/>
  <c r="J58" i="10"/>
  <c r="M57" i="10"/>
  <c r="L57" i="10"/>
  <c r="K57" i="10"/>
  <c r="J57" i="10"/>
  <c r="M62" i="10"/>
  <c r="L62" i="10"/>
  <c r="K62" i="10"/>
  <c r="J62" i="10"/>
  <c r="M61" i="10"/>
  <c r="L61" i="10"/>
  <c r="K61" i="10"/>
  <c r="J61" i="10"/>
  <c r="M64" i="10"/>
  <c r="L64" i="10"/>
  <c r="K64" i="10"/>
  <c r="J64" i="10"/>
  <c r="M63" i="10"/>
  <c r="L63" i="10"/>
  <c r="K63" i="10"/>
  <c r="J63" i="10"/>
  <c r="M40" i="10"/>
  <c r="L40" i="10"/>
  <c r="K40" i="10"/>
  <c r="J40" i="10"/>
  <c r="M39" i="10"/>
  <c r="L39" i="10"/>
  <c r="K39" i="10"/>
  <c r="J39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12" i="10"/>
  <c r="L12" i="10"/>
  <c r="K12" i="10"/>
  <c r="J12" i="10"/>
  <c r="M11" i="10"/>
  <c r="L11" i="10"/>
  <c r="K11" i="10"/>
  <c r="J11" i="10"/>
  <c r="M10" i="10"/>
  <c r="L10" i="10"/>
  <c r="K10" i="10"/>
  <c r="J10" i="10"/>
  <c r="M9" i="10"/>
  <c r="L9" i="10"/>
  <c r="K9" i="10"/>
  <c r="J9" i="10"/>
  <c r="M8" i="10"/>
  <c r="L8" i="10"/>
  <c r="K8" i="10"/>
  <c r="J8" i="10"/>
  <c r="M7" i="10"/>
  <c r="L7" i="10"/>
  <c r="K7" i="10"/>
  <c r="J7" i="10"/>
  <c r="M4" i="10"/>
  <c r="L4" i="10"/>
  <c r="K4" i="10"/>
  <c r="J4" i="10"/>
  <c r="M3" i="10"/>
  <c r="L3" i="10"/>
  <c r="K3" i="10"/>
  <c r="J3" i="10"/>
  <c r="M30" i="10"/>
  <c r="L30" i="10"/>
  <c r="K30" i="10"/>
  <c r="J30" i="10"/>
  <c r="M29" i="10"/>
  <c r="L29" i="10"/>
  <c r="K29" i="10"/>
  <c r="J29" i="10"/>
  <c r="M26" i="10"/>
  <c r="L26" i="10"/>
  <c r="K26" i="10"/>
  <c r="J26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34" i="10"/>
  <c r="L34" i="10"/>
  <c r="K34" i="10"/>
  <c r="J34" i="10"/>
  <c r="M33" i="10"/>
  <c r="L33" i="10"/>
  <c r="K33" i="10"/>
  <c r="J33" i="10"/>
  <c r="M32" i="10"/>
  <c r="L32" i="10"/>
  <c r="K32" i="10"/>
  <c r="J32" i="10"/>
  <c r="M31" i="10"/>
  <c r="L31" i="10"/>
  <c r="K31" i="10"/>
  <c r="J31" i="10"/>
  <c r="M36" i="10"/>
  <c r="L36" i="10"/>
  <c r="K36" i="10"/>
  <c r="J36" i="10"/>
  <c r="M35" i="10"/>
  <c r="L35" i="10"/>
  <c r="K35" i="10"/>
  <c r="J35" i="10"/>
  <c r="M37" i="10"/>
  <c r="L37" i="10"/>
  <c r="K37" i="10"/>
  <c r="J37" i="10"/>
  <c r="M38" i="10"/>
  <c r="L38" i="10"/>
  <c r="K38" i="10"/>
  <c r="J38" i="10"/>
  <c r="M24" i="11"/>
  <c r="L24" i="11"/>
  <c r="K24" i="11"/>
  <c r="J24" i="11"/>
  <c r="N24" i="11" s="1"/>
  <c r="O24" i="11" s="1"/>
  <c r="H24" i="11" s="1"/>
  <c r="C24" i="11" s="1"/>
  <c r="M23" i="11"/>
  <c r="L23" i="11"/>
  <c r="K23" i="11"/>
  <c r="N23" i="11" s="1"/>
  <c r="O23" i="11" s="1"/>
  <c r="H23" i="11" s="1"/>
  <c r="C23" i="11" s="1"/>
  <c r="J23" i="11"/>
  <c r="M22" i="11"/>
  <c r="L22" i="11"/>
  <c r="K22" i="11"/>
  <c r="N22" i="11" s="1"/>
  <c r="O22" i="11" s="1"/>
  <c r="H22" i="11" s="1"/>
  <c r="C22" i="11" s="1"/>
  <c r="J22" i="11"/>
  <c r="M21" i="11"/>
  <c r="L21" i="11"/>
  <c r="K21" i="11"/>
  <c r="J21" i="11"/>
  <c r="N21" i="11" s="1"/>
  <c r="O21" i="11" s="1"/>
  <c r="H21" i="11" s="1"/>
  <c r="C21" i="11" s="1"/>
  <c r="O20" i="11"/>
  <c r="H20" i="11" s="1"/>
  <c r="C20" i="11" s="1"/>
  <c r="N20" i="11"/>
  <c r="M20" i="11"/>
  <c r="L20" i="11"/>
  <c r="K20" i="11"/>
  <c r="J20" i="11"/>
  <c r="M19" i="11"/>
  <c r="L19" i="11"/>
  <c r="K19" i="11"/>
  <c r="J19" i="11"/>
  <c r="N19" i="11" s="1"/>
  <c r="O19" i="11" s="1"/>
  <c r="H19" i="11" s="1"/>
  <c r="C19" i="11" s="1"/>
  <c r="M18" i="11"/>
  <c r="L18" i="11"/>
  <c r="K18" i="11"/>
  <c r="N18" i="11" s="1"/>
  <c r="O18" i="11" s="1"/>
  <c r="H18" i="11" s="1"/>
  <c r="C18" i="11" s="1"/>
  <c r="J18" i="11"/>
  <c r="M17" i="11"/>
  <c r="L17" i="11"/>
  <c r="K17" i="11"/>
  <c r="N17" i="11" s="1"/>
  <c r="O17" i="11" s="1"/>
  <c r="H17" i="11" s="1"/>
  <c r="C17" i="11" s="1"/>
  <c r="J17" i="11"/>
  <c r="M16" i="11"/>
  <c r="L16" i="11"/>
  <c r="K16" i="11"/>
  <c r="J16" i="11"/>
  <c r="N16" i="11" s="1"/>
  <c r="O16" i="11" s="1"/>
  <c r="H16" i="11" s="1"/>
  <c r="C16" i="11" s="1"/>
  <c r="O15" i="11"/>
  <c r="H15" i="11" s="1"/>
  <c r="C15" i="11" s="1"/>
  <c r="N15" i="11"/>
  <c r="M15" i="11"/>
  <c r="L15" i="11"/>
  <c r="K15" i="11"/>
  <c r="J15" i="11"/>
  <c r="M14" i="11"/>
  <c r="L14" i="11"/>
  <c r="K14" i="11"/>
  <c r="J14" i="11"/>
  <c r="N14" i="11" s="1"/>
  <c r="O14" i="11" s="1"/>
  <c r="H14" i="11" s="1"/>
  <c r="C14" i="11" s="1"/>
  <c r="M13" i="11"/>
  <c r="L13" i="11"/>
  <c r="K13" i="11"/>
  <c r="J13" i="11"/>
  <c r="N13" i="11" s="1"/>
  <c r="O13" i="11" s="1"/>
  <c r="H13" i="11" s="1"/>
  <c r="C13" i="11" s="1"/>
  <c r="M12" i="11"/>
  <c r="L12" i="11"/>
  <c r="K12" i="11"/>
  <c r="N12" i="11" s="1"/>
  <c r="O12" i="11" s="1"/>
  <c r="H12" i="11" s="1"/>
  <c r="C12" i="11" s="1"/>
  <c r="J12" i="11"/>
  <c r="M11" i="11"/>
  <c r="L11" i="11"/>
  <c r="K11" i="11"/>
  <c r="J11" i="11"/>
  <c r="N11" i="11" s="1"/>
  <c r="O11" i="11" s="1"/>
  <c r="H11" i="11" s="1"/>
  <c r="C11" i="11" s="1"/>
  <c r="O10" i="11"/>
  <c r="H10" i="11" s="1"/>
  <c r="C10" i="11" s="1"/>
  <c r="N10" i="11"/>
  <c r="M10" i="11"/>
  <c r="L10" i="11"/>
  <c r="K10" i="11"/>
  <c r="J10" i="11"/>
  <c r="M9" i="11"/>
  <c r="L9" i="11"/>
  <c r="K9" i="11"/>
  <c r="J9" i="11"/>
  <c r="N9" i="11" s="1"/>
  <c r="O9" i="11" s="1"/>
  <c r="H9" i="11" s="1"/>
  <c r="C9" i="11" s="1"/>
  <c r="M8" i="11"/>
  <c r="L8" i="11"/>
  <c r="K8" i="11"/>
  <c r="N8" i="11" s="1"/>
  <c r="O8" i="11" s="1"/>
  <c r="H8" i="11" s="1"/>
  <c r="C8" i="11" s="1"/>
  <c r="J8" i="11"/>
  <c r="M7" i="11"/>
  <c r="L7" i="11"/>
  <c r="K7" i="11"/>
  <c r="N7" i="11" s="1"/>
  <c r="O7" i="11" s="1"/>
  <c r="H7" i="11" s="1"/>
  <c r="C7" i="11" s="1"/>
  <c r="J7" i="11"/>
  <c r="M6" i="11"/>
  <c r="L6" i="11"/>
  <c r="K6" i="11"/>
  <c r="J6" i="11"/>
  <c r="N6" i="11" s="1"/>
  <c r="O6" i="11" s="1"/>
  <c r="H6" i="11" s="1"/>
  <c r="C6" i="11" s="1"/>
  <c r="O5" i="11"/>
  <c r="H5" i="11" s="1"/>
  <c r="C5" i="11" s="1"/>
  <c r="N5" i="11"/>
  <c r="M5" i="11"/>
  <c r="L5" i="11"/>
  <c r="K5" i="11"/>
  <c r="J5" i="11"/>
  <c r="M4" i="11"/>
  <c r="L4" i="11"/>
  <c r="K4" i="11"/>
  <c r="J4" i="11"/>
  <c r="N4" i="11" s="1"/>
  <c r="O4" i="11" s="1"/>
  <c r="H4" i="11" s="1"/>
  <c r="C4" i="11" s="1"/>
  <c r="M3" i="11"/>
  <c r="L3" i="11"/>
  <c r="K3" i="11"/>
  <c r="J3" i="11"/>
  <c r="N3" i="11" s="1"/>
  <c r="O3" i="11" s="1"/>
  <c r="H3" i="11" s="1"/>
  <c r="C3" i="11" s="1"/>
  <c r="M53" i="10"/>
  <c r="L53" i="10"/>
  <c r="K53" i="10"/>
  <c r="J53" i="10"/>
  <c r="M52" i="10"/>
  <c r="L52" i="10"/>
  <c r="K52" i="10"/>
  <c r="J52" i="10"/>
  <c r="M51" i="10"/>
  <c r="L51" i="10"/>
  <c r="K51" i="10"/>
  <c r="J51" i="10"/>
  <c r="M50" i="10"/>
  <c r="L50" i="10"/>
  <c r="K50" i="10"/>
  <c r="J50" i="10"/>
  <c r="M49" i="10"/>
  <c r="L49" i="10"/>
  <c r="K49" i="10"/>
  <c r="J49" i="10"/>
  <c r="M48" i="10"/>
  <c r="L48" i="10"/>
  <c r="K48" i="10"/>
  <c r="J48" i="10"/>
  <c r="M47" i="10"/>
  <c r="L47" i="10"/>
  <c r="K47" i="10"/>
  <c r="J47" i="10"/>
  <c r="M46" i="10"/>
  <c r="L46" i="10"/>
  <c r="K46" i="10"/>
  <c r="J46" i="10"/>
  <c r="M28" i="10"/>
  <c r="L28" i="10"/>
  <c r="K28" i="10"/>
  <c r="J28" i="10"/>
  <c r="M27" i="10"/>
  <c r="L27" i="10"/>
  <c r="K27" i="10"/>
  <c r="J27" i="10"/>
  <c r="C29" i="8"/>
  <c r="C28" i="8"/>
  <c r="C27" i="8"/>
  <c r="C26" i="8"/>
  <c r="C25" i="8"/>
  <c r="C30" i="8"/>
  <c r="C31" i="8"/>
  <c r="C23" i="8"/>
  <c r="O89" i="7"/>
  <c r="Q89" i="7" s="1"/>
  <c r="O81" i="7"/>
  <c r="Q81" i="7" s="1"/>
  <c r="O38" i="1"/>
  <c r="N38" i="1"/>
  <c r="M38" i="1"/>
  <c r="L38" i="1"/>
  <c r="K38" i="1"/>
  <c r="O30" i="1"/>
  <c r="N30" i="1"/>
  <c r="M30" i="1"/>
  <c r="L30" i="1"/>
  <c r="K30" i="1"/>
  <c r="O59" i="1"/>
  <c r="N59" i="1"/>
  <c r="M59" i="1"/>
  <c r="L59" i="1"/>
  <c r="K59" i="1"/>
  <c r="O60" i="1"/>
  <c r="N60" i="1"/>
  <c r="M60" i="1"/>
  <c r="L60" i="1"/>
  <c r="K60" i="1"/>
  <c r="O45" i="1"/>
  <c r="N45" i="1"/>
  <c r="M45" i="1"/>
  <c r="L45" i="1"/>
  <c r="K45" i="1"/>
  <c r="O103" i="1"/>
  <c r="N103" i="1"/>
  <c r="M103" i="1"/>
  <c r="L103" i="1"/>
  <c r="K103" i="1"/>
  <c r="O86" i="1"/>
  <c r="N86" i="1"/>
  <c r="M86" i="1"/>
  <c r="L86" i="1"/>
  <c r="K86" i="1"/>
  <c r="O83" i="1"/>
  <c r="N83" i="1"/>
  <c r="M83" i="1"/>
  <c r="L83" i="1"/>
  <c r="K83" i="1"/>
  <c r="O111" i="1"/>
  <c r="N111" i="1"/>
  <c r="M111" i="1"/>
  <c r="L111" i="1"/>
  <c r="K111" i="1"/>
  <c r="E66" i="9"/>
  <c r="C66" i="9"/>
  <c r="E65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E49" i="9"/>
  <c r="C49" i="9" s="1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4" i="8"/>
  <c r="C21" i="8"/>
  <c r="C20" i="8"/>
  <c r="C16" i="8"/>
  <c r="C15" i="8"/>
  <c r="C14" i="8"/>
  <c r="C13" i="8"/>
  <c r="C19" i="8"/>
  <c r="C11" i="8"/>
  <c r="C9" i="8"/>
  <c r="C8" i="8"/>
  <c r="C7" i="8"/>
  <c r="C10" i="8"/>
  <c r="C12" i="8"/>
  <c r="C6" i="8"/>
  <c r="C5" i="8"/>
  <c r="C4" i="8"/>
  <c r="C3" i="8"/>
  <c r="C39" i="8"/>
  <c r="C38" i="8"/>
  <c r="C36" i="8"/>
  <c r="C35" i="8"/>
  <c r="C18" i="8"/>
  <c r="C17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Q42" i="7"/>
  <c r="P42" i="7"/>
  <c r="K42" i="7"/>
  <c r="O26" i="7"/>
  <c r="P26" i="7" s="1"/>
  <c r="K26" i="7"/>
  <c r="O36" i="7"/>
  <c r="Q36" i="7" s="1"/>
  <c r="K36" i="7"/>
  <c r="O33" i="7"/>
  <c r="Q33" i="7" s="1"/>
  <c r="K33" i="7"/>
  <c r="O37" i="7"/>
  <c r="Q37" i="7" s="1"/>
  <c r="K37" i="7"/>
  <c r="L37" i="7" s="1"/>
  <c r="O35" i="7"/>
  <c r="Q35" i="7" s="1"/>
  <c r="K35" i="7"/>
  <c r="O107" i="7"/>
  <c r="Q107" i="7" s="1"/>
  <c r="K107" i="7"/>
  <c r="O104" i="7"/>
  <c r="Q104" i="7" s="1"/>
  <c r="K104" i="7"/>
  <c r="O39" i="7"/>
  <c r="Q39" i="7" s="1"/>
  <c r="K39" i="7"/>
  <c r="O156" i="7"/>
  <c r="Q156" i="7" s="1"/>
  <c r="K156" i="7"/>
  <c r="L156" i="7" s="1"/>
  <c r="O155" i="7"/>
  <c r="Q155" i="7" s="1"/>
  <c r="K155" i="7"/>
  <c r="M155" i="7" s="1"/>
  <c r="O154" i="7"/>
  <c r="Q154" i="7" s="1"/>
  <c r="K154" i="7"/>
  <c r="M154" i="7" s="1"/>
  <c r="O153" i="7"/>
  <c r="Q153" i="7" s="1"/>
  <c r="K153" i="7"/>
  <c r="L153" i="7" s="1"/>
  <c r="O152" i="7"/>
  <c r="P152" i="7" s="1"/>
  <c r="K152" i="7"/>
  <c r="L152" i="7" s="1"/>
  <c r="O151" i="7"/>
  <c r="Q151" i="7" s="1"/>
  <c r="K151" i="7"/>
  <c r="O150" i="7"/>
  <c r="Q150" i="7" s="1"/>
  <c r="K150" i="7"/>
  <c r="M150" i="7" s="1"/>
  <c r="O149" i="7"/>
  <c r="P149" i="7" s="1"/>
  <c r="K149" i="7"/>
  <c r="O148" i="7"/>
  <c r="Q148" i="7" s="1"/>
  <c r="K148" i="7"/>
  <c r="M148" i="7" s="1"/>
  <c r="O147" i="7"/>
  <c r="Q147" i="7" s="1"/>
  <c r="K147" i="7"/>
  <c r="M147" i="7" s="1"/>
  <c r="O146" i="7"/>
  <c r="Q146" i="7" s="1"/>
  <c r="K146" i="7"/>
  <c r="M146" i="7" s="1"/>
  <c r="O145" i="7"/>
  <c r="Q145" i="7" s="1"/>
  <c r="K145" i="7"/>
  <c r="M145" i="7" s="1"/>
  <c r="O144" i="7"/>
  <c r="P144" i="7" s="1"/>
  <c r="K144" i="7"/>
  <c r="M144" i="7" s="1"/>
  <c r="Q143" i="7"/>
  <c r="P143" i="7"/>
  <c r="K143" i="7"/>
  <c r="M143" i="7" s="1"/>
  <c r="Q142" i="7"/>
  <c r="P142" i="7"/>
  <c r="K142" i="7"/>
  <c r="Q141" i="7"/>
  <c r="P141" i="7"/>
  <c r="K141" i="7"/>
  <c r="M141" i="7" s="1"/>
  <c r="Q140" i="7"/>
  <c r="P140" i="7"/>
  <c r="K140" i="7"/>
  <c r="L140" i="7" s="1"/>
  <c r="O139" i="7"/>
  <c r="Q139" i="7" s="1"/>
  <c r="K139" i="7"/>
  <c r="M139" i="7" s="1"/>
  <c r="O138" i="7"/>
  <c r="P138" i="7" s="1"/>
  <c r="K138" i="7"/>
  <c r="L138" i="7" s="1"/>
  <c r="O137" i="7"/>
  <c r="Q137" i="7" s="1"/>
  <c r="K137" i="7"/>
  <c r="L137" i="7" s="1"/>
  <c r="O136" i="7"/>
  <c r="P136" i="7" s="1"/>
  <c r="K136" i="7"/>
  <c r="M136" i="7" s="1"/>
  <c r="O135" i="7"/>
  <c r="Q135" i="7" s="1"/>
  <c r="K135" i="7"/>
  <c r="M135" i="7" s="1"/>
  <c r="O134" i="7"/>
  <c r="K134" i="7"/>
  <c r="M134" i="7" s="1"/>
  <c r="O133" i="7"/>
  <c r="P133" i="7" s="1"/>
  <c r="K133" i="7"/>
  <c r="Q132" i="7"/>
  <c r="P132" i="7"/>
  <c r="K132" i="7"/>
  <c r="Q131" i="7"/>
  <c r="P131" i="7"/>
  <c r="K131" i="7"/>
  <c r="M131" i="7" s="1"/>
  <c r="Q130" i="7"/>
  <c r="P130" i="7"/>
  <c r="K130" i="7"/>
  <c r="Q129" i="7"/>
  <c r="P129" i="7"/>
  <c r="K129" i="7"/>
  <c r="L129" i="7" s="1"/>
  <c r="O128" i="7"/>
  <c r="Q128" i="7" s="1"/>
  <c r="K128" i="7"/>
  <c r="L128" i="7" s="1"/>
  <c r="O127" i="7"/>
  <c r="Q127" i="7" s="1"/>
  <c r="K127" i="7"/>
  <c r="L127" i="7" s="1"/>
  <c r="O126" i="7"/>
  <c r="P126" i="7" s="1"/>
  <c r="K126" i="7"/>
  <c r="O125" i="7"/>
  <c r="P125" i="7" s="1"/>
  <c r="K125" i="7"/>
  <c r="O124" i="7"/>
  <c r="Q124" i="7" s="1"/>
  <c r="K124" i="7"/>
  <c r="L124" i="7" s="1"/>
  <c r="O123" i="7"/>
  <c r="Q123" i="7" s="1"/>
  <c r="K123" i="7"/>
  <c r="M123" i="7" s="1"/>
  <c r="Q122" i="7"/>
  <c r="P122" i="7"/>
  <c r="K122" i="7"/>
  <c r="M122" i="7" s="1"/>
  <c r="Q121" i="7"/>
  <c r="P121" i="7"/>
  <c r="K121" i="7"/>
  <c r="M121" i="7" s="1"/>
  <c r="Q120" i="7"/>
  <c r="P120" i="7"/>
  <c r="K120" i="7"/>
  <c r="L120" i="7" s="1"/>
  <c r="Q119" i="7"/>
  <c r="P119" i="7"/>
  <c r="K119" i="7"/>
  <c r="M119" i="7" s="1"/>
  <c r="Q118" i="7"/>
  <c r="P118" i="7"/>
  <c r="K118" i="7"/>
  <c r="L118" i="7" s="1"/>
  <c r="Q117" i="7"/>
  <c r="P117" i="7"/>
  <c r="K117" i="7"/>
  <c r="M117" i="7" s="1"/>
  <c r="Q116" i="7"/>
  <c r="P116" i="7"/>
  <c r="K116" i="7"/>
  <c r="L116" i="7" s="1"/>
  <c r="Q115" i="7"/>
  <c r="P115" i="7"/>
  <c r="K115" i="7"/>
  <c r="L115" i="7" s="1"/>
  <c r="Q114" i="7"/>
  <c r="P114" i="7"/>
  <c r="K114" i="7"/>
  <c r="M114" i="7" s="1"/>
  <c r="Q113" i="7"/>
  <c r="P113" i="7"/>
  <c r="K113" i="7"/>
  <c r="L113" i="7" s="1"/>
  <c r="Q112" i="7"/>
  <c r="P112" i="7"/>
  <c r="K112" i="7"/>
  <c r="L112" i="7" s="1"/>
  <c r="Q111" i="7"/>
  <c r="P111" i="7"/>
  <c r="K111" i="7"/>
  <c r="L111" i="7" s="1"/>
  <c r="Q110" i="7"/>
  <c r="P110" i="7"/>
  <c r="K110" i="7"/>
  <c r="M110" i="7" s="1"/>
  <c r="Q109" i="7"/>
  <c r="P109" i="7"/>
  <c r="K109" i="7"/>
  <c r="M109" i="7" s="1"/>
  <c r="O108" i="7"/>
  <c r="Q108" i="7" s="1"/>
  <c r="K108" i="7"/>
  <c r="L108" i="7" s="1"/>
  <c r="O106" i="7"/>
  <c r="Q106" i="7" s="1"/>
  <c r="K106" i="7"/>
  <c r="M106" i="7" s="1"/>
  <c r="O105" i="7"/>
  <c r="P105" i="7" s="1"/>
  <c r="K105" i="7"/>
  <c r="L105" i="7" s="1"/>
  <c r="O103" i="7"/>
  <c r="Q103" i="7" s="1"/>
  <c r="K103" i="7"/>
  <c r="M103" i="7" s="1"/>
  <c r="Q102" i="7"/>
  <c r="P102" i="7"/>
  <c r="K102" i="7"/>
  <c r="L102" i="7" s="1"/>
  <c r="Q101" i="7"/>
  <c r="P101" i="7"/>
  <c r="K101" i="7"/>
  <c r="Q100" i="7"/>
  <c r="P100" i="7"/>
  <c r="K100" i="7"/>
  <c r="M100" i="7" s="1"/>
  <c r="Q99" i="7"/>
  <c r="P99" i="7"/>
  <c r="K99" i="7"/>
  <c r="M99" i="7" s="1"/>
  <c r="Q98" i="7"/>
  <c r="P98" i="7"/>
  <c r="K98" i="7"/>
  <c r="L98" i="7" s="1"/>
  <c r="Q97" i="7"/>
  <c r="P97" i="7"/>
  <c r="K97" i="7"/>
  <c r="Q96" i="7"/>
  <c r="P96" i="7"/>
  <c r="K96" i="7"/>
  <c r="M96" i="7" s="1"/>
  <c r="Q95" i="7"/>
  <c r="P95" i="7"/>
  <c r="K95" i="7"/>
  <c r="M95" i="7" s="1"/>
  <c r="Q94" i="7"/>
  <c r="P94" i="7"/>
  <c r="K94" i="7"/>
  <c r="M94" i="7" s="1"/>
  <c r="O93" i="7"/>
  <c r="P93" i="7" s="1"/>
  <c r="K93" i="7"/>
  <c r="L93" i="7" s="1"/>
  <c r="O92" i="7"/>
  <c r="Q92" i="7" s="1"/>
  <c r="K92" i="7"/>
  <c r="M92" i="7" s="1"/>
  <c r="Q91" i="7"/>
  <c r="P91" i="7"/>
  <c r="K91" i="7"/>
  <c r="L91" i="7" s="1"/>
  <c r="Q90" i="7"/>
  <c r="P90" i="7"/>
  <c r="K90" i="7"/>
  <c r="K89" i="7"/>
  <c r="Q88" i="7"/>
  <c r="P88" i="7"/>
  <c r="K88" i="7"/>
  <c r="L88" i="7" s="1"/>
  <c r="Q87" i="7"/>
  <c r="P87" i="7"/>
  <c r="K87" i="7"/>
  <c r="Q86" i="7"/>
  <c r="P86" i="7"/>
  <c r="K86" i="7"/>
  <c r="L86" i="7" s="1"/>
  <c r="Q85" i="7"/>
  <c r="P85" i="7"/>
  <c r="K85" i="7"/>
  <c r="Q84" i="7"/>
  <c r="P84" i="7"/>
  <c r="K84" i="7"/>
  <c r="Q83" i="7"/>
  <c r="P83" i="7"/>
  <c r="K83" i="7"/>
  <c r="L83" i="7" s="1"/>
  <c r="Q82" i="7"/>
  <c r="P82" i="7"/>
  <c r="K82" i="7"/>
  <c r="L82" i="7" s="1"/>
  <c r="K81" i="7"/>
  <c r="M81" i="7" s="1"/>
  <c r="Q80" i="7"/>
  <c r="P80" i="7"/>
  <c r="K80" i="7"/>
  <c r="Q79" i="7"/>
  <c r="P79" i="7"/>
  <c r="K79" i="7"/>
  <c r="Q78" i="7"/>
  <c r="P78" i="7"/>
  <c r="K78" i="7"/>
  <c r="M78" i="7" s="1"/>
  <c r="Q77" i="7"/>
  <c r="P77" i="7"/>
  <c r="K77" i="7"/>
  <c r="Q76" i="7"/>
  <c r="P76" i="7"/>
  <c r="K76" i="7"/>
  <c r="L76" i="7" s="1"/>
  <c r="Q75" i="7"/>
  <c r="P75" i="7"/>
  <c r="K75" i="7"/>
  <c r="Q74" i="7"/>
  <c r="P74" i="7"/>
  <c r="K74" i="7"/>
  <c r="Q73" i="7"/>
  <c r="P73" i="7"/>
  <c r="K73" i="7"/>
  <c r="M73" i="7" s="1"/>
  <c r="Q72" i="7"/>
  <c r="P72" i="7"/>
  <c r="K72" i="7"/>
  <c r="M72" i="7" s="1"/>
  <c r="Q71" i="7"/>
  <c r="P71" i="7"/>
  <c r="K71" i="7"/>
  <c r="L71" i="7" s="1"/>
  <c r="Q70" i="7"/>
  <c r="P70" i="7"/>
  <c r="K70" i="7"/>
  <c r="Q69" i="7"/>
  <c r="P69" i="7"/>
  <c r="K69" i="7"/>
  <c r="Q68" i="7"/>
  <c r="P68" i="7"/>
  <c r="K68" i="7"/>
  <c r="L68" i="7" s="1"/>
  <c r="Q67" i="7"/>
  <c r="P67" i="7"/>
  <c r="K67" i="7"/>
  <c r="Q66" i="7"/>
  <c r="P66" i="7"/>
  <c r="K66" i="7"/>
  <c r="L66" i="7" s="1"/>
  <c r="Q65" i="7"/>
  <c r="P65" i="7"/>
  <c r="K65" i="7"/>
  <c r="Q64" i="7"/>
  <c r="P64" i="7"/>
  <c r="K64" i="7"/>
  <c r="Q63" i="7"/>
  <c r="P63" i="7"/>
  <c r="K63" i="7"/>
  <c r="L63" i="7" s="1"/>
  <c r="Q62" i="7"/>
  <c r="P62" i="7"/>
  <c r="K62" i="7"/>
  <c r="M62" i="7" s="1"/>
  <c r="Q61" i="7"/>
  <c r="P61" i="7"/>
  <c r="K61" i="7"/>
  <c r="Q60" i="7"/>
  <c r="P60" i="7"/>
  <c r="K60" i="7"/>
  <c r="Q59" i="7"/>
  <c r="P59" i="7"/>
  <c r="K59" i="7"/>
  <c r="Q58" i="7"/>
  <c r="P58" i="7"/>
  <c r="K58" i="7"/>
  <c r="L58" i="7" s="1"/>
  <c r="Q57" i="7"/>
  <c r="P57" i="7"/>
  <c r="K57" i="7"/>
  <c r="M57" i="7" s="1"/>
  <c r="Q56" i="7"/>
  <c r="P56" i="7"/>
  <c r="K56" i="7"/>
  <c r="L56" i="7" s="1"/>
  <c r="Q55" i="7"/>
  <c r="P55" i="7"/>
  <c r="K55" i="7"/>
  <c r="Q54" i="7"/>
  <c r="P54" i="7"/>
  <c r="K54" i="7"/>
  <c r="Q53" i="7"/>
  <c r="P53" i="7"/>
  <c r="K53" i="7"/>
  <c r="L53" i="7" s="1"/>
  <c r="Q52" i="7"/>
  <c r="P52" i="7"/>
  <c r="K52" i="7"/>
  <c r="L52" i="7" s="1"/>
  <c r="Q51" i="7"/>
  <c r="P51" i="7"/>
  <c r="K51" i="7"/>
  <c r="M51" i="7" s="1"/>
  <c r="Q50" i="7"/>
  <c r="P50" i="7"/>
  <c r="K50" i="7"/>
  <c r="Q49" i="7"/>
  <c r="P49" i="7"/>
  <c r="K49" i="7"/>
  <c r="Q48" i="7"/>
  <c r="P48" i="7"/>
  <c r="K48" i="7"/>
  <c r="M48" i="7" s="1"/>
  <c r="Q47" i="7"/>
  <c r="P47" i="7"/>
  <c r="K47" i="7"/>
  <c r="M47" i="7" s="1"/>
  <c r="Q46" i="7"/>
  <c r="P46" i="7"/>
  <c r="K46" i="7"/>
  <c r="M46" i="7" s="1"/>
  <c r="Q45" i="7"/>
  <c r="P45" i="7"/>
  <c r="K45" i="7"/>
  <c r="Q44" i="7"/>
  <c r="P44" i="7"/>
  <c r="K44" i="7"/>
  <c r="Q43" i="7"/>
  <c r="P43" i="7"/>
  <c r="K43" i="7"/>
  <c r="M43" i="7" s="1"/>
  <c r="Q41" i="7"/>
  <c r="P41" i="7"/>
  <c r="K41" i="7"/>
  <c r="O40" i="7"/>
  <c r="P40" i="7" s="1"/>
  <c r="K40" i="7"/>
  <c r="O38" i="7"/>
  <c r="Q38" i="7" s="1"/>
  <c r="K38" i="7"/>
  <c r="M38" i="7" s="1"/>
  <c r="O34" i="7"/>
  <c r="K34" i="7"/>
  <c r="M34" i="7" s="1"/>
  <c r="O32" i="7"/>
  <c r="Q32" i="7" s="1"/>
  <c r="K32" i="7"/>
  <c r="O31" i="7"/>
  <c r="P31" i="7" s="1"/>
  <c r="K31" i="7"/>
  <c r="M31" i="7" s="1"/>
  <c r="O30" i="7"/>
  <c r="P30" i="7" s="1"/>
  <c r="K30" i="7"/>
  <c r="M30" i="7" s="1"/>
  <c r="O29" i="7"/>
  <c r="Q29" i="7" s="1"/>
  <c r="K29" i="7"/>
  <c r="L29" i="7" s="1"/>
  <c r="O28" i="7"/>
  <c r="P28" i="7" s="1"/>
  <c r="K28" i="7"/>
  <c r="M28" i="7" s="1"/>
  <c r="O27" i="7"/>
  <c r="Q27" i="7" s="1"/>
  <c r="K27" i="7"/>
  <c r="M27" i="7" s="1"/>
  <c r="Q25" i="7"/>
  <c r="P25" i="7"/>
  <c r="K25" i="7"/>
  <c r="Q24" i="7"/>
  <c r="P24" i="7"/>
  <c r="K24" i="7"/>
  <c r="Q23" i="7"/>
  <c r="P23" i="7"/>
  <c r="K23" i="7"/>
  <c r="M23" i="7" s="1"/>
  <c r="Q22" i="7"/>
  <c r="P22" i="7"/>
  <c r="K22" i="7"/>
  <c r="M22" i="7" s="1"/>
  <c r="Q21" i="7"/>
  <c r="P21" i="7"/>
  <c r="K21" i="7"/>
  <c r="L21" i="7" s="1"/>
  <c r="Q20" i="7"/>
  <c r="P20" i="7"/>
  <c r="K20" i="7"/>
  <c r="L20" i="7" s="1"/>
  <c r="Q19" i="7"/>
  <c r="P19" i="7"/>
  <c r="K19" i="7"/>
  <c r="M19" i="7" s="1"/>
  <c r="Q18" i="7"/>
  <c r="P18" i="7"/>
  <c r="K18" i="7"/>
  <c r="M18" i="7" s="1"/>
  <c r="O17" i="7"/>
  <c r="P17" i="7" s="1"/>
  <c r="K17" i="7"/>
  <c r="L17" i="7" s="1"/>
  <c r="O16" i="7"/>
  <c r="P16" i="7" s="1"/>
  <c r="K16" i="7"/>
  <c r="M16" i="7" s="1"/>
  <c r="Q15" i="7"/>
  <c r="P15" i="7"/>
  <c r="K15" i="7"/>
  <c r="L15" i="7" s="1"/>
  <c r="Q14" i="7"/>
  <c r="P14" i="7"/>
  <c r="K14" i="7"/>
  <c r="Q13" i="7"/>
  <c r="P13" i="7"/>
  <c r="K13" i="7"/>
  <c r="M13" i="7" s="1"/>
  <c r="Q12" i="7"/>
  <c r="P12" i="7"/>
  <c r="K12" i="7"/>
  <c r="Q11" i="7"/>
  <c r="P11" i="7"/>
  <c r="K11" i="7"/>
  <c r="M11" i="7" s="1"/>
  <c r="Q10" i="7"/>
  <c r="P10" i="7"/>
  <c r="K10" i="7"/>
  <c r="L10" i="7" s="1"/>
  <c r="Q9" i="7"/>
  <c r="P9" i="7"/>
  <c r="K9" i="7"/>
  <c r="M9" i="7" s="1"/>
  <c r="Q8" i="7"/>
  <c r="P8" i="7"/>
  <c r="K8" i="7"/>
  <c r="M8" i="7" s="1"/>
  <c r="Q7" i="7"/>
  <c r="P7" i="7"/>
  <c r="K7" i="7"/>
  <c r="Q6" i="7"/>
  <c r="P6" i="7"/>
  <c r="K6" i="7"/>
  <c r="L6" i="7" s="1"/>
  <c r="Q5" i="7"/>
  <c r="P5" i="7"/>
  <c r="K5" i="7"/>
  <c r="L5" i="7" s="1"/>
  <c r="Q4" i="7"/>
  <c r="P4" i="7"/>
  <c r="K4" i="7"/>
  <c r="M4" i="7" s="1"/>
  <c r="Q3" i="7"/>
  <c r="P3" i="7"/>
  <c r="K3" i="7"/>
  <c r="P105" i="1" l="1"/>
  <c r="Q105" i="1" s="1"/>
  <c r="I105" i="1" s="1"/>
  <c r="C105" i="1" s="1"/>
  <c r="P34" i="1"/>
  <c r="Q34" i="1" s="1"/>
  <c r="I34" i="1" s="1"/>
  <c r="C34" i="1" s="1"/>
  <c r="P97" i="1"/>
  <c r="Q97" i="1" s="1"/>
  <c r="I97" i="1" s="1"/>
  <c r="C97" i="1" s="1"/>
  <c r="P79" i="1"/>
  <c r="Q79" i="1" s="1"/>
  <c r="I79" i="1" s="1"/>
  <c r="C79" i="1" s="1"/>
  <c r="X50" i="12"/>
  <c r="Y50" i="12" s="1"/>
  <c r="X49" i="12"/>
  <c r="Y49" i="12" s="1"/>
  <c r="I14" i="12"/>
  <c r="C14" i="12" s="1"/>
  <c r="V339" i="12"/>
  <c r="W339" i="12" s="1"/>
  <c r="I339" i="12" s="1"/>
  <c r="C339" i="12" s="1"/>
  <c r="V169" i="12"/>
  <c r="W28" i="14"/>
  <c r="I28" i="14" s="1"/>
  <c r="C28" i="14" s="1"/>
  <c r="X8" i="14"/>
  <c r="Y8" i="14" s="1"/>
  <c r="X70" i="14"/>
  <c r="Y70" i="14" s="1"/>
  <c r="W83" i="14"/>
  <c r="I83" i="14" s="1"/>
  <c r="C83" i="14" s="1"/>
  <c r="X21" i="14"/>
  <c r="Y21" i="14" s="1"/>
  <c r="X17" i="14"/>
  <c r="Y17" i="14" s="1"/>
  <c r="X53" i="14"/>
  <c r="Y53" i="14" s="1"/>
  <c r="X6" i="14"/>
  <c r="Y6" i="14" s="1"/>
  <c r="X13" i="14"/>
  <c r="Y13" i="14" s="1"/>
  <c r="V35" i="14"/>
  <c r="W35" i="14" s="1"/>
  <c r="I35" i="14" s="1"/>
  <c r="C35" i="14" s="1"/>
  <c r="X23" i="14"/>
  <c r="Y23" i="14" s="1"/>
  <c r="X93" i="14"/>
  <c r="Y93" i="14" s="1"/>
  <c r="X96" i="14"/>
  <c r="Y96" i="14" s="1"/>
  <c r="V145" i="14"/>
  <c r="W145" i="14" s="1"/>
  <c r="I145" i="14" s="1"/>
  <c r="C145" i="14" s="1"/>
  <c r="W302" i="14"/>
  <c r="I302" i="14" s="1"/>
  <c r="C302" i="14" s="1"/>
  <c r="X33" i="14"/>
  <c r="Y33" i="14" s="1"/>
  <c r="X57" i="14"/>
  <c r="Y57" i="14" s="1"/>
  <c r="X174" i="14"/>
  <c r="Y174" i="14" s="1"/>
  <c r="X197" i="14"/>
  <c r="Y197" i="14" s="1"/>
  <c r="X219" i="14"/>
  <c r="Y219" i="14" s="1"/>
  <c r="W219" i="14"/>
  <c r="I219" i="14" s="1"/>
  <c r="C219" i="14" s="1"/>
  <c r="V237" i="14"/>
  <c r="W237" i="14" s="1"/>
  <c r="I237" i="14" s="1"/>
  <c r="C237" i="14" s="1"/>
  <c r="X277" i="14"/>
  <c r="Y277" i="14" s="1"/>
  <c r="V10" i="14"/>
  <c r="W10" i="14" s="1"/>
  <c r="I10" i="14" s="1"/>
  <c r="C10" i="14" s="1"/>
  <c r="V16" i="14"/>
  <c r="W16" i="14" s="1"/>
  <c r="I16" i="14" s="1"/>
  <c r="C16" i="14" s="1"/>
  <c r="X44" i="14"/>
  <c r="Y44" i="14" s="1"/>
  <c r="X68" i="14"/>
  <c r="Y68" i="14" s="1"/>
  <c r="X82" i="14"/>
  <c r="Y82" i="14" s="1"/>
  <c r="X103" i="14"/>
  <c r="Y103" i="14" s="1"/>
  <c r="X158" i="14"/>
  <c r="Y158" i="14" s="1"/>
  <c r="X39" i="14"/>
  <c r="Y39" i="14" s="1"/>
  <c r="X50" i="14"/>
  <c r="Y50" i="14" s="1"/>
  <c r="V63" i="14"/>
  <c r="W63" i="14" s="1"/>
  <c r="I63" i="14" s="1"/>
  <c r="C63" i="14" s="1"/>
  <c r="V114" i="14"/>
  <c r="W114" i="14" s="1"/>
  <c r="I114" i="14" s="1"/>
  <c r="C114" i="14" s="1"/>
  <c r="X181" i="14"/>
  <c r="Y181" i="14" s="1"/>
  <c r="X188" i="14"/>
  <c r="Y188" i="14" s="1"/>
  <c r="X226" i="14"/>
  <c r="Y226" i="14" s="1"/>
  <c r="W255" i="14"/>
  <c r="I255" i="14" s="1"/>
  <c r="C255" i="14" s="1"/>
  <c r="X255" i="14"/>
  <c r="Y255" i="14" s="1"/>
  <c r="X259" i="14"/>
  <c r="Y259" i="14" s="1"/>
  <c r="V259" i="14"/>
  <c r="W259" i="14" s="1"/>
  <c r="I259" i="14" s="1"/>
  <c r="C259" i="14" s="1"/>
  <c r="X376" i="14"/>
  <c r="Y376" i="14" s="1"/>
  <c r="V14" i="14"/>
  <c r="W14" i="14" s="1"/>
  <c r="I14" i="14" s="1"/>
  <c r="C14" i="14" s="1"/>
  <c r="V21" i="14"/>
  <c r="W21" i="14" s="1"/>
  <c r="I21" i="14" s="1"/>
  <c r="C21" i="14" s="1"/>
  <c r="W47" i="14"/>
  <c r="I47" i="14" s="1"/>
  <c r="C47" i="14" s="1"/>
  <c r="X117" i="14"/>
  <c r="Y117" i="14" s="1"/>
  <c r="X91" i="14"/>
  <c r="Y91" i="14" s="1"/>
  <c r="X237" i="14"/>
  <c r="Y237" i="14" s="1"/>
  <c r="V248" i="14"/>
  <c r="W248" i="14" s="1"/>
  <c r="I248" i="14" s="1"/>
  <c r="C248" i="14" s="1"/>
  <c r="V274" i="14"/>
  <c r="W274" i="14" s="1"/>
  <c r="I274" i="14" s="1"/>
  <c r="C274" i="14" s="1"/>
  <c r="X281" i="14"/>
  <c r="Y281" i="14" s="1"/>
  <c r="W335" i="14"/>
  <c r="I335" i="14" s="1"/>
  <c r="C335" i="14" s="1"/>
  <c r="V42" i="14"/>
  <c r="W42" i="14" s="1"/>
  <c r="I42" i="14" s="1"/>
  <c r="C42" i="14" s="1"/>
  <c r="X75" i="14"/>
  <c r="Y75" i="14" s="1"/>
  <c r="W91" i="14"/>
  <c r="I91" i="14" s="1"/>
  <c r="C91" i="14" s="1"/>
  <c r="V156" i="14"/>
  <c r="W156" i="14" s="1"/>
  <c r="I156" i="14" s="1"/>
  <c r="C156" i="14" s="1"/>
  <c r="X332" i="14"/>
  <c r="Y332" i="14" s="1"/>
  <c r="X80" i="14"/>
  <c r="Y80" i="14" s="1"/>
  <c r="X104" i="14"/>
  <c r="Y104" i="14" s="1"/>
  <c r="X129" i="14"/>
  <c r="Y129" i="14" s="1"/>
  <c r="V172" i="14"/>
  <c r="W172" i="14" s="1"/>
  <c r="I172" i="14" s="1"/>
  <c r="C172" i="14" s="1"/>
  <c r="W179" i="14"/>
  <c r="I179" i="14" s="1"/>
  <c r="C179" i="14" s="1"/>
  <c r="X179" i="14"/>
  <c r="Y179" i="14" s="1"/>
  <c r="X245" i="14"/>
  <c r="Y245" i="14" s="1"/>
  <c r="X66" i="14"/>
  <c r="Y66" i="14" s="1"/>
  <c r="X136" i="14"/>
  <c r="Y136" i="14" s="1"/>
  <c r="X199" i="14"/>
  <c r="Y199" i="14" s="1"/>
  <c r="X213" i="14"/>
  <c r="Y213" i="14" s="1"/>
  <c r="X145" i="14"/>
  <c r="Y145" i="14" s="1"/>
  <c r="X161" i="14"/>
  <c r="Y161" i="14" s="1"/>
  <c r="V161" i="14"/>
  <c r="W161" i="14" s="1"/>
  <c r="I161" i="14" s="1"/>
  <c r="C161" i="14" s="1"/>
  <c r="W7" i="14"/>
  <c r="I7" i="14" s="1"/>
  <c r="C7" i="14" s="1"/>
  <c r="X62" i="14"/>
  <c r="Y62" i="14" s="1"/>
  <c r="X110" i="14"/>
  <c r="Y110" i="14" s="1"/>
  <c r="X14" i="14"/>
  <c r="Y14" i="14" s="1"/>
  <c r="X195" i="14"/>
  <c r="Y195" i="14" s="1"/>
  <c r="V195" i="14"/>
  <c r="W195" i="14" s="1"/>
  <c r="I195" i="14" s="1"/>
  <c r="C195" i="14" s="1"/>
  <c r="X37" i="14"/>
  <c r="Y37" i="14" s="1"/>
  <c r="W24" i="14"/>
  <c r="I24" i="14" s="1"/>
  <c r="C24" i="14" s="1"/>
  <c r="X29" i="14"/>
  <c r="Y29" i="14" s="1"/>
  <c r="V32" i="14"/>
  <c r="W32" i="14" s="1"/>
  <c r="I32" i="14" s="1"/>
  <c r="C32" i="14" s="1"/>
  <c r="X61" i="14"/>
  <c r="Y61" i="14" s="1"/>
  <c r="V6" i="14"/>
  <c r="W6" i="14" s="1"/>
  <c r="I6" i="14" s="1"/>
  <c r="C6" i="14" s="1"/>
  <c r="V9" i="14"/>
  <c r="W9" i="14" s="1"/>
  <c r="I9" i="14" s="1"/>
  <c r="C9" i="14" s="1"/>
  <c r="X12" i="14"/>
  <c r="Y12" i="14" s="1"/>
  <c r="X89" i="14"/>
  <c r="Y89" i="14" s="1"/>
  <c r="V108" i="14"/>
  <c r="W108" i="14" s="1"/>
  <c r="I108" i="14" s="1"/>
  <c r="C108" i="14" s="1"/>
  <c r="V133" i="14"/>
  <c r="W133" i="14" s="1"/>
  <c r="I133" i="14" s="1"/>
  <c r="C133" i="14" s="1"/>
  <c r="X140" i="14"/>
  <c r="Y140" i="14" s="1"/>
  <c r="V147" i="14"/>
  <c r="W147" i="14" s="1"/>
  <c r="I147" i="14" s="1"/>
  <c r="C147" i="14" s="1"/>
  <c r="X231" i="14"/>
  <c r="Y231" i="14" s="1"/>
  <c r="V231" i="14"/>
  <c r="W231" i="14" s="1"/>
  <c r="I231" i="14" s="1"/>
  <c r="C231" i="14" s="1"/>
  <c r="V22" i="14"/>
  <c r="W22" i="14" s="1"/>
  <c r="I22" i="14" s="1"/>
  <c r="C22" i="14" s="1"/>
  <c r="X112" i="14"/>
  <c r="Y112" i="14" s="1"/>
  <c r="X206" i="14"/>
  <c r="Y206" i="14" s="1"/>
  <c r="X224" i="14"/>
  <c r="Y224" i="14" s="1"/>
  <c r="X186" i="14"/>
  <c r="Y186" i="14" s="1"/>
  <c r="V186" i="14"/>
  <c r="W186" i="14" s="1"/>
  <c r="I186" i="14" s="1"/>
  <c r="C186" i="14" s="1"/>
  <c r="X268" i="14"/>
  <c r="Y268" i="14" s="1"/>
  <c r="X49" i="14"/>
  <c r="Y49" i="14" s="1"/>
  <c r="W17" i="14"/>
  <c r="I17" i="14" s="1"/>
  <c r="C17" i="14" s="1"/>
  <c r="W67" i="14"/>
  <c r="I67" i="14" s="1"/>
  <c r="C67" i="14" s="1"/>
  <c r="V4" i="14"/>
  <c r="X4" i="14" s="1"/>
  <c r="Y4" i="14" s="1"/>
  <c r="X20" i="14"/>
  <c r="Y20" i="14" s="1"/>
  <c r="X27" i="14"/>
  <c r="Y27" i="14" s="1"/>
  <c r="X73" i="14"/>
  <c r="Y73" i="14" s="1"/>
  <c r="W141" i="14"/>
  <c r="I141" i="14" s="1"/>
  <c r="C141" i="14" s="1"/>
  <c r="X170" i="14"/>
  <c r="Y170" i="14" s="1"/>
  <c r="X246" i="14"/>
  <c r="Y246" i="14" s="1"/>
  <c r="X253" i="14"/>
  <c r="Y253" i="14" s="1"/>
  <c r="X305" i="14"/>
  <c r="Y305" i="14" s="1"/>
  <c r="X9" i="14"/>
  <c r="Y9" i="14" s="1"/>
  <c r="X43" i="14"/>
  <c r="Y43" i="14" s="1"/>
  <c r="V46" i="14"/>
  <c r="W46" i="14" s="1"/>
  <c r="I46" i="14" s="1"/>
  <c r="C46" i="14" s="1"/>
  <c r="V250" i="14"/>
  <c r="W250" i="14" s="1"/>
  <c r="I250" i="14" s="1"/>
  <c r="C250" i="14" s="1"/>
  <c r="X5" i="14"/>
  <c r="Y5" i="14" s="1"/>
  <c r="V5" i="14"/>
  <c r="W5" i="14" s="1"/>
  <c r="I5" i="14" s="1"/>
  <c r="C5" i="14" s="1"/>
  <c r="X131" i="14"/>
  <c r="Y131" i="14" s="1"/>
  <c r="V131" i="14"/>
  <c r="W131" i="14" s="1"/>
  <c r="I131" i="14" s="1"/>
  <c r="C131" i="14" s="1"/>
  <c r="W299" i="14"/>
  <c r="I299" i="14" s="1"/>
  <c r="C299" i="14" s="1"/>
  <c r="W15" i="14"/>
  <c r="I15" i="14" s="1"/>
  <c r="C15" i="14" s="1"/>
  <c r="X30" i="14"/>
  <c r="Y30" i="14" s="1"/>
  <c r="X46" i="14"/>
  <c r="Y46" i="14" s="1"/>
  <c r="W90" i="14"/>
  <c r="I90" i="14" s="1"/>
  <c r="C90" i="14" s="1"/>
  <c r="X90" i="14"/>
  <c r="Y90" i="14" s="1"/>
  <c r="V106" i="14"/>
  <c r="W106" i="14" s="1"/>
  <c r="I106" i="14" s="1"/>
  <c r="C106" i="14" s="1"/>
  <c r="V112" i="14"/>
  <c r="W112" i="14" s="1"/>
  <c r="I112" i="14" s="1"/>
  <c r="C112" i="14" s="1"/>
  <c r="V13" i="14"/>
  <c r="W13" i="14" s="1"/>
  <c r="I13" i="14" s="1"/>
  <c r="C13" i="14" s="1"/>
  <c r="V18" i="14"/>
  <c r="X81" i="14"/>
  <c r="Y81" i="14" s="1"/>
  <c r="V87" i="14"/>
  <c r="X99" i="14"/>
  <c r="Y99" i="14" s="1"/>
  <c r="X127" i="14"/>
  <c r="Y127" i="14" s="1"/>
  <c r="V138" i="14"/>
  <c r="W138" i="14" s="1"/>
  <c r="I138" i="14" s="1"/>
  <c r="C138" i="14" s="1"/>
  <c r="V193" i="14"/>
  <c r="W193" i="14" s="1"/>
  <c r="I193" i="14" s="1"/>
  <c r="C193" i="14" s="1"/>
  <c r="W228" i="14"/>
  <c r="I228" i="14" s="1"/>
  <c r="C228" i="14" s="1"/>
  <c r="X265" i="14"/>
  <c r="Y265" i="14" s="1"/>
  <c r="X55" i="14"/>
  <c r="Y55" i="14" s="1"/>
  <c r="X52" i="14"/>
  <c r="Y52" i="14" s="1"/>
  <c r="X116" i="14"/>
  <c r="Y116" i="14" s="1"/>
  <c r="X124" i="14"/>
  <c r="Y124" i="14" s="1"/>
  <c r="X138" i="14"/>
  <c r="Y138" i="14" s="1"/>
  <c r="X19" i="14"/>
  <c r="Y19" i="14" s="1"/>
  <c r="X76" i="14"/>
  <c r="Y76" i="14" s="1"/>
  <c r="X147" i="14"/>
  <c r="Y147" i="14" s="1"/>
  <c r="X160" i="14"/>
  <c r="Y160" i="14" s="1"/>
  <c r="X162" i="14"/>
  <c r="Y162" i="14" s="1"/>
  <c r="X185" i="14"/>
  <c r="Y185" i="14" s="1"/>
  <c r="X223" i="14"/>
  <c r="Y223" i="14" s="1"/>
  <c r="V223" i="14"/>
  <c r="W223" i="14" s="1"/>
  <c r="I223" i="14" s="1"/>
  <c r="C223" i="14" s="1"/>
  <c r="X301" i="14"/>
  <c r="Y301" i="14" s="1"/>
  <c r="V301" i="14"/>
  <c r="W301" i="14" s="1"/>
  <c r="I301" i="14" s="1"/>
  <c r="C301" i="14" s="1"/>
  <c r="V98" i="14"/>
  <c r="W98" i="14" s="1"/>
  <c r="I98" i="14" s="1"/>
  <c r="C98" i="14" s="1"/>
  <c r="V163" i="14"/>
  <c r="W163" i="14" s="1"/>
  <c r="I163" i="14" s="1"/>
  <c r="C163" i="14" s="1"/>
  <c r="V168" i="14"/>
  <c r="W168" i="14" s="1"/>
  <c r="I168" i="14" s="1"/>
  <c r="C168" i="14" s="1"/>
  <c r="V203" i="14"/>
  <c r="W203" i="14" s="1"/>
  <c r="I203" i="14" s="1"/>
  <c r="C203" i="14" s="1"/>
  <c r="X208" i="14"/>
  <c r="Y208" i="14" s="1"/>
  <c r="V221" i="14"/>
  <c r="W221" i="14" s="1"/>
  <c r="I221" i="14" s="1"/>
  <c r="C221" i="14" s="1"/>
  <c r="X380" i="14"/>
  <c r="Y380" i="14" s="1"/>
  <c r="X198" i="14"/>
  <c r="Y198" i="14" s="1"/>
  <c r="X315" i="14"/>
  <c r="Y315" i="14" s="1"/>
  <c r="V125" i="14"/>
  <c r="W125" i="14" s="1"/>
  <c r="I125" i="14" s="1"/>
  <c r="C125" i="14" s="1"/>
  <c r="X143" i="14"/>
  <c r="Y143" i="14" s="1"/>
  <c r="V152" i="14"/>
  <c r="W152" i="14" s="1"/>
  <c r="I152" i="14" s="1"/>
  <c r="C152" i="14" s="1"/>
  <c r="X166" i="14"/>
  <c r="Y166" i="14" s="1"/>
  <c r="V246" i="14"/>
  <c r="W246" i="14" s="1"/>
  <c r="I246" i="14" s="1"/>
  <c r="C246" i="14" s="1"/>
  <c r="W260" i="14"/>
  <c r="I260" i="14" s="1"/>
  <c r="C260" i="14" s="1"/>
  <c r="V278" i="14"/>
  <c r="W278" i="14" s="1"/>
  <c r="I278" i="14" s="1"/>
  <c r="C278" i="14" s="1"/>
  <c r="W329" i="14"/>
  <c r="I329" i="14" s="1"/>
  <c r="C329" i="14" s="1"/>
  <c r="V266" i="14"/>
  <c r="W266" i="14" s="1"/>
  <c r="I266" i="14" s="1"/>
  <c r="C266" i="14" s="1"/>
  <c r="X266" i="14"/>
  <c r="Y266" i="14" s="1"/>
  <c r="X278" i="14"/>
  <c r="Y278" i="14" s="1"/>
  <c r="X312" i="14"/>
  <c r="Y312" i="14" s="1"/>
  <c r="X69" i="14"/>
  <c r="Y69" i="14" s="1"/>
  <c r="X92" i="14"/>
  <c r="Y92" i="14" s="1"/>
  <c r="V134" i="14"/>
  <c r="W134" i="14" s="1"/>
  <c r="I134" i="14" s="1"/>
  <c r="C134" i="14" s="1"/>
  <c r="V196" i="14"/>
  <c r="W196" i="14" s="1"/>
  <c r="I196" i="14" s="1"/>
  <c r="C196" i="14" s="1"/>
  <c r="X201" i="14"/>
  <c r="Y201" i="14" s="1"/>
  <c r="V214" i="14"/>
  <c r="X229" i="14"/>
  <c r="Y229" i="14" s="1"/>
  <c r="X251" i="14"/>
  <c r="Y251" i="14" s="1"/>
  <c r="V263" i="14"/>
  <c r="W263" i="14" s="1"/>
  <c r="I263" i="14" s="1"/>
  <c r="C263" i="14" s="1"/>
  <c r="X272" i="14"/>
  <c r="Y272" i="14" s="1"/>
  <c r="V275" i="14"/>
  <c r="W275" i="14" s="1"/>
  <c r="I275" i="14" s="1"/>
  <c r="C275" i="14" s="1"/>
  <c r="X290" i="14"/>
  <c r="Y290" i="14" s="1"/>
  <c r="V290" i="14"/>
  <c r="W290" i="14" s="1"/>
  <c r="I290" i="14" s="1"/>
  <c r="C290" i="14" s="1"/>
  <c r="X88" i="14"/>
  <c r="Y88" i="14" s="1"/>
  <c r="V146" i="14"/>
  <c r="W146" i="14" s="1"/>
  <c r="I146" i="14" s="1"/>
  <c r="C146" i="14" s="1"/>
  <c r="V175" i="14"/>
  <c r="W175" i="14" s="1"/>
  <c r="I175" i="14" s="1"/>
  <c r="C175" i="14" s="1"/>
  <c r="X196" i="14"/>
  <c r="Y196" i="14" s="1"/>
  <c r="V224" i="14"/>
  <c r="W224" i="14" s="1"/>
  <c r="I224" i="14" s="1"/>
  <c r="C224" i="14" s="1"/>
  <c r="V48" i="14"/>
  <c r="W48" i="14" s="1"/>
  <c r="I48" i="14" s="1"/>
  <c r="C48" i="14" s="1"/>
  <c r="V52" i="14"/>
  <c r="W52" i="14" s="1"/>
  <c r="I52" i="14" s="1"/>
  <c r="C52" i="14" s="1"/>
  <c r="V55" i="14"/>
  <c r="V119" i="14"/>
  <c r="W119" i="14" s="1"/>
  <c r="I119" i="14" s="1"/>
  <c r="C119" i="14" s="1"/>
  <c r="V132" i="14"/>
  <c r="W132" i="14" s="1"/>
  <c r="I132" i="14" s="1"/>
  <c r="C132" i="14" s="1"/>
  <c r="V139" i="14"/>
  <c r="W139" i="14" s="1"/>
  <c r="I139" i="14" s="1"/>
  <c r="C139" i="14" s="1"/>
  <c r="X155" i="14"/>
  <c r="Y155" i="14" s="1"/>
  <c r="V204" i="14"/>
  <c r="W204" i="14" s="1"/>
  <c r="I204" i="14" s="1"/>
  <c r="C204" i="14" s="1"/>
  <c r="V206" i="14"/>
  <c r="W206" i="14" s="1"/>
  <c r="I206" i="14" s="1"/>
  <c r="C206" i="14" s="1"/>
  <c r="V211" i="14"/>
  <c r="W211" i="14" s="1"/>
  <c r="I211" i="14" s="1"/>
  <c r="C211" i="14" s="1"/>
  <c r="X240" i="14"/>
  <c r="Y240" i="14" s="1"/>
  <c r="V107" i="14"/>
  <c r="W107" i="14" s="1"/>
  <c r="I107" i="14" s="1"/>
  <c r="C107" i="14" s="1"/>
  <c r="V171" i="14"/>
  <c r="W171" i="14" s="1"/>
  <c r="I171" i="14" s="1"/>
  <c r="C171" i="14" s="1"/>
  <c r="X182" i="14"/>
  <c r="Y182" i="14" s="1"/>
  <c r="V230" i="14"/>
  <c r="W230" i="14" s="1"/>
  <c r="I230" i="14" s="1"/>
  <c r="C230" i="14" s="1"/>
  <c r="V235" i="14"/>
  <c r="W235" i="14" s="1"/>
  <c r="I235" i="14" s="1"/>
  <c r="C235" i="14" s="1"/>
  <c r="V238" i="14"/>
  <c r="W238" i="14" s="1"/>
  <c r="I238" i="14" s="1"/>
  <c r="C238" i="14" s="1"/>
  <c r="X284" i="14"/>
  <c r="Y284" i="14" s="1"/>
  <c r="X371" i="14"/>
  <c r="Y371" i="14" s="1"/>
  <c r="W71" i="14"/>
  <c r="I71" i="14" s="1"/>
  <c r="C71" i="14" s="1"/>
  <c r="X111" i="14"/>
  <c r="Y111" i="14" s="1"/>
  <c r="V144" i="14"/>
  <c r="W144" i="14" s="1"/>
  <c r="I144" i="14" s="1"/>
  <c r="C144" i="14" s="1"/>
  <c r="V153" i="14"/>
  <c r="W153" i="14" s="1"/>
  <c r="I153" i="14" s="1"/>
  <c r="C153" i="14" s="1"/>
  <c r="V194" i="14"/>
  <c r="W194" i="14" s="1"/>
  <c r="I194" i="14" s="1"/>
  <c r="C194" i="14" s="1"/>
  <c r="X209" i="14"/>
  <c r="Y209" i="14" s="1"/>
  <c r="V254" i="14"/>
  <c r="W254" i="14" s="1"/>
  <c r="I254" i="14" s="1"/>
  <c r="C254" i="14" s="1"/>
  <c r="V281" i="14"/>
  <c r="W281" i="14" s="1"/>
  <c r="I281" i="14" s="1"/>
  <c r="C281" i="14" s="1"/>
  <c r="X294" i="14"/>
  <c r="Y294" i="14" s="1"/>
  <c r="X101" i="14"/>
  <c r="Y101" i="14" s="1"/>
  <c r="X105" i="14"/>
  <c r="Y105" i="14" s="1"/>
  <c r="X130" i="14"/>
  <c r="Y130" i="14" s="1"/>
  <c r="X153" i="14"/>
  <c r="Y153" i="14" s="1"/>
  <c r="V241" i="14"/>
  <c r="W241" i="14" s="1"/>
  <c r="I241" i="14" s="1"/>
  <c r="C241" i="14" s="1"/>
  <c r="W288" i="14"/>
  <c r="I288" i="14" s="1"/>
  <c r="C288" i="14" s="1"/>
  <c r="X330" i="14"/>
  <c r="Y330" i="14" s="1"/>
  <c r="X341" i="14"/>
  <c r="Y341" i="14" s="1"/>
  <c r="X31" i="14"/>
  <c r="Y31" i="14" s="1"/>
  <c r="X115" i="14"/>
  <c r="Y115" i="14" s="1"/>
  <c r="X137" i="14"/>
  <c r="Y137" i="14" s="1"/>
  <c r="X151" i="14"/>
  <c r="Y151" i="14" s="1"/>
  <c r="X222" i="14"/>
  <c r="Y222" i="14" s="1"/>
  <c r="V258" i="14"/>
  <c r="W258" i="14" s="1"/>
  <c r="I258" i="14" s="1"/>
  <c r="C258" i="14" s="1"/>
  <c r="V285" i="14"/>
  <c r="W285" i="14" s="1"/>
  <c r="I285" i="14" s="1"/>
  <c r="C285" i="14" s="1"/>
  <c r="W338" i="14"/>
  <c r="I338" i="14" s="1"/>
  <c r="C338" i="14" s="1"/>
  <c r="V120" i="14"/>
  <c r="X169" i="14"/>
  <c r="Y169" i="14" s="1"/>
  <c r="V187" i="14"/>
  <c r="W187" i="14" s="1"/>
  <c r="I187" i="14" s="1"/>
  <c r="C187" i="14" s="1"/>
  <c r="W199" i="14"/>
  <c r="I199" i="14" s="1"/>
  <c r="C199" i="14" s="1"/>
  <c r="V202" i="14"/>
  <c r="X204" i="14"/>
  <c r="Y204" i="14" s="1"/>
  <c r="V217" i="14"/>
  <c r="W217" i="14" s="1"/>
  <c r="I217" i="14" s="1"/>
  <c r="C217" i="14" s="1"/>
  <c r="X258" i="14"/>
  <c r="Y258" i="14" s="1"/>
  <c r="X285" i="14"/>
  <c r="Y285" i="14" s="1"/>
  <c r="X51" i="14"/>
  <c r="Y51" i="14" s="1"/>
  <c r="V53" i="14"/>
  <c r="W53" i="14" s="1"/>
  <c r="I53" i="14" s="1"/>
  <c r="C53" i="14" s="1"/>
  <c r="V58" i="14"/>
  <c r="X118" i="14"/>
  <c r="Y118" i="14" s="1"/>
  <c r="X128" i="14"/>
  <c r="Y128" i="14" s="1"/>
  <c r="X149" i="14"/>
  <c r="Y149" i="14" s="1"/>
  <c r="X178" i="14"/>
  <c r="Y178" i="14" s="1"/>
  <c r="V180" i="14"/>
  <c r="W180" i="14" s="1"/>
  <c r="I180" i="14" s="1"/>
  <c r="C180" i="14" s="1"/>
  <c r="V183" i="14"/>
  <c r="W183" i="14" s="1"/>
  <c r="I183" i="14" s="1"/>
  <c r="C183" i="14" s="1"/>
  <c r="X233" i="14"/>
  <c r="Y233" i="14" s="1"/>
  <c r="X252" i="14"/>
  <c r="Y252" i="14" s="1"/>
  <c r="V294" i="14"/>
  <c r="W294" i="14" s="1"/>
  <c r="I294" i="14" s="1"/>
  <c r="C294" i="14" s="1"/>
  <c r="V26" i="14"/>
  <c r="W26" i="14" s="1"/>
  <c r="I26" i="14" s="1"/>
  <c r="C26" i="14" s="1"/>
  <c r="V31" i="14"/>
  <c r="W31" i="14" s="1"/>
  <c r="I31" i="14" s="1"/>
  <c r="C31" i="14" s="1"/>
  <c r="X56" i="14"/>
  <c r="Y56" i="14" s="1"/>
  <c r="X122" i="14"/>
  <c r="Y122" i="14" s="1"/>
  <c r="V126" i="14"/>
  <c r="W126" i="14" s="1"/>
  <c r="I126" i="14" s="1"/>
  <c r="C126" i="14" s="1"/>
  <c r="X135" i="14"/>
  <c r="Y135" i="14" s="1"/>
  <c r="X247" i="14"/>
  <c r="Y247" i="14" s="1"/>
  <c r="X249" i="14"/>
  <c r="Y249" i="14" s="1"/>
  <c r="V261" i="14"/>
  <c r="W261" i="14" s="1"/>
  <c r="I261" i="14" s="1"/>
  <c r="C261" i="14" s="1"/>
  <c r="X72" i="14"/>
  <c r="Y72" i="14" s="1"/>
  <c r="V74" i="14"/>
  <c r="W74" i="14" s="1"/>
  <c r="I74" i="14" s="1"/>
  <c r="C74" i="14" s="1"/>
  <c r="V79" i="14"/>
  <c r="V165" i="14"/>
  <c r="W165" i="14" s="1"/>
  <c r="I165" i="14" s="1"/>
  <c r="C165" i="14" s="1"/>
  <c r="X167" i="14"/>
  <c r="Y167" i="14" s="1"/>
  <c r="X176" i="14"/>
  <c r="Y176" i="14" s="1"/>
  <c r="X190" i="14"/>
  <c r="Y190" i="14" s="1"/>
  <c r="V242" i="14"/>
  <c r="W242" i="14" s="1"/>
  <c r="I242" i="14" s="1"/>
  <c r="C242" i="14" s="1"/>
  <c r="W273" i="14"/>
  <c r="I273" i="14" s="1"/>
  <c r="C273" i="14" s="1"/>
  <c r="X273" i="14"/>
  <c r="Y273" i="14" s="1"/>
  <c r="X279" i="14"/>
  <c r="Y279" i="14" s="1"/>
  <c r="V292" i="14"/>
  <c r="W292" i="14" s="1"/>
  <c r="I292" i="14" s="1"/>
  <c r="C292" i="14" s="1"/>
  <c r="X365" i="14"/>
  <c r="Y365" i="14" s="1"/>
  <c r="X317" i="14"/>
  <c r="Y317" i="14" s="1"/>
  <c r="W320" i="14"/>
  <c r="I320" i="14" s="1"/>
  <c r="C320" i="14" s="1"/>
  <c r="X323" i="14"/>
  <c r="Y323" i="14" s="1"/>
  <c r="V360" i="14"/>
  <c r="W360" i="14" s="1"/>
  <c r="P360" i="14" s="1"/>
  <c r="C360" i="14" s="1"/>
  <c r="X200" i="14"/>
  <c r="Y200" i="14" s="1"/>
  <c r="V220" i="14"/>
  <c r="W220" i="14" s="1"/>
  <c r="I220" i="14" s="1"/>
  <c r="C220" i="14" s="1"/>
  <c r="X282" i="14"/>
  <c r="Y282" i="14" s="1"/>
  <c r="X287" i="14"/>
  <c r="Y287" i="14" s="1"/>
  <c r="X256" i="14"/>
  <c r="Y256" i="14" s="1"/>
  <c r="X324" i="14"/>
  <c r="Y324" i="14" s="1"/>
  <c r="V359" i="14"/>
  <c r="W359" i="14" s="1"/>
  <c r="P359" i="14" s="1"/>
  <c r="C359" i="14" s="1"/>
  <c r="X374" i="14"/>
  <c r="Y374" i="14" s="1"/>
  <c r="X227" i="14"/>
  <c r="Y227" i="14" s="1"/>
  <c r="V236" i="14"/>
  <c r="W236" i="14" s="1"/>
  <c r="I236" i="14" s="1"/>
  <c r="C236" i="14" s="1"/>
  <c r="V245" i="14"/>
  <c r="W245" i="14" s="1"/>
  <c r="I245" i="14" s="1"/>
  <c r="C245" i="14" s="1"/>
  <c r="X263" i="14"/>
  <c r="Y263" i="14" s="1"/>
  <c r="V298" i="14"/>
  <c r="W298" i="14" s="1"/>
  <c r="I298" i="14" s="1"/>
  <c r="C298" i="14" s="1"/>
  <c r="X300" i="14"/>
  <c r="Y300" i="14" s="1"/>
  <c r="V336" i="14"/>
  <c r="W336" i="14" s="1"/>
  <c r="I336" i="14" s="1"/>
  <c r="C336" i="14" s="1"/>
  <c r="X336" i="14"/>
  <c r="Y336" i="14" s="1"/>
  <c r="X311" i="14"/>
  <c r="Y311" i="14" s="1"/>
  <c r="W311" i="14"/>
  <c r="I311" i="14" s="1"/>
  <c r="C311" i="14" s="1"/>
  <c r="X316" i="14"/>
  <c r="Y316" i="14" s="1"/>
  <c r="V356" i="14"/>
  <c r="W356" i="14" s="1"/>
  <c r="P356" i="14" s="1"/>
  <c r="C356" i="14" s="1"/>
  <c r="V364" i="14"/>
  <c r="W364" i="14" s="1"/>
  <c r="P364" i="14" s="1"/>
  <c r="C364" i="14" s="1"/>
  <c r="W375" i="14"/>
  <c r="I375" i="14" s="1"/>
  <c r="C375" i="14" s="1"/>
  <c r="V205" i="14"/>
  <c r="W205" i="14" s="1"/>
  <c r="I205" i="14" s="1"/>
  <c r="C205" i="14" s="1"/>
  <c r="X207" i="14"/>
  <c r="Y207" i="14" s="1"/>
  <c r="X216" i="14"/>
  <c r="Y216" i="14" s="1"/>
  <c r="V234" i="14"/>
  <c r="W234" i="14" s="1"/>
  <c r="I234" i="14" s="1"/>
  <c r="C234" i="14" s="1"/>
  <c r="X243" i="14"/>
  <c r="Y243" i="14" s="1"/>
  <c r="V321" i="14"/>
  <c r="W321" i="14" s="1"/>
  <c r="I321" i="14" s="1"/>
  <c r="C321" i="14" s="1"/>
  <c r="X327" i="14"/>
  <c r="Y327" i="14" s="1"/>
  <c r="V369" i="14"/>
  <c r="W369" i="14" s="1"/>
  <c r="I369" i="14" s="1"/>
  <c r="C369" i="14" s="1"/>
  <c r="X378" i="14"/>
  <c r="Y378" i="14" s="1"/>
  <c r="X234" i="14"/>
  <c r="Y234" i="14" s="1"/>
  <c r="X280" i="14"/>
  <c r="Y280" i="14" s="1"/>
  <c r="V319" i="14"/>
  <c r="W319" i="14" s="1"/>
  <c r="I319" i="14" s="1"/>
  <c r="C319" i="14" s="1"/>
  <c r="X333" i="14"/>
  <c r="Y333" i="14" s="1"/>
  <c r="V345" i="14"/>
  <c r="W345" i="14" s="1"/>
  <c r="I345" i="14" s="1"/>
  <c r="V350" i="14"/>
  <c r="W350" i="14" s="1"/>
  <c r="P350" i="14" s="1"/>
  <c r="C350" i="14" s="1"/>
  <c r="X369" i="14"/>
  <c r="Y369" i="14" s="1"/>
  <c r="V339" i="14"/>
  <c r="W339" i="14" s="1"/>
  <c r="I339" i="14" s="1"/>
  <c r="C339" i="14" s="1"/>
  <c r="V361" i="14"/>
  <c r="W361" i="14" s="1"/>
  <c r="P361" i="14" s="1"/>
  <c r="C361" i="14" s="1"/>
  <c r="X173" i="14"/>
  <c r="Y173" i="14" s="1"/>
  <c r="V177" i="14"/>
  <c r="W177" i="14" s="1"/>
  <c r="I177" i="14" s="1"/>
  <c r="C177" i="14" s="1"/>
  <c r="X232" i="14"/>
  <c r="Y232" i="14" s="1"/>
  <c r="V264" i="14"/>
  <c r="W264" i="14" s="1"/>
  <c r="I264" i="14" s="1"/>
  <c r="C264" i="14" s="1"/>
  <c r="X276" i="14"/>
  <c r="Y276" i="14" s="1"/>
  <c r="X283" i="14"/>
  <c r="Y283" i="14" s="1"/>
  <c r="X296" i="14"/>
  <c r="Y296" i="14" s="1"/>
  <c r="X309" i="14"/>
  <c r="Y309" i="14" s="1"/>
  <c r="X314" i="14"/>
  <c r="Y314" i="14" s="1"/>
  <c r="X325" i="14"/>
  <c r="Y325" i="14" s="1"/>
  <c r="V334" i="14"/>
  <c r="W334" i="14" s="1"/>
  <c r="I334" i="14" s="1"/>
  <c r="C334" i="14" s="1"/>
  <c r="V286" i="14"/>
  <c r="X334" i="14"/>
  <c r="Y334" i="14" s="1"/>
  <c r="V378" i="14"/>
  <c r="W378" i="14" s="1"/>
  <c r="I378" i="14" s="1"/>
  <c r="C378" i="14" s="1"/>
  <c r="X150" i="14"/>
  <c r="Y150" i="14" s="1"/>
  <c r="X212" i="14"/>
  <c r="Y212" i="14" s="1"/>
  <c r="X322" i="14"/>
  <c r="Y322" i="14" s="1"/>
  <c r="X342" i="14"/>
  <c r="Y342" i="14" s="1"/>
  <c r="V382" i="14"/>
  <c r="W382" i="14" s="1"/>
  <c r="I382" i="14" s="1"/>
  <c r="C382" i="14" s="1"/>
  <c r="V154" i="14"/>
  <c r="W154" i="14" s="1"/>
  <c r="I154" i="14" s="1"/>
  <c r="C154" i="14" s="1"/>
  <c r="X189" i="14"/>
  <c r="Y189" i="14" s="1"/>
  <c r="X191" i="14"/>
  <c r="Y191" i="14" s="1"/>
  <c r="X264" i="14"/>
  <c r="Y264" i="14" s="1"/>
  <c r="X269" i="14"/>
  <c r="Y269" i="14" s="1"/>
  <c r="V307" i="14"/>
  <c r="W307" i="14" s="1"/>
  <c r="I307" i="14" s="1"/>
  <c r="C307" i="14" s="1"/>
  <c r="X373" i="14"/>
  <c r="Y373" i="14" s="1"/>
  <c r="V326" i="14"/>
  <c r="W326" i="14" s="1"/>
  <c r="I326" i="14" s="1"/>
  <c r="C326" i="14" s="1"/>
  <c r="V346" i="14"/>
  <c r="W346" i="14" s="1"/>
  <c r="P346" i="14" s="1"/>
  <c r="C346" i="14" s="1"/>
  <c r="V355" i="14"/>
  <c r="W355" i="14" s="1"/>
  <c r="P355" i="14" s="1"/>
  <c r="C355" i="14" s="1"/>
  <c r="X267" i="14"/>
  <c r="Y267" i="14" s="1"/>
  <c r="V297" i="14"/>
  <c r="W297" i="14" s="1"/>
  <c r="I297" i="14" s="1"/>
  <c r="C297" i="14" s="1"/>
  <c r="W370" i="14"/>
  <c r="I370" i="14" s="1"/>
  <c r="C370" i="14" s="1"/>
  <c r="V323" i="14"/>
  <c r="W323" i="14" s="1"/>
  <c r="I323" i="14" s="1"/>
  <c r="C323" i="14" s="1"/>
  <c r="X343" i="14"/>
  <c r="Y343" i="14" s="1"/>
  <c r="X367" i="14"/>
  <c r="Y367" i="14" s="1"/>
  <c r="W379" i="14"/>
  <c r="I379" i="14" s="1"/>
  <c r="C379" i="14" s="1"/>
  <c r="W368" i="14"/>
  <c r="I368" i="14" s="1"/>
  <c r="C368" i="14" s="1"/>
  <c r="X377" i="14"/>
  <c r="Y377" i="14" s="1"/>
  <c r="X381" i="14"/>
  <c r="Y381" i="14" s="1"/>
  <c r="W169" i="12"/>
  <c r="I169" i="12" s="1"/>
  <c r="C169" i="12" s="1"/>
  <c r="V173" i="12"/>
  <c r="W173" i="12" s="1"/>
  <c r="I173" i="12" s="1"/>
  <c r="C173" i="12" s="1"/>
  <c r="V172" i="12"/>
  <c r="W172" i="12" s="1"/>
  <c r="I172" i="12" s="1"/>
  <c r="C172" i="12" s="1"/>
  <c r="V176" i="12"/>
  <c r="W176" i="12" s="1"/>
  <c r="I176" i="12" s="1"/>
  <c r="C176" i="12" s="1"/>
  <c r="V128" i="12"/>
  <c r="W128" i="12" s="1"/>
  <c r="I128" i="12" s="1"/>
  <c r="C128" i="12" s="1"/>
  <c r="V152" i="12"/>
  <c r="W152" i="12" s="1"/>
  <c r="I152" i="12" s="1"/>
  <c r="C152" i="12" s="1"/>
  <c r="V156" i="12"/>
  <c r="W156" i="12" s="1"/>
  <c r="I156" i="12" s="1"/>
  <c r="C156" i="12" s="1"/>
  <c r="V177" i="12"/>
  <c r="W177" i="12" s="1"/>
  <c r="I177" i="12" s="1"/>
  <c r="C177" i="12" s="1"/>
  <c r="V153" i="12"/>
  <c r="W153" i="12" s="1"/>
  <c r="I153" i="12" s="1"/>
  <c r="C153" i="12" s="1"/>
  <c r="V170" i="12"/>
  <c r="W170" i="12" s="1"/>
  <c r="I170" i="12" s="1"/>
  <c r="C170" i="12" s="1"/>
  <c r="V158" i="12"/>
  <c r="W158" i="12" s="1"/>
  <c r="I158" i="12" s="1"/>
  <c r="C158" i="12" s="1"/>
  <c r="V150" i="12"/>
  <c r="W150" i="12" s="1"/>
  <c r="I150" i="12" s="1"/>
  <c r="C150" i="12" s="1"/>
  <c r="V154" i="12"/>
  <c r="W154" i="12" s="1"/>
  <c r="I154" i="12" s="1"/>
  <c r="C154" i="12" s="1"/>
  <c r="U4" i="12"/>
  <c r="W4" i="12" s="1"/>
  <c r="V151" i="12"/>
  <c r="W151" i="12" s="1"/>
  <c r="I151" i="12" s="1"/>
  <c r="C151" i="12" s="1"/>
  <c r="V157" i="12"/>
  <c r="W157" i="12" s="1"/>
  <c r="I157" i="12" s="1"/>
  <c r="C157" i="12" s="1"/>
  <c r="V155" i="12"/>
  <c r="W155" i="12" s="1"/>
  <c r="I155" i="12" s="1"/>
  <c r="C155" i="12" s="1"/>
  <c r="V129" i="12"/>
  <c r="W129" i="12" s="1"/>
  <c r="I129" i="12" s="1"/>
  <c r="C129" i="12" s="1"/>
  <c r="V341" i="12"/>
  <c r="W341" i="12" s="1"/>
  <c r="I341" i="12" s="1"/>
  <c r="C341" i="12" s="1"/>
  <c r="V205" i="12"/>
  <c r="W205" i="12" s="1"/>
  <c r="I205" i="12" s="1"/>
  <c r="C205" i="12" s="1"/>
  <c r="V206" i="12"/>
  <c r="W206" i="12" s="1"/>
  <c r="I206" i="12" s="1"/>
  <c r="C206" i="12" s="1"/>
  <c r="V379" i="12"/>
  <c r="W379" i="12" s="1"/>
  <c r="I379" i="12" s="1"/>
  <c r="C379" i="12" s="1"/>
  <c r="V374" i="12"/>
  <c r="W374" i="12" s="1"/>
  <c r="V378" i="12"/>
  <c r="W378" i="12" s="1"/>
  <c r="I378" i="12" s="1"/>
  <c r="C378" i="12" s="1"/>
  <c r="V377" i="12"/>
  <c r="W377" i="12" s="1"/>
  <c r="I377" i="12" s="1"/>
  <c r="C377" i="12" s="1"/>
  <c r="V371" i="12"/>
  <c r="W371" i="12" s="1"/>
  <c r="I371" i="12" s="1"/>
  <c r="C371" i="12" s="1"/>
  <c r="V363" i="12"/>
  <c r="W363" i="12" s="1"/>
  <c r="V376" i="12"/>
  <c r="W376" i="12" s="1"/>
  <c r="V375" i="12"/>
  <c r="V362" i="12"/>
  <c r="W362" i="12" s="1"/>
  <c r="I362" i="12" s="1"/>
  <c r="C362" i="12" s="1"/>
  <c r="V372" i="12"/>
  <c r="W372" i="12" s="1"/>
  <c r="I372" i="12" s="1"/>
  <c r="C372" i="12" s="1"/>
  <c r="V370" i="12"/>
  <c r="W370" i="12" s="1"/>
  <c r="V373" i="12"/>
  <c r="W373" i="12" s="1"/>
  <c r="V368" i="12"/>
  <c r="W368" i="12" s="1"/>
  <c r="V366" i="12"/>
  <c r="W366" i="12" s="1"/>
  <c r="V365" i="12"/>
  <c r="V369" i="12"/>
  <c r="V367" i="12"/>
  <c r="W367" i="12" s="1"/>
  <c r="V364" i="12"/>
  <c r="W364" i="12" s="1"/>
  <c r="V343" i="12"/>
  <c r="V345" i="12"/>
  <c r="W345" i="12" s="1"/>
  <c r="P345" i="12" s="1"/>
  <c r="C345" i="12" s="1"/>
  <c r="V361" i="12"/>
  <c r="W361" i="12" s="1"/>
  <c r="P361" i="12" s="1"/>
  <c r="C361" i="12" s="1"/>
  <c r="V360" i="12"/>
  <c r="W360" i="12" s="1"/>
  <c r="P360" i="12" s="1"/>
  <c r="C360" i="12" s="1"/>
  <c r="V359" i="12"/>
  <c r="W359" i="12" s="1"/>
  <c r="P359" i="12" s="1"/>
  <c r="C359" i="12" s="1"/>
  <c r="V358" i="12"/>
  <c r="W358" i="12" s="1"/>
  <c r="P358" i="12" s="1"/>
  <c r="C358" i="12" s="1"/>
  <c r="V347" i="12"/>
  <c r="W347" i="12" s="1"/>
  <c r="P347" i="12" s="1"/>
  <c r="C347" i="12" s="1"/>
  <c r="V349" i="12"/>
  <c r="W349" i="12" s="1"/>
  <c r="P349" i="12" s="1"/>
  <c r="C349" i="12" s="1"/>
  <c r="V353" i="12"/>
  <c r="W353" i="12" s="1"/>
  <c r="P353" i="12" s="1"/>
  <c r="C353" i="12" s="1"/>
  <c r="V351" i="12"/>
  <c r="W351" i="12" s="1"/>
  <c r="P351" i="12" s="1"/>
  <c r="C351" i="12" s="1"/>
  <c r="V348" i="12"/>
  <c r="W348" i="12" s="1"/>
  <c r="P348" i="12" s="1"/>
  <c r="C348" i="12" s="1"/>
  <c r="V344" i="12"/>
  <c r="W344" i="12" s="1"/>
  <c r="P344" i="12" s="1"/>
  <c r="C344" i="12" s="1"/>
  <c r="V346" i="12"/>
  <c r="W346" i="12" s="1"/>
  <c r="P346" i="12" s="1"/>
  <c r="C346" i="12" s="1"/>
  <c r="V350" i="12"/>
  <c r="W350" i="12" s="1"/>
  <c r="P350" i="12" s="1"/>
  <c r="C350" i="12" s="1"/>
  <c r="V352" i="12"/>
  <c r="W352" i="12" s="1"/>
  <c r="P352" i="12" s="1"/>
  <c r="C352" i="12" s="1"/>
  <c r="V357" i="12"/>
  <c r="W357" i="12" s="1"/>
  <c r="P357" i="12" s="1"/>
  <c r="C357" i="12" s="1"/>
  <c r="V356" i="12"/>
  <c r="W356" i="12" s="1"/>
  <c r="P356" i="12" s="1"/>
  <c r="C356" i="12" s="1"/>
  <c r="V355" i="12"/>
  <c r="W355" i="12" s="1"/>
  <c r="P355" i="12" s="1"/>
  <c r="C355" i="12" s="1"/>
  <c r="V354" i="12"/>
  <c r="W354" i="12" s="1"/>
  <c r="P354" i="12" s="1"/>
  <c r="C354" i="12" s="1"/>
  <c r="V342" i="12"/>
  <c r="W342" i="12" s="1"/>
  <c r="I342" i="12" s="1"/>
  <c r="V19" i="12"/>
  <c r="W19" i="12" s="1"/>
  <c r="I19" i="12" s="1"/>
  <c r="C19" i="12" s="1"/>
  <c r="V18" i="12"/>
  <c r="W18" i="12" s="1"/>
  <c r="X18" i="12" s="1"/>
  <c r="Y18" i="12" s="1"/>
  <c r="V13" i="12"/>
  <c r="W13" i="12" s="1"/>
  <c r="I13" i="12" s="1"/>
  <c r="C13" i="12" s="1"/>
  <c r="V248" i="12"/>
  <c r="W248" i="12" s="1"/>
  <c r="I248" i="12" s="1"/>
  <c r="V338" i="12"/>
  <c r="W338" i="12" s="1"/>
  <c r="I338" i="12" s="1"/>
  <c r="V283" i="12"/>
  <c r="W283" i="12" s="1"/>
  <c r="I283" i="12" s="1"/>
  <c r="C283" i="12" s="1"/>
  <c r="V278" i="12"/>
  <c r="W278" i="12" s="1"/>
  <c r="I278" i="12" s="1"/>
  <c r="C278" i="12" s="1"/>
  <c r="V286" i="12"/>
  <c r="W286" i="12" s="1"/>
  <c r="I286" i="12" s="1"/>
  <c r="C286" i="12" s="1"/>
  <c r="V292" i="12"/>
  <c r="W292" i="12" s="1"/>
  <c r="I292" i="12" s="1"/>
  <c r="C292" i="12" s="1"/>
  <c r="V251" i="12"/>
  <c r="W251" i="12" s="1"/>
  <c r="I251" i="12" s="1"/>
  <c r="C251" i="12" s="1"/>
  <c r="V271" i="12"/>
  <c r="W271" i="12" s="1"/>
  <c r="I271" i="12" s="1"/>
  <c r="C271" i="12" s="1"/>
  <c r="V275" i="12"/>
  <c r="W275" i="12" s="1"/>
  <c r="I275" i="12" s="1"/>
  <c r="C275" i="12" s="1"/>
  <c r="V287" i="12"/>
  <c r="W287" i="12" s="1"/>
  <c r="I287" i="12" s="1"/>
  <c r="C287" i="12" s="1"/>
  <c r="V291" i="12"/>
  <c r="W291" i="12" s="1"/>
  <c r="I291" i="12" s="1"/>
  <c r="C291" i="12" s="1"/>
  <c r="V276" i="12"/>
  <c r="W276" i="12" s="1"/>
  <c r="I276" i="12" s="1"/>
  <c r="C276" i="12" s="1"/>
  <c r="V284" i="12"/>
  <c r="W284" i="12" s="1"/>
  <c r="I284" i="12" s="1"/>
  <c r="C284" i="12" s="1"/>
  <c r="V288" i="12"/>
  <c r="W288" i="12" s="1"/>
  <c r="I288" i="12" s="1"/>
  <c r="C288" i="12" s="1"/>
  <c r="V268" i="12"/>
  <c r="W268" i="12" s="1"/>
  <c r="I268" i="12" s="1"/>
  <c r="C268" i="12" s="1"/>
  <c r="V243" i="12"/>
  <c r="W243" i="12" s="1"/>
  <c r="I243" i="12" s="1"/>
  <c r="C243" i="12" s="1"/>
  <c r="V280" i="12"/>
  <c r="W280" i="12" s="1"/>
  <c r="I280" i="12" s="1"/>
  <c r="C280" i="12" s="1"/>
  <c r="V249" i="12"/>
  <c r="W249" i="12" s="1"/>
  <c r="I249" i="12" s="1"/>
  <c r="C249" i="12" s="1"/>
  <c r="V257" i="12"/>
  <c r="W257" i="12" s="1"/>
  <c r="I257" i="12" s="1"/>
  <c r="C257" i="12" s="1"/>
  <c r="V265" i="12"/>
  <c r="W265" i="12" s="1"/>
  <c r="I265" i="12" s="1"/>
  <c r="C265" i="12" s="1"/>
  <c r="V281" i="12"/>
  <c r="W281" i="12" s="1"/>
  <c r="I281" i="12" s="1"/>
  <c r="C281" i="12" s="1"/>
  <c r="V285" i="12"/>
  <c r="W285" i="12" s="1"/>
  <c r="I285" i="12" s="1"/>
  <c r="C285" i="12" s="1"/>
  <c r="V277" i="12"/>
  <c r="W277" i="12" s="1"/>
  <c r="I277" i="12" s="1"/>
  <c r="C277" i="12" s="1"/>
  <c r="V274" i="12"/>
  <c r="W274" i="12" s="1"/>
  <c r="I274" i="12" s="1"/>
  <c r="C274" i="12" s="1"/>
  <c r="V282" i="12"/>
  <c r="W282" i="12" s="1"/>
  <c r="I282" i="12" s="1"/>
  <c r="C282" i="12" s="1"/>
  <c r="V289" i="12"/>
  <c r="W289" i="12" s="1"/>
  <c r="I289" i="12" s="1"/>
  <c r="C289" i="12" s="1"/>
  <c r="V290" i="12"/>
  <c r="W290" i="12" s="1"/>
  <c r="I290" i="12" s="1"/>
  <c r="C290" i="12" s="1"/>
  <c r="V254" i="12"/>
  <c r="W254" i="12" s="1"/>
  <c r="I254" i="12" s="1"/>
  <c r="C254" i="12" s="1"/>
  <c r="V258" i="12"/>
  <c r="W258" i="12" s="1"/>
  <c r="I258" i="12" s="1"/>
  <c r="C258" i="12" s="1"/>
  <c r="V266" i="12"/>
  <c r="W266" i="12" s="1"/>
  <c r="I266" i="12" s="1"/>
  <c r="C266" i="12" s="1"/>
  <c r="V273" i="12"/>
  <c r="W273" i="12" s="1"/>
  <c r="I273" i="12" s="1"/>
  <c r="C273" i="12" s="1"/>
  <c r="V250" i="12"/>
  <c r="W250" i="12" s="1"/>
  <c r="I250" i="12" s="1"/>
  <c r="C250" i="12" s="1"/>
  <c r="V262" i="12"/>
  <c r="W262" i="12" s="1"/>
  <c r="I262" i="12" s="1"/>
  <c r="C262" i="12" s="1"/>
  <c r="V270" i="12"/>
  <c r="W270" i="12" s="1"/>
  <c r="I270" i="12" s="1"/>
  <c r="C270" i="12" s="1"/>
  <c r="V279" i="12"/>
  <c r="W279" i="12" s="1"/>
  <c r="I279" i="12" s="1"/>
  <c r="C279" i="12" s="1"/>
  <c r="V255" i="12"/>
  <c r="W255" i="12" s="1"/>
  <c r="I255" i="12" s="1"/>
  <c r="C255" i="12" s="1"/>
  <c r="V263" i="12"/>
  <c r="W263" i="12" s="1"/>
  <c r="I263" i="12" s="1"/>
  <c r="C263" i="12" s="1"/>
  <c r="V267" i="12"/>
  <c r="W267" i="12" s="1"/>
  <c r="I267" i="12" s="1"/>
  <c r="C267" i="12" s="1"/>
  <c r="V238" i="12"/>
  <c r="W238" i="12" s="1"/>
  <c r="I238" i="12" s="1"/>
  <c r="C238" i="12" s="1"/>
  <c r="V256" i="12"/>
  <c r="W256" i="12" s="1"/>
  <c r="I256" i="12" s="1"/>
  <c r="C256" i="12" s="1"/>
  <c r="V260" i="12"/>
  <c r="W260" i="12" s="1"/>
  <c r="I260" i="12" s="1"/>
  <c r="C260" i="12" s="1"/>
  <c r="V264" i="12"/>
  <c r="W264" i="12" s="1"/>
  <c r="I264" i="12" s="1"/>
  <c r="C264" i="12" s="1"/>
  <c r="V272" i="12"/>
  <c r="W272" i="12" s="1"/>
  <c r="I272" i="12" s="1"/>
  <c r="C272" i="12" s="1"/>
  <c r="V269" i="12"/>
  <c r="W269" i="12" s="1"/>
  <c r="I269" i="12" s="1"/>
  <c r="C269" i="12" s="1"/>
  <c r="V261" i="12"/>
  <c r="W261" i="12" s="1"/>
  <c r="I261" i="12" s="1"/>
  <c r="C261" i="12" s="1"/>
  <c r="V253" i="12"/>
  <c r="W253" i="12" s="1"/>
  <c r="I253" i="12" s="1"/>
  <c r="C253" i="12" s="1"/>
  <c r="V322" i="12"/>
  <c r="W322" i="12" s="1"/>
  <c r="I322" i="12" s="1"/>
  <c r="C322" i="12" s="1"/>
  <c r="V330" i="12"/>
  <c r="W330" i="12" s="1"/>
  <c r="I330" i="12" s="1"/>
  <c r="C330" i="12" s="1"/>
  <c r="V316" i="12"/>
  <c r="W316" i="12" s="1"/>
  <c r="I316" i="12" s="1"/>
  <c r="C316" i="12" s="1"/>
  <c r="V259" i="12"/>
  <c r="W259" i="12" s="1"/>
  <c r="I259" i="12" s="1"/>
  <c r="C259" i="12" s="1"/>
  <c r="V329" i="12"/>
  <c r="W329" i="12" s="1"/>
  <c r="I329" i="12" s="1"/>
  <c r="C329" i="12" s="1"/>
  <c r="V252" i="12"/>
  <c r="W252" i="12" s="1"/>
  <c r="I252" i="12" s="1"/>
  <c r="C252" i="12" s="1"/>
  <c r="V302" i="12"/>
  <c r="W302" i="12" s="1"/>
  <c r="I302" i="12" s="1"/>
  <c r="C302" i="12" s="1"/>
  <c r="V310" i="12"/>
  <c r="W310" i="12" s="1"/>
  <c r="I310" i="12" s="1"/>
  <c r="C310" i="12" s="1"/>
  <c r="V198" i="12"/>
  <c r="W198" i="12" s="1"/>
  <c r="I198" i="12" s="1"/>
  <c r="C198" i="12" s="1"/>
  <c r="V222" i="12"/>
  <c r="W222" i="12" s="1"/>
  <c r="I222" i="12" s="1"/>
  <c r="C222" i="12" s="1"/>
  <c r="V246" i="12"/>
  <c r="W246" i="12" s="1"/>
  <c r="I246" i="12" s="1"/>
  <c r="C246" i="12" s="1"/>
  <c r="V340" i="12"/>
  <c r="W340" i="12" s="1"/>
  <c r="I340" i="12" s="1"/>
  <c r="C340" i="12" s="1"/>
  <c r="V212" i="12"/>
  <c r="W212" i="12" s="1"/>
  <c r="I212" i="12" s="1"/>
  <c r="V333" i="12"/>
  <c r="W333" i="12" s="1"/>
  <c r="I333" i="12" s="1"/>
  <c r="C333" i="12" s="1"/>
  <c r="V326" i="12"/>
  <c r="W326" i="12" s="1"/>
  <c r="I326" i="12" s="1"/>
  <c r="C326" i="12" s="1"/>
  <c r="V325" i="12"/>
  <c r="W325" i="12" s="1"/>
  <c r="I325" i="12" s="1"/>
  <c r="C325" i="12" s="1"/>
  <c r="V321" i="12"/>
  <c r="W321" i="12" s="1"/>
  <c r="I321" i="12" s="1"/>
  <c r="C321" i="12" s="1"/>
  <c r="V318" i="12"/>
  <c r="W318" i="12" s="1"/>
  <c r="I318" i="12" s="1"/>
  <c r="C318" i="12" s="1"/>
  <c r="V315" i="12"/>
  <c r="W315" i="12" s="1"/>
  <c r="I315" i="12" s="1"/>
  <c r="C315" i="12" s="1"/>
  <c r="V311" i="12"/>
  <c r="W311" i="12" s="1"/>
  <c r="I311" i="12" s="1"/>
  <c r="C311" i="12" s="1"/>
  <c r="V309" i="12"/>
  <c r="W309" i="12" s="1"/>
  <c r="I309" i="12" s="1"/>
  <c r="C309" i="12" s="1"/>
  <c r="V306" i="12"/>
  <c r="W306" i="12" s="1"/>
  <c r="I306" i="12" s="1"/>
  <c r="C306" i="12" s="1"/>
  <c r="V305" i="12"/>
  <c r="W305" i="12" s="1"/>
  <c r="I305" i="12" s="1"/>
  <c r="C305" i="12" s="1"/>
  <c r="V298" i="12"/>
  <c r="W298" i="12" s="1"/>
  <c r="I298" i="12" s="1"/>
  <c r="C298" i="12" s="1"/>
  <c r="V296" i="12"/>
  <c r="W296" i="12" s="1"/>
  <c r="I296" i="12" s="1"/>
  <c r="C296" i="12" s="1"/>
  <c r="V299" i="12"/>
  <c r="W299" i="12" s="1"/>
  <c r="I299" i="12" s="1"/>
  <c r="C299" i="12" s="1"/>
  <c r="V303" i="12"/>
  <c r="W303" i="12" s="1"/>
  <c r="I303" i="12" s="1"/>
  <c r="C303" i="12" s="1"/>
  <c r="V319" i="12"/>
  <c r="W319" i="12" s="1"/>
  <c r="I319" i="12" s="1"/>
  <c r="C319" i="12" s="1"/>
  <c r="V323" i="12"/>
  <c r="W323" i="12" s="1"/>
  <c r="I323" i="12" s="1"/>
  <c r="C323" i="12" s="1"/>
  <c r="V327" i="12"/>
  <c r="W327" i="12" s="1"/>
  <c r="I327" i="12" s="1"/>
  <c r="C327" i="12" s="1"/>
  <c r="V300" i="12"/>
  <c r="W300" i="12" s="1"/>
  <c r="I300" i="12" s="1"/>
  <c r="C300" i="12" s="1"/>
  <c r="V308" i="12"/>
  <c r="V324" i="12"/>
  <c r="W324" i="12" s="1"/>
  <c r="I324" i="12" s="1"/>
  <c r="C324" i="12" s="1"/>
  <c r="V328" i="12"/>
  <c r="W328" i="12" s="1"/>
  <c r="I328" i="12" s="1"/>
  <c r="C328" i="12" s="1"/>
  <c r="V332" i="12"/>
  <c r="W332" i="12" s="1"/>
  <c r="I332" i="12" s="1"/>
  <c r="C332" i="12" s="1"/>
  <c r="V297" i="12"/>
  <c r="W297" i="12" s="1"/>
  <c r="I297" i="12" s="1"/>
  <c r="C297" i="12" s="1"/>
  <c r="V313" i="12"/>
  <c r="W313" i="12" s="1"/>
  <c r="I313" i="12" s="1"/>
  <c r="C313" i="12" s="1"/>
  <c r="V317" i="12"/>
  <c r="W317" i="12" s="1"/>
  <c r="I317" i="12" s="1"/>
  <c r="C317" i="12" s="1"/>
  <c r="V301" i="12"/>
  <c r="W301" i="12" s="1"/>
  <c r="I301" i="12" s="1"/>
  <c r="C301" i="12" s="1"/>
  <c r="V304" i="12"/>
  <c r="W304" i="12" s="1"/>
  <c r="I304" i="12" s="1"/>
  <c r="C304" i="12" s="1"/>
  <c r="V312" i="12"/>
  <c r="W312" i="12" s="1"/>
  <c r="I312" i="12" s="1"/>
  <c r="C312" i="12" s="1"/>
  <c r="V320" i="12"/>
  <c r="W320" i="12" s="1"/>
  <c r="I320" i="12" s="1"/>
  <c r="C320" i="12" s="1"/>
  <c r="V336" i="12"/>
  <c r="W336" i="12" s="1"/>
  <c r="I336" i="12" s="1"/>
  <c r="C336" i="12" s="1"/>
  <c r="V245" i="12"/>
  <c r="W245" i="12" s="1"/>
  <c r="I245" i="12" s="1"/>
  <c r="C245" i="12" s="1"/>
  <c r="V295" i="12"/>
  <c r="W295" i="12" s="1"/>
  <c r="I295" i="12" s="1"/>
  <c r="C295" i="12" s="1"/>
  <c r="V334" i="12"/>
  <c r="W334" i="12" s="1"/>
  <c r="I334" i="12" s="1"/>
  <c r="C334" i="12" s="1"/>
  <c r="V335" i="12"/>
  <c r="W335" i="12" s="1"/>
  <c r="I335" i="12" s="1"/>
  <c r="C335" i="12" s="1"/>
  <c r="V337" i="12"/>
  <c r="V331" i="12"/>
  <c r="W331" i="12" s="1"/>
  <c r="I331" i="12" s="1"/>
  <c r="C331" i="12" s="1"/>
  <c r="V314" i="12"/>
  <c r="W314" i="12" s="1"/>
  <c r="I314" i="12" s="1"/>
  <c r="C314" i="12" s="1"/>
  <c r="V307" i="12"/>
  <c r="W307" i="12" s="1"/>
  <c r="I307" i="12" s="1"/>
  <c r="C307" i="12" s="1"/>
  <c r="V215" i="12"/>
  <c r="W215" i="12" s="1"/>
  <c r="I215" i="12" s="1"/>
  <c r="C215" i="12" s="1"/>
  <c r="V197" i="12"/>
  <c r="W197" i="12" s="1"/>
  <c r="I197" i="12" s="1"/>
  <c r="C197" i="12" s="1"/>
  <c r="V223" i="12"/>
  <c r="W223" i="12" s="1"/>
  <c r="I223" i="12" s="1"/>
  <c r="C223" i="12" s="1"/>
  <c r="V231" i="12"/>
  <c r="W231" i="12" s="1"/>
  <c r="I231" i="12" s="1"/>
  <c r="C231" i="12" s="1"/>
  <c r="V199" i="12"/>
  <c r="W199" i="12" s="1"/>
  <c r="I199" i="12" s="1"/>
  <c r="C199" i="12" s="1"/>
  <c r="V239" i="12"/>
  <c r="W239" i="12" s="1"/>
  <c r="I239" i="12" s="1"/>
  <c r="C239" i="12" s="1"/>
  <c r="V236" i="12"/>
  <c r="W236" i="12" s="1"/>
  <c r="I236" i="12" s="1"/>
  <c r="C236" i="12" s="1"/>
  <c r="V228" i="12"/>
  <c r="W228" i="12" s="1"/>
  <c r="I228" i="12" s="1"/>
  <c r="C228" i="12" s="1"/>
  <c r="V224" i="12"/>
  <c r="W224" i="12" s="1"/>
  <c r="I224" i="12" s="1"/>
  <c r="C224" i="12" s="1"/>
  <c r="V293" i="12"/>
  <c r="W293" i="12" s="1"/>
  <c r="I293" i="12" s="1"/>
  <c r="V294" i="12"/>
  <c r="W294" i="12" s="1"/>
  <c r="I294" i="12" s="1"/>
  <c r="C294" i="12" s="1"/>
  <c r="V229" i="12"/>
  <c r="W229" i="12" s="1"/>
  <c r="I229" i="12" s="1"/>
  <c r="C229" i="12" s="1"/>
  <c r="V237" i="12"/>
  <c r="W237" i="12" s="1"/>
  <c r="I237" i="12" s="1"/>
  <c r="C237" i="12" s="1"/>
  <c r="V247" i="12"/>
  <c r="W247" i="12" s="1"/>
  <c r="I247" i="12" s="1"/>
  <c r="C247" i="12" s="1"/>
  <c r="V241" i="12"/>
  <c r="W241" i="12" s="1"/>
  <c r="I241" i="12" s="1"/>
  <c r="C241" i="12" s="1"/>
  <c r="V235" i="12"/>
  <c r="W235" i="12" s="1"/>
  <c r="I235" i="12" s="1"/>
  <c r="C235" i="12" s="1"/>
  <c r="V232" i="12"/>
  <c r="W232" i="12" s="1"/>
  <c r="I232" i="12" s="1"/>
  <c r="C232" i="12" s="1"/>
  <c r="V220" i="12"/>
  <c r="W220" i="12" s="1"/>
  <c r="I220" i="12" s="1"/>
  <c r="C220" i="12" s="1"/>
  <c r="V218" i="12"/>
  <c r="W218" i="12" s="1"/>
  <c r="I218" i="12" s="1"/>
  <c r="C218" i="12" s="1"/>
  <c r="V217" i="12"/>
  <c r="W217" i="12" s="1"/>
  <c r="I217" i="12" s="1"/>
  <c r="C217" i="12" s="1"/>
  <c r="V216" i="12"/>
  <c r="W216" i="12" s="1"/>
  <c r="I216" i="12" s="1"/>
  <c r="C216" i="12" s="1"/>
  <c r="V221" i="12"/>
  <c r="W221" i="12" s="1"/>
  <c r="I221" i="12" s="1"/>
  <c r="C221" i="12" s="1"/>
  <c r="V240" i="12"/>
  <c r="W240" i="12" s="1"/>
  <c r="I240" i="12" s="1"/>
  <c r="C240" i="12" s="1"/>
  <c r="V244" i="12"/>
  <c r="W244" i="12" s="1"/>
  <c r="I244" i="12" s="1"/>
  <c r="C244" i="12" s="1"/>
  <c r="V225" i="12"/>
  <c r="W225" i="12" s="1"/>
  <c r="I225" i="12" s="1"/>
  <c r="C225" i="12" s="1"/>
  <c r="V226" i="12"/>
  <c r="W226" i="12" s="1"/>
  <c r="I226" i="12" s="1"/>
  <c r="C226" i="12" s="1"/>
  <c r="V230" i="12"/>
  <c r="W230" i="12" s="1"/>
  <c r="I230" i="12" s="1"/>
  <c r="C230" i="12" s="1"/>
  <c r="V233" i="12"/>
  <c r="W233" i="12" s="1"/>
  <c r="I233" i="12" s="1"/>
  <c r="C233" i="12" s="1"/>
  <c r="V234" i="12"/>
  <c r="W234" i="12" s="1"/>
  <c r="I234" i="12" s="1"/>
  <c r="C234" i="12" s="1"/>
  <c r="V219" i="12"/>
  <c r="W219" i="12" s="1"/>
  <c r="I219" i="12" s="1"/>
  <c r="C219" i="12" s="1"/>
  <c r="V242" i="12"/>
  <c r="W242" i="12" s="1"/>
  <c r="I242" i="12" s="1"/>
  <c r="C242" i="12" s="1"/>
  <c r="V227" i="12"/>
  <c r="W227" i="12" s="1"/>
  <c r="I227" i="12" s="1"/>
  <c r="C227" i="12" s="1"/>
  <c r="V204" i="12"/>
  <c r="W204" i="12" s="1"/>
  <c r="I204" i="12" s="1"/>
  <c r="C204" i="12" s="1"/>
  <c r="V196" i="12"/>
  <c r="W196" i="12" s="1"/>
  <c r="I196" i="12" s="1"/>
  <c r="C196" i="12" s="1"/>
  <c r="V210" i="12"/>
  <c r="W210" i="12" s="1"/>
  <c r="I210" i="12" s="1"/>
  <c r="C210" i="12" s="1"/>
  <c r="V214" i="12"/>
  <c r="W214" i="12" s="1"/>
  <c r="I214" i="12" s="1"/>
  <c r="C214" i="12" s="1"/>
  <c r="V201" i="12"/>
  <c r="W201" i="12" s="1"/>
  <c r="I201" i="12" s="1"/>
  <c r="C201" i="12" s="1"/>
  <c r="V207" i="12"/>
  <c r="W207" i="12" s="1"/>
  <c r="I207" i="12" s="1"/>
  <c r="C207" i="12" s="1"/>
  <c r="V211" i="12"/>
  <c r="W211" i="12" s="1"/>
  <c r="I211" i="12" s="1"/>
  <c r="C211" i="12" s="1"/>
  <c r="V202" i="12"/>
  <c r="W202" i="12" s="1"/>
  <c r="I202" i="12" s="1"/>
  <c r="C202" i="12" s="1"/>
  <c r="V208" i="12"/>
  <c r="W208" i="12" s="1"/>
  <c r="I208" i="12" s="1"/>
  <c r="C208" i="12" s="1"/>
  <c r="V200" i="12"/>
  <c r="W200" i="12" s="1"/>
  <c r="I200" i="12" s="1"/>
  <c r="C200" i="12" s="1"/>
  <c r="V213" i="12"/>
  <c r="W213" i="12" s="1"/>
  <c r="I213" i="12" s="1"/>
  <c r="C213" i="12" s="1"/>
  <c r="V209" i="12"/>
  <c r="W209" i="12" s="1"/>
  <c r="I209" i="12" s="1"/>
  <c r="C209" i="12" s="1"/>
  <c r="V203" i="12"/>
  <c r="W203" i="12" s="1"/>
  <c r="I203" i="12" s="1"/>
  <c r="C203" i="12" s="1"/>
  <c r="V189" i="12"/>
  <c r="W189" i="12" s="1"/>
  <c r="I189" i="12" s="1"/>
  <c r="C189" i="12" s="1"/>
  <c r="V187" i="12"/>
  <c r="W187" i="12" s="1"/>
  <c r="I187" i="12" s="1"/>
  <c r="C187" i="12" s="1"/>
  <c r="V185" i="12"/>
  <c r="W185" i="12" s="1"/>
  <c r="I185" i="12" s="1"/>
  <c r="C185" i="12" s="1"/>
  <c r="V184" i="12"/>
  <c r="W184" i="12" s="1"/>
  <c r="I184" i="12" s="1"/>
  <c r="C184" i="12" s="1"/>
  <c r="V190" i="12"/>
  <c r="W190" i="12" s="1"/>
  <c r="I190" i="12" s="1"/>
  <c r="C190" i="12" s="1"/>
  <c r="V194" i="12"/>
  <c r="W194" i="12" s="1"/>
  <c r="I194" i="12" s="1"/>
  <c r="C194" i="12" s="1"/>
  <c r="V183" i="12"/>
  <c r="W183" i="12" s="1"/>
  <c r="I183" i="12" s="1"/>
  <c r="C183" i="12" s="1"/>
  <c r="V195" i="12"/>
  <c r="W195" i="12" s="1"/>
  <c r="I195" i="12" s="1"/>
  <c r="C195" i="12" s="1"/>
  <c r="V192" i="12"/>
  <c r="W192" i="12" s="1"/>
  <c r="I192" i="12" s="1"/>
  <c r="C192" i="12" s="1"/>
  <c r="V193" i="12"/>
  <c r="W193" i="12" s="1"/>
  <c r="I193" i="12" s="1"/>
  <c r="C193" i="12" s="1"/>
  <c r="V186" i="12"/>
  <c r="W186" i="12" s="1"/>
  <c r="I186" i="12" s="1"/>
  <c r="C186" i="12" s="1"/>
  <c r="V188" i="12"/>
  <c r="W188" i="12" s="1"/>
  <c r="I188" i="12" s="1"/>
  <c r="C188" i="12" s="1"/>
  <c r="V191" i="12"/>
  <c r="W191" i="12" s="1"/>
  <c r="I191" i="12" s="1"/>
  <c r="C191" i="12" s="1"/>
  <c r="V166" i="12"/>
  <c r="W166" i="12" s="1"/>
  <c r="I166" i="12" s="1"/>
  <c r="C166" i="12" s="1"/>
  <c r="V175" i="12"/>
  <c r="W175" i="12" s="1"/>
  <c r="I175" i="12" s="1"/>
  <c r="C175" i="12" s="1"/>
  <c r="V180" i="12"/>
  <c r="W180" i="12" s="1"/>
  <c r="I180" i="12" s="1"/>
  <c r="C180" i="12" s="1"/>
  <c r="V168" i="12"/>
  <c r="W168" i="12" s="1"/>
  <c r="I168" i="12" s="1"/>
  <c r="C168" i="12" s="1"/>
  <c r="V182" i="12"/>
  <c r="W182" i="12" s="1"/>
  <c r="I182" i="12" s="1"/>
  <c r="C182" i="12" s="1"/>
  <c r="V163" i="12"/>
  <c r="W163" i="12" s="1"/>
  <c r="I163" i="12" s="1"/>
  <c r="C163" i="12" s="1"/>
  <c r="V123" i="12"/>
  <c r="W123" i="12" s="1"/>
  <c r="I123" i="12" s="1"/>
  <c r="C123" i="12" s="1"/>
  <c r="V179" i="12"/>
  <c r="W179" i="12" s="1"/>
  <c r="I179" i="12" s="1"/>
  <c r="C179" i="12" s="1"/>
  <c r="V174" i="12"/>
  <c r="W174" i="12" s="1"/>
  <c r="I174" i="12" s="1"/>
  <c r="C174" i="12" s="1"/>
  <c r="V165" i="12"/>
  <c r="W165" i="12" s="1"/>
  <c r="I165" i="12" s="1"/>
  <c r="C165" i="12" s="1"/>
  <c r="V181" i="12"/>
  <c r="W181" i="12" s="1"/>
  <c r="I181" i="12" s="1"/>
  <c r="C181" i="12" s="1"/>
  <c r="V164" i="12"/>
  <c r="W164" i="12" s="1"/>
  <c r="I164" i="12" s="1"/>
  <c r="C164" i="12" s="1"/>
  <c r="V161" i="12"/>
  <c r="W161" i="12" s="1"/>
  <c r="I161" i="12" s="1"/>
  <c r="C161" i="12" s="1"/>
  <c r="V167" i="12"/>
  <c r="W167" i="12" s="1"/>
  <c r="I167" i="12" s="1"/>
  <c r="C167" i="12" s="1"/>
  <c r="V162" i="12"/>
  <c r="W162" i="12" s="1"/>
  <c r="I162" i="12" s="1"/>
  <c r="C162" i="12" s="1"/>
  <c r="V178" i="12"/>
  <c r="W178" i="12" s="1"/>
  <c r="I178" i="12" s="1"/>
  <c r="C178" i="12" s="1"/>
  <c r="V171" i="12"/>
  <c r="W171" i="12" s="1"/>
  <c r="I171" i="12" s="1"/>
  <c r="C171" i="12" s="1"/>
  <c r="V160" i="12"/>
  <c r="W160" i="12" s="1"/>
  <c r="I160" i="12" s="1"/>
  <c r="C160" i="12" s="1"/>
  <c r="V159" i="12"/>
  <c r="W159" i="12" s="1"/>
  <c r="I159" i="12" s="1"/>
  <c r="C159" i="12" s="1"/>
  <c r="V148" i="12"/>
  <c r="W148" i="12" s="1"/>
  <c r="I148" i="12" s="1"/>
  <c r="C148" i="12" s="1"/>
  <c r="V146" i="12"/>
  <c r="W146" i="12" s="1"/>
  <c r="I146" i="12" s="1"/>
  <c r="C146" i="12" s="1"/>
  <c r="V144" i="12"/>
  <c r="W144" i="12" s="1"/>
  <c r="I144" i="12" s="1"/>
  <c r="C144" i="12" s="1"/>
  <c r="V143" i="12"/>
  <c r="W143" i="12" s="1"/>
  <c r="I143" i="12" s="1"/>
  <c r="C143" i="12" s="1"/>
  <c r="V142" i="12"/>
  <c r="W142" i="12" s="1"/>
  <c r="I142" i="12" s="1"/>
  <c r="C142" i="12" s="1"/>
  <c r="V149" i="12"/>
  <c r="W149" i="12" s="1"/>
  <c r="I149" i="12" s="1"/>
  <c r="C149" i="12" s="1"/>
  <c r="V147" i="12"/>
  <c r="W147" i="12" s="1"/>
  <c r="I147" i="12" s="1"/>
  <c r="C147" i="12" s="1"/>
  <c r="V145" i="12"/>
  <c r="W145" i="12" s="1"/>
  <c r="I145" i="12" s="1"/>
  <c r="C145" i="12" s="1"/>
  <c r="V141" i="12"/>
  <c r="W141" i="12" s="1"/>
  <c r="I141" i="12" s="1"/>
  <c r="C141" i="12" s="1"/>
  <c r="V135" i="12"/>
  <c r="W135" i="12" s="1"/>
  <c r="I135" i="12" s="1"/>
  <c r="C135" i="12" s="1"/>
  <c r="V132" i="12"/>
  <c r="W132" i="12" s="1"/>
  <c r="I132" i="12" s="1"/>
  <c r="C132" i="12" s="1"/>
  <c r="V138" i="12"/>
  <c r="W138" i="12" s="1"/>
  <c r="I138" i="12" s="1"/>
  <c r="C138" i="12" s="1"/>
  <c r="V134" i="12"/>
  <c r="W134" i="12" s="1"/>
  <c r="I134" i="12" s="1"/>
  <c r="C134" i="12" s="1"/>
  <c r="V133" i="12"/>
  <c r="W133" i="12" s="1"/>
  <c r="I133" i="12" s="1"/>
  <c r="C133" i="12" s="1"/>
  <c r="V131" i="12"/>
  <c r="W131" i="12" s="1"/>
  <c r="I131" i="12" s="1"/>
  <c r="C131" i="12" s="1"/>
  <c r="V136" i="12"/>
  <c r="W136" i="12" s="1"/>
  <c r="I136" i="12" s="1"/>
  <c r="C136" i="12" s="1"/>
  <c r="V127" i="12"/>
  <c r="W127" i="12" s="1"/>
  <c r="I127" i="12" s="1"/>
  <c r="C127" i="12" s="1"/>
  <c r="V137" i="12"/>
  <c r="W137" i="12" s="1"/>
  <c r="I137" i="12" s="1"/>
  <c r="C137" i="12" s="1"/>
  <c r="V139" i="12"/>
  <c r="W139" i="12" s="1"/>
  <c r="I139" i="12" s="1"/>
  <c r="C139" i="12" s="1"/>
  <c r="V140" i="12"/>
  <c r="W140" i="12" s="1"/>
  <c r="I140" i="12" s="1"/>
  <c r="C140" i="12" s="1"/>
  <c r="V124" i="12"/>
  <c r="W124" i="12" s="1"/>
  <c r="I124" i="12" s="1"/>
  <c r="C124" i="12" s="1"/>
  <c r="V122" i="12"/>
  <c r="W122" i="12" s="1"/>
  <c r="I122" i="12" s="1"/>
  <c r="C122" i="12" s="1"/>
  <c r="V120" i="12"/>
  <c r="W120" i="12" s="1"/>
  <c r="I120" i="12" s="1"/>
  <c r="C120" i="12" s="1"/>
  <c r="V119" i="12"/>
  <c r="W119" i="12" s="1"/>
  <c r="I119" i="12" s="1"/>
  <c r="C119" i="12" s="1"/>
  <c r="V130" i="12"/>
  <c r="W130" i="12" s="1"/>
  <c r="I130" i="12" s="1"/>
  <c r="C130" i="12" s="1"/>
  <c r="V125" i="12"/>
  <c r="W125" i="12" s="1"/>
  <c r="I125" i="12" s="1"/>
  <c r="C125" i="12" s="1"/>
  <c r="V118" i="12"/>
  <c r="W118" i="12" s="1"/>
  <c r="I118" i="12" s="1"/>
  <c r="C118" i="12" s="1"/>
  <c r="V126" i="12"/>
  <c r="W126" i="12" s="1"/>
  <c r="I126" i="12" s="1"/>
  <c r="C126" i="12" s="1"/>
  <c r="V107" i="12"/>
  <c r="W107" i="12" s="1"/>
  <c r="I107" i="12" s="1"/>
  <c r="C107" i="12" s="1"/>
  <c r="V113" i="12"/>
  <c r="W113" i="12" s="1"/>
  <c r="V117" i="12"/>
  <c r="W117" i="12" s="1"/>
  <c r="I117" i="12" s="1"/>
  <c r="C117" i="12" s="1"/>
  <c r="V111" i="12"/>
  <c r="W111" i="12" s="1"/>
  <c r="I111" i="12" s="1"/>
  <c r="C111" i="12" s="1"/>
  <c r="V97" i="12"/>
  <c r="W97" i="12" s="1"/>
  <c r="I97" i="12" s="1"/>
  <c r="C97" i="12" s="1"/>
  <c r="V106" i="12"/>
  <c r="W106" i="12" s="1"/>
  <c r="I106" i="12" s="1"/>
  <c r="C106" i="12" s="1"/>
  <c r="V112" i="12"/>
  <c r="W112" i="12" s="1"/>
  <c r="I112" i="12" s="1"/>
  <c r="C112" i="12" s="1"/>
  <c r="V99" i="12"/>
  <c r="W99" i="12" s="1"/>
  <c r="I99" i="12" s="1"/>
  <c r="C99" i="12" s="1"/>
  <c r="V108" i="12"/>
  <c r="W108" i="12" s="1"/>
  <c r="I108" i="12" s="1"/>
  <c r="C108" i="12" s="1"/>
  <c r="V104" i="12"/>
  <c r="W104" i="12" s="1"/>
  <c r="I104" i="12" s="1"/>
  <c r="C104" i="12" s="1"/>
  <c r="V105" i="12"/>
  <c r="W105" i="12" s="1"/>
  <c r="I105" i="12" s="1"/>
  <c r="C105" i="12" s="1"/>
  <c r="V102" i="12"/>
  <c r="W102" i="12" s="1"/>
  <c r="I102" i="12" s="1"/>
  <c r="C102" i="12" s="1"/>
  <c r="V98" i="12"/>
  <c r="W98" i="12" s="1"/>
  <c r="I98" i="12" s="1"/>
  <c r="C98" i="12" s="1"/>
  <c r="V114" i="12"/>
  <c r="W114" i="12" s="1"/>
  <c r="I114" i="12" s="1"/>
  <c r="C114" i="12" s="1"/>
  <c r="V96" i="12"/>
  <c r="W96" i="12" s="1"/>
  <c r="I96" i="12" s="1"/>
  <c r="C96" i="12" s="1"/>
  <c r="V101" i="12"/>
  <c r="W101" i="12" s="1"/>
  <c r="I101" i="12" s="1"/>
  <c r="C101" i="12" s="1"/>
  <c r="V95" i="12"/>
  <c r="W95" i="12" s="1"/>
  <c r="I95" i="12" s="1"/>
  <c r="C95" i="12" s="1"/>
  <c r="V116" i="12"/>
  <c r="W116" i="12" s="1"/>
  <c r="V103" i="12"/>
  <c r="W103" i="12" s="1"/>
  <c r="V100" i="12"/>
  <c r="W100" i="12" s="1"/>
  <c r="I100" i="12" s="1"/>
  <c r="C100" i="12" s="1"/>
  <c r="V110" i="12"/>
  <c r="W110" i="12" s="1"/>
  <c r="I110" i="12" s="1"/>
  <c r="C110" i="12" s="1"/>
  <c r="V115" i="12"/>
  <c r="W115" i="12" s="1"/>
  <c r="I115" i="12" s="1"/>
  <c r="C115" i="12" s="1"/>
  <c r="V109" i="12"/>
  <c r="W109" i="12" s="1"/>
  <c r="I109" i="12" s="1"/>
  <c r="C109" i="12" s="1"/>
  <c r="V121" i="12"/>
  <c r="W121" i="12" s="1"/>
  <c r="I121" i="12" s="1"/>
  <c r="C121" i="12" s="1"/>
  <c r="V32" i="12"/>
  <c r="W32" i="12" s="1"/>
  <c r="I32" i="12" s="1"/>
  <c r="C32" i="12" s="1"/>
  <c r="V30" i="12"/>
  <c r="W30" i="12" s="1"/>
  <c r="I30" i="12" s="1"/>
  <c r="C30" i="12" s="1"/>
  <c r="V31" i="12"/>
  <c r="W31" i="12" s="1"/>
  <c r="X31" i="12" s="1"/>
  <c r="Y31" i="12" s="1"/>
  <c r="V33" i="12"/>
  <c r="W33" i="12" s="1"/>
  <c r="I33" i="12" s="1"/>
  <c r="C33" i="12" s="1"/>
  <c r="V39" i="12"/>
  <c r="W39" i="12" s="1"/>
  <c r="I39" i="12" s="1"/>
  <c r="C39" i="12" s="1"/>
  <c r="V27" i="12"/>
  <c r="W27" i="12" s="1"/>
  <c r="I27" i="12" s="1"/>
  <c r="C27" i="12" s="1"/>
  <c r="V25" i="12"/>
  <c r="W25" i="12" s="1"/>
  <c r="I25" i="12" s="1"/>
  <c r="C25" i="12" s="1"/>
  <c r="V28" i="12"/>
  <c r="W28" i="12" s="1"/>
  <c r="I28" i="12" s="1"/>
  <c r="C28" i="12" s="1"/>
  <c r="V29" i="12"/>
  <c r="W29" i="12" s="1"/>
  <c r="I29" i="12" s="1"/>
  <c r="C29" i="12" s="1"/>
  <c r="V36" i="12"/>
  <c r="W36" i="12" s="1"/>
  <c r="I36" i="12" s="1"/>
  <c r="C36" i="12" s="1"/>
  <c r="V15" i="12"/>
  <c r="W15" i="12" s="1"/>
  <c r="I15" i="12" s="1"/>
  <c r="C15" i="12" s="1"/>
  <c r="V34" i="12"/>
  <c r="W34" i="12" s="1"/>
  <c r="I34" i="12" s="1"/>
  <c r="C34" i="12" s="1"/>
  <c r="V35" i="12"/>
  <c r="W35" i="12" s="1"/>
  <c r="I35" i="12" s="1"/>
  <c r="C35" i="12" s="1"/>
  <c r="V21" i="12"/>
  <c r="W21" i="12" s="1"/>
  <c r="I21" i="12" s="1"/>
  <c r="C21" i="12" s="1"/>
  <c r="V20" i="12"/>
  <c r="W20" i="12" s="1"/>
  <c r="I20" i="12" s="1"/>
  <c r="C20" i="12" s="1"/>
  <c r="V23" i="12"/>
  <c r="W23" i="12" s="1"/>
  <c r="I23" i="12" s="1"/>
  <c r="C23" i="12" s="1"/>
  <c r="V24" i="12"/>
  <c r="W24" i="12" s="1"/>
  <c r="I24" i="12" s="1"/>
  <c r="C24" i="12" s="1"/>
  <c r="V22" i="12"/>
  <c r="W22" i="12" s="1"/>
  <c r="I22" i="12" s="1"/>
  <c r="C22" i="12" s="1"/>
  <c r="V80" i="12"/>
  <c r="W80" i="12" s="1"/>
  <c r="I80" i="12" s="1"/>
  <c r="C80" i="12" s="1"/>
  <c r="V88" i="12"/>
  <c r="W88" i="12" s="1"/>
  <c r="X88" i="12" s="1"/>
  <c r="Y88" i="12" s="1"/>
  <c r="V60" i="12"/>
  <c r="W60" i="12" s="1"/>
  <c r="I60" i="12" s="1"/>
  <c r="C60" i="12" s="1"/>
  <c r="V58" i="12"/>
  <c r="W58" i="12" s="1"/>
  <c r="I58" i="12" s="1"/>
  <c r="C58" i="12" s="1"/>
  <c r="V79" i="12"/>
  <c r="W79" i="12" s="1"/>
  <c r="I79" i="12" s="1"/>
  <c r="C79" i="12" s="1"/>
  <c r="V59" i="12"/>
  <c r="W59" i="12" s="1"/>
  <c r="I59" i="12" s="1"/>
  <c r="C59" i="12" s="1"/>
  <c r="V82" i="12"/>
  <c r="W82" i="12" s="1"/>
  <c r="I82" i="12" s="1"/>
  <c r="C82" i="12" s="1"/>
  <c r="V86" i="12"/>
  <c r="W86" i="12" s="1"/>
  <c r="I86" i="12" s="1"/>
  <c r="C86" i="12" s="1"/>
  <c r="V94" i="12"/>
  <c r="W94" i="12" s="1"/>
  <c r="I94" i="12" s="1"/>
  <c r="C94" i="12" s="1"/>
  <c r="V77" i="12"/>
  <c r="W77" i="12" s="1"/>
  <c r="I77" i="12" s="1"/>
  <c r="C77" i="12" s="1"/>
  <c r="V81" i="12"/>
  <c r="W81" i="12" s="1"/>
  <c r="I81" i="12" s="1"/>
  <c r="C81" i="12" s="1"/>
  <c r="V89" i="12"/>
  <c r="W89" i="12" s="1"/>
  <c r="I89" i="12" s="1"/>
  <c r="C89" i="12" s="1"/>
  <c r="V93" i="12"/>
  <c r="W93" i="12" s="1"/>
  <c r="I93" i="12" s="1"/>
  <c r="C93" i="12" s="1"/>
  <c r="V78" i="12"/>
  <c r="W78" i="12" s="1"/>
  <c r="I78" i="12" s="1"/>
  <c r="C78" i="12" s="1"/>
  <c r="V83" i="12"/>
  <c r="W83" i="12" s="1"/>
  <c r="I83" i="12" s="1"/>
  <c r="C83" i="12" s="1"/>
  <c r="V90" i="12"/>
  <c r="W90" i="12" s="1"/>
  <c r="I90" i="12" s="1"/>
  <c r="C90" i="12" s="1"/>
  <c r="V91" i="12"/>
  <c r="W91" i="12" s="1"/>
  <c r="I91" i="12" s="1"/>
  <c r="C91" i="12" s="1"/>
  <c r="V76" i="12"/>
  <c r="W76" i="12" s="1"/>
  <c r="I76" i="12" s="1"/>
  <c r="C76" i="12" s="1"/>
  <c r="V92" i="12"/>
  <c r="W92" i="12" s="1"/>
  <c r="I92" i="12" s="1"/>
  <c r="C92" i="12" s="1"/>
  <c r="V85" i="12"/>
  <c r="W85" i="12" s="1"/>
  <c r="I85" i="12" s="1"/>
  <c r="C85" i="12" s="1"/>
  <c r="V87" i="12"/>
  <c r="W87" i="12" s="1"/>
  <c r="I87" i="12" s="1"/>
  <c r="C87" i="12" s="1"/>
  <c r="U75" i="12"/>
  <c r="W75" i="12" s="1"/>
  <c r="I75" i="12" s="1"/>
  <c r="C75" i="12" s="1"/>
  <c r="V84" i="12"/>
  <c r="W84" i="12" s="1"/>
  <c r="I84" i="12" s="1"/>
  <c r="C84" i="12" s="1"/>
  <c r="O5" i="13"/>
  <c r="P5" i="13" s="1"/>
  <c r="I5" i="13" s="1"/>
  <c r="C5" i="13" s="1"/>
  <c r="O9" i="13"/>
  <c r="P9" i="13" s="1"/>
  <c r="I9" i="13" s="1"/>
  <c r="C9" i="13" s="1"/>
  <c r="O21" i="13"/>
  <c r="P21" i="13" s="1"/>
  <c r="Q21" i="13" s="1"/>
  <c r="R21" i="13" s="1"/>
  <c r="O14" i="13"/>
  <c r="P14" i="13" s="1"/>
  <c r="I14" i="13" s="1"/>
  <c r="C14" i="13" s="1"/>
  <c r="O22" i="13"/>
  <c r="P22" i="13" s="1"/>
  <c r="I22" i="13" s="1"/>
  <c r="C22" i="13" s="1"/>
  <c r="N4" i="13"/>
  <c r="O19" i="13"/>
  <c r="P19" i="13" s="1"/>
  <c r="I19" i="13" s="1"/>
  <c r="C19" i="13" s="1"/>
  <c r="O13" i="13"/>
  <c r="P13" i="13" s="1"/>
  <c r="I13" i="13" s="1"/>
  <c r="C13" i="13" s="1"/>
  <c r="O16" i="13"/>
  <c r="P16" i="13" s="1"/>
  <c r="I16" i="13" s="1"/>
  <c r="C16" i="13" s="1"/>
  <c r="O20" i="13"/>
  <c r="P20" i="13" s="1"/>
  <c r="I20" i="13" s="1"/>
  <c r="C20" i="13" s="1"/>
  <c r="O17" i="13"/>
  <c r="O23" i="13"/>
  <c r="P23" i="13" s="1"/>
  <c r="I23" i="13" s="1"/>
  <c r="C23" i="13" s="1"/>
  <c r="O10" i="13"/>
  <c r="P10" i="13" s="1"/>
  <c r="I10" i="13" s="1"/>
  <c r="C10" i="13" s="1"/>
  <c r="O11" i="13"/>
  <c r="P11" i="13" s="1"/>
  <c r="I11" i="13" s="1"/>
  <c r="C11" i="13" s="1"/>
  <c r="O7" i="13"/>
  <c r="P7" i="13" s="1"/>
  <c r="I7" i="13" s="1"/>
  <c r="C7" i="13" s="1"/>
  <c r="O18" i="13"/>
  <c r="P18" i="13" s="1"/>
  <c r="I18" i="13" s="1"/>
  <c r="C18" i="13" s="1"/>
  <c r="O8" i="13"/>
  <c r="P8" i="13" s="1"/>
  <c r="P4" i="13"/>
  <c r="I4" i="13" s="1"/>
  <c r="C4" i="13" s="1"/>
  <c r="O4" i="13"/>
  <c r="Q22" i="13"/>
  <c r="R22" i="13" s="1"/>
  <c r="Q9" i="13"/>
  <c r="R9" i="13" s="1"/>
  <c r="Q12" i="13"/>
  <c r="R12" i="13" s="1"/>
  <c r="I12" i="13"/>
  <c r="C12" i="13" s="1"/>
  <c r="O15" i="13"/>
  <c r="P15" i="13" s="1"/>
  <c r="I15" i="13" s="1"/>
  <c r="C15" i="13" s="1"/>
  <c r="I21" i="13"/>
  <c r="C21" i="13" s="1"/>
  <c r="O6" i="13"/>
  <c r="P6" i="13" s="1"/>
  <c r="I6" i="13" s="1"/>
  <c r="C6" i="13" s="1"/>
  <c r="U52" i="12"/>
  <c r="V52" i="12" s="1"/>
  <c r="V66" i="12"/>
  <c r="W66" i="12" s="1"/>
  <c r="I66" i="12" s="1"/>
  <c r="C66" i="12" s="1"/>
  <c r="V67" i="12"/>
  <c r="W67" i="12" s="1"/>
  <c r="I67" i="12" s="1"/>
  <c r="C67" i="12" s="1"/>
  <c r="V62" i="12"/>
  <c r="W62" i="12" s="1"/>
  <c r="I62" i="12" s="1"/>
  <c r="C62" i="12" s="1"/>
  <c r="V53" i="12"/>
  <c r="W53" i="12" s="1"/>
  <c r="I53" i="12" s="1"/>
  <c r="C53" i="12" s="1"/>
  <c r="V54" i="12"/>
  <c r="W54" i="12" s="1"/>
  <c r="I54" i="12" s="1"/>
  <c r="C54" i="12" s="1"/>
  <c r="V65" i="12"/>
  <c r="W65" i="12" s="1"/>
  <c r="I65" i="12" s="1"/>
  <c r="C65" i="12" s="1"/>
  <c r="V12" i="12"/>
  <c r="W12" i="12" s="1"/>
  <c r="I12" i="12" s="1"/>
  <c r="C12" i="12" s="1"/>
  <c r="V56" i="12"/>
  <c r="W56" i="12" s="1"/>
  <c r="I56" i="12" s="1"/>
  <c r="C56" i="12" s="1"/>
  <c r="V48" i="12"/>
  <c r="W48" i="12" s="1"/>
  <c r="I48" i="12" s="1"/>
  <c r="C48" i="12" s="1"/>
  <c r="V47" i="12"/>
  <c r="W47" i="12" s="1"/>
  <c r="I47" i="12" s="1"/>
  <c r="C47" i="12" s="1"/>
  <c r="V45" i="12"/>
  <c r="W45" i="12" s="1"/>
  <c r="I45" i="12" s="1"/>
  <c r="C45" i="12" s="1"/>
  <c r="V44" i="12"/>
  <c r="W44" i="12" s="1"/>
  <c r="I44" i="12" s="1"/>
  <c r="C44" i="12" s="1"/>
  <c r="V43" i="12"/>
  <c r="W43" i="12" s="1"/>
  <c r="I43" i="12" s="1"/>
  <c r="C43" i="12" s="1"/>
  <c r="V42" i="12"/>
  <c r="W42" i="12" s="1"/>
  <c r="I42" i="12" s="1"/>
  <c r="C42" i="12" s="1"/>
  <c r="V41" i="12"/>
  <c r="W41" i="12" s="1"/>
  <c r="I41" i="12" s="1"/>
  <c r="C41" i="12" s="1"/>
  <c r="V40" i="12"/>
  <c r="W40" i="12" s="1"/>
  <c r="I40" i="12" s="1"/>
  <c r="C40" i="12" s="1"/>
  <c r="V38" i="12"/>
  <c r="W38" i="12" s="1"/>
  <c r="I38" i="12" s="1"/>
  <c r="C38" i="12" s="1"/>
  <c r="V37" i="12"/>
  <c r="W37" i="12" s="1"/>
  <c r="I37" i="12" s="1"/>
  <c r="C37" i="12" s="1"/>
  <c r="V26" i="12"/>
  <c r="W26" i="12" s="1"/>
  <c r="I26" i="12" s="1"/>
  <c r="C26" i="12" s="1"/>
  <c r="V46" i="12"/>
  <c r="W46" i="12" s="1"/>
  <c r="I46" i="12" s="1"/>
  <c r="C46" i="12" s="1"/>
  <c r="V17" i="12"/>
  <c r="W17" i="12" s="1"/>
  <c r="I17" i="12" s="1"/>
  <c r="C17" i="12" s="1"/>
  <c r="V16" i="12"/>
  <c r="W16" i="12" s="1"/>
  <c r="I16" i="12" s="1"/>
  <c r="C16" i="12" s="1"/>
  <c r="V73" i="12"/>
  <c r="W73" i="12" s="1"/>
  <c r="I73" i="12" s="1"/>
  <c r="C73" i="12" s="1"/>
  <c r="V72" i="12"/>
  <c r="W72" i="12" s="1"/>
  <c r="I72" i="12" s="1"/>
  <c r="C72" i="12" s="1"/>
  <c r="V71" i="12"/>
  <c r="W71" i="12" s="1"/>
  <c r="I71" i="12" s="1"/>
  <c r="C71" i="12" s="1"/>
  <c r="V70" i="12"/>
  <c r="W70" i="12" s="1"/>
  <c r="I70" i="12" s="1"/>
  <c r="C70" i="12" s="1"/>
  <c r="V69" i="12"/>
  <c r="W69" i="12" s="1"/>
  <c r="I69" i="12" s="1"/>
  <c r="C69" i="12" s="1"/>
  <c r="V64" i="12"/>
  <c r="W64" i="12" s="1"/>
  <c r="I64" i="12" s="1"/>
  <c r="C64" i="12" s="1"/>
  <c r="V63" i="12"/>
  <c r="W63" i="12" s="1"/>
  <c r="I63" i="12" s="1"/>
  <c r="C63" i="12" s="1"/>
  <c r="V61" i="12"/>
  <c r="W61" i="12" s="1"/>
  <c r="I61" i="12" s="1"/>
  <c r="C61" i="12" s="1"/>
  <c r="V68" i="12"/>
  <c r="W68" i="12" s="1"/>
  <c r="I68" i="12" s="1"/>
  <c r="C68" i="12" s="1"/>
  <c r="V57" i="12"/>
  <c r="W57" i="12" s="1"/>
  <c r="I57" i="12" s="1"/>
  <c r="C57" i="12" s="1"/>
  <c r="V55" i="12"/>
  <c r="W55" i="12" s="1"/>
  <c r="I55" i="12" s="1"/>
  <c r="C55" i="12" s="1"/>
  <c r="V10" i="12"/>
  <c r="W10" i="12" s="1"/>
  <c r="I10" i="12" s="1"/>
  <c r="C10" i="12" s="1"/>
  <c r="V5" i="12"/>
  <c r="W5" i="12" s="1"/>
  <c r="V9" i="12"/>
  <c r="W9" i="12" s="1"/>
  <c r="V11" i="12"/>
  <c r="W11" i="12" s="1"/>
  <c r="V8" i="12"/>
  <c r="W8" i="12" s="1"/>
  <c r="V7" i="12"/>
  <c r="W7" i="12" s="1"/>
  <c r="I7" i="12" s="1"/>
  <c r="C7" i="12" s="1"/>
  <c r="V6" i="12"/>
  <c r="W6" i="12" s="1"/>
  <c r="I6" i="12" s="1"/>
  <c r="C6" i="12" s="1"/>
  <c r="P81" i="7"/>
  <c r="P62" i="1"/>
  <c r="Q62" i="1" s="1"/>
  <c r="I62" i="1" s="1"/>
  <c r="C62" i="1" s="1"/>
  <c r="P12" i="1"/>
  <c r="Q12" i="1" s="1"/>
  <c r="I12" i="1" s="1"/>
  <c r="C12" i="1" s="1"/>
  <c r="P20" i="1"/>
  <c r="Q20" i="1" s="1"/>
  <c r="I20" i="1" s="1"/>
  <c r="C20" i="1" s="1"/>
  <c r="P41" i="1"/>
  <c r="Q41" i="1" s="1"/>
  <c r="I41" i="1" s="1"/>
  <c r="C41" i="1" s="1"/>
  <c r="P6" i="1"/>
  <c r="Q6" i="1" s="1"/>
  <c r="I6" i="1" s="1"/>
  <c r="C6" i="1" s="1"/>
  <c r="P37" i="1"/>
  <c r="Q37" i="1" s="1"/>
  <c r="I37" i="1" s="1"/>
  <c r="C37" i="1" s="1"/>
  <c r="P36" i="1"/>
  <c r="Q36" i="1" s="1"/>
  <c r="I36" i="1" s="1"/>
  <c r="C36" i="1" s="1"/>
  <c r="P38" i="1"/>
  <c r="Q38" i="1" s="1"/>
  <c r="N23" i="10"/>
  <c r="O23" i="10" s="1"/>
  <c r="H23" i="10" s="1"/>
  <c r="C23" i="10" s="1"/>
  <c r="N25" i="10"/>
  <c r="O25" i="10" s="1"/>
  <c r="H25" i="10" s="1"/>
  <c r="C25" i="10" s="1"/>
  <c r="N6" i="10"/>
  <c r="O6" i="10" s="1"/>
  <c r="H6" i="10" s="1"/>
  <c r="C6" i="10" s="1"/>
  <c r="N5" i="10"/>
  <c r="O5" i="10" s="1"/>
  <c r="H5" i="10" s="1"/>
  <c r="C5" i="10" s="1"/>
  <c r="N30" i="11"/>
  <c r="O30" i="11" s="1"/>
  <c r="H30" i="11" s="1"/>
  <c r="C30" i="11" s="1"/>
  <c r="N28" i="11"/>
  <c r="O28" i="11" s="1"/>
  <c r="H28" i="11" s="1"/>
  <c r="C28" i="11" s="1"/>
  <c r="N27" i="11"/>
  <c r="O27" i="11" s="1"/>
  <c r="H27" i="11" s="1"/>
  <c r="C27" i="11" s="1"/>
  <c r="N29" i="11"/>
  <c r="O29" i="11" s="1"/>
  <c r="H29" i="11" s="1"/>
  <c r="C29" i="11" s="1"/>
  <c r="N26" i="11"/>
  <c r="O26" i="11" s="1"/>
  <c r="H26" i="11" s="1"/>
  <c r="C26" i="11" s="1"/>
  <c r="N25" i="11"/>
  <c r="O25" i="11" s="1"/>
  <c r="H25" i="11" s="1"/>
  <c r="C25" i="11" s="1"/>
  <c r="N55" i="10"/>
  <c r="O55" i="10" s="1"/>
  <c r="H55" i="10" s="1"/>
  <c r="C55" i="10" s="1"/>
  <c r="N56" i="10"/>
  <c r="O56" i="10" s="1"/>
  <c r="H56" i="10" s="1"/>
  <c r="C56" i="10" s="1"/>
  <c r="N59" i="10"/>
  <c r="O59" i="10" s="1"/>
  <c r="H59" i="10" s="1"/>
  <c r="C59" i="10" s="1"/>
  <c r="N66" i="10"/>
  <c r="O66" i="10" s="1"/>
  <c r="H66" i="10" s="1"/>
  <c r="C66" i="10" s="1"/>
  <c r="N67" i="10"/>
  <c r="O67" i="10" s="1"/>
  <c r="H67" i="10" s="1"/>
  <c r="C67" i="10" s="1"/>
  <c r="N68" i="10"/>
  <c r="O68" i="10" s="1"/>
  <c r="H68" i="10" s="1"/>
  <c r="C68" i="10" s="1"/>
  <c r="N65" i="10"/>
  <c r="O65" i="10" s="1"/>
  <c r="H65" i="10" s="1"/>
  <c r="C65" i="10" s="1"/>
  <c r="N54" i="10"/>
  <c r="O54" i="10" s="1"/>
  <c r="H54" i="10" s="1"/>
  <c r="C54" i="10" s="1"/>
  <c r="N45" i="10"/>
  <c r="O45" i="10" s="1"/>
  <c r="H45" i="10" s="1"/>
  <c r="C45" i="10" s="1"/>
  <c r="N44" i="10"/>
  <c r="O44" i="10" s="1"/>
  <c r="H44" i="10" s="1"/>
  <c r="C44" i="10" s="1"/>
  <c r="N43" i="10"/>
  <c r="O43" i="10" s="1"/>
  <c r="H43" i="10" s="1"/>
  <c r="C43" i="10" s="1"/>
  <c r="N42" i="10"/>
  <c r="O42" i="10" s="1"/>
  <c r="H42" i="10" s="1"/>
  <c r="C42" i="10" s="1"/>
  <c r="N41" i="10"/>
  <c r="O41" i="10" s="1"/>
  <c r="H41" i="10" s="1"/>
  <c r="C41" i="10" s="1"/>
  <c r="N57" i="10"/>
  <c r="O57" i="10" s="1"/>
  <c r="H57" i="10" s="1"/>
  <c r="C57" i="10" s="1"/>
  <c r="N58" i="10"/>
  <c r="O58" i="10" s="1"/>
  <c r="H58" i="10" s="1"/>
  <c r="C58" i="10" s="1"/>
  <c r="N61" i="10"/>
  <c r="O61" i="10" s="1"/>
  <c r="H61" i="10" s="1"/>
  <c r="C61" i="10" s="1"/>
  <c r="N60" i="10"/>
  <c r="O60" i="10" s="1"/>
  <c r="H60" i="10" s="1"/>
  <c r="C60" i="10" s="1"/>
  <c r="N62" i="10"/>
  <c r="O62" i="10" s="1"/>
  <c r="H62" i="10" s="1"/>
  <c r="C62" i="10" s="1"/>
  <c r="N64" i="10"/>
  <c r="O64" i="10" s="1"/>
  <c r="H64" i="10" s="1"/>
  <c r="C64" i="10" s="1"/>
  <c r="N63" i="10"/>
  <c r="O63" i="10" s="1"/>
  <c r="H63" i="10" s="1"/>
  <c r="C63" i="10" s="1"/>
  <c r="N39" i="10"/>
  <c r="O39" i="10" s="1"/>
  <c r="H39" i="10" s="1"/>
  <c r="C39" i="10" s="1"/>
  <c r="N40" i="10"/>
  <c r="O40" i="10" s="1"/>
  <c r="H40" i="10" s="1"/>
  <c r="C40" i="10" s="1"/>
  <c r="N29" i="10"/>
  <c r="O29" i="10" s="1"/>
  <c r="H29" i="10" s="1"/>
  <c r="C29" i="10" s="1"/>
  <c r="N9" i="10"/>
  <c r="O9" i="10" s="1"/>
  <c r="H9" i="10" s="1"/>
  <c r="C9" i="10" s="1"/>
  <c r="N14" i="10"/>
  <c r="O14" i="10" s="1"/>
  <c r="H14" i="10" s="1"/>
  <c r="C14" i="10" s="1"/>
  <c r="N21" i="10"/>
  <c r="O21" i="10" s="1"/>
  <c r="H21" i="10" s="1"/>
  <c r="C21" i="10" s="1"/>
  <c r="N3" i="10"/>
  <c r="O3" i="10" s="1"/>
  <c r="H3" i="10" s="1"/>
  <c r="C3" i="10" s="1"/>
  <c r="N12" i="10"/>
  <c r="O12" i="10" s="1"/>
  <c r="H12" i="10" s="1"/>
  <c r="C12" i="10" s="1"/>
  <c r="N17" i="10"/>
  <c r="O17" i="10" s="1"/>
  <c r="H17" i="10" s="1"/>
  <c r="C17" i="10" s="1"/>
  <c r="N16" i="10"/>
  <c r="O16" i="10" s="1"/>
  <c r="H16" i="10" s="1"/>
  <c r="C16" i="10" s="1"/>
  <c r="N18" i="10"/>
  <c r="O18" i="10" s="1"/>
  <c r="H18" i="10" s="1"/>
  <c r="C18" i="10" s="1"/>
  <c r="N15" i="10"/>
  <c r="O15" i="10" s="1"/>
  <c r="H15" i="10" s="1"/>
  <c r="C15" i="10" s="1"/>
  <c r="N13" i="10"/>
  <c r="O13" i="10" s="1"/>
  <c r="H13" i="10" s="1"/>
  <c r="C13" i="10" s="1"/>
  <c r="N11" i="10"/>
  <c r="O11" i="10" s="1"/>
  <c r="H11" i="10" s="1"/>
  <c r="C11" i="10" s="1"/>
  <c r="N10" i="10"/>
  <c r="O10" i="10" s="1"/>
  <c r="H10" i="10" s="1"/>
  <c r="C10" i="10" s="1"/>
  <c r="N8" i="10"/>
  <c r="O8" i="10" s="1"/>
  <c r="H8" i="10" s="1"/>
  <c r="N7" i="10"/>
  <c r="O7" i="10" s="1"/>
  <c r="H7" i="10" s="1"/>
  <c r="C7" i="10" s="1"/>
  <c r="N4" i="10"/>
  <c r="O4" i="10" s="1"/>
  <c r="H4" i="10" s="1"/>
  <c r="C4" i="10" s="1"/>
  <c r="N22" i="10"/>
  <c r="O22" i="10" s="1"/>
  <c r="H22" i="10" s="1"/>
  <c r="C22" i="10" s="1"/>
  <c r="N26" i="10"/>
  <c r="O26" i="10" s="1"/>
  <c r="H26" i="10" s="1"/>
  <c r="C26" i="10" s="1"/>
  <c r="N19" i="10"/>
  <c r="O19" i="10" s="1"/>
  <c r="H19" i="10" s="1"/>
  <c r="C19" i="10" s="1"/>
  <c r="N20" i="10"/>
  <c r="O20" i="10" s="1"/>
  <c r="H20" i="10" s="1"/>
  <c r="C20" i="10" s="1"/>
  <c r="N30" i="10"/>
  <c r="O30" i="10" s="1"/>
  <c r="H30" i="10" s="1"/>
  <c r="C30" i="10" s="1"/>
  <c r="N31" i="10"/>
  <c r="O31" i="10" s="1"/>
  <c r="H31" i="10" s="1"/>
  <c r="C31" i="10" s="1"/>
  <c r="N32" i="10"/>
  <c r="O32" i="10" s="1"/>
  <c r="H32" i="10" s="1"/>
  <c r="C32" i="10" s="1"/>
  <c r="N33" i="10"/>
  <c r="O33" i="10" s="1"/>
  <c r="H33" i="10" s="1"/>
  <c r="C33" i="10" s="1"/>
  <c r="N34" i="10"/>
  <c r="O34" i="10" s="1"/>
  <c r="H34" i="10" s="1"/>
  <c r="C34" i="10" s="1"/>
  <c r="N35" i="10"/>
  <c r="O35" i="10" s="1"/>
  <c r="H35" i="10" s="1"/>
  <c r="C35" i="10" s="1"/>
  <c r="N36" i="10"/>
  <c r="O36" i="10" s="1"/>
  <c r="H36" i="10" s="1"/>
  <c r="C36" i="10" s="1"/>
  <c r="N37" i="10"/>
  <c r="O37" i="10" s="1"/>
  <c r="H37" i="10" s="1"/>
  <c r="C37" i="10" s="1"/>
  <c r="N38" i="10"/>
  <c r="O38" i="10" s="1"/>
  <c r="H38" i="10" s="1"/>
  <c r="C38" i="10" s="1"/>
  <c r="N49" i="10"/>
  <c r="O49" i="10" s="1"/>
  <c r="H49" i="10" s="1"/>
  <c r="C49" i="10" s="1"/>
  <c r="N47" i="10"/>
  <c r="O47" i="10" s="1"/>
  <c r="H47" i="10" s="1"/>
  <c r="C47" i="10" s="1"/>
  <c r="N52" i="10"/>
  <c r="O52" i="10" s="1"/>
  <c r="H52" i="10" s="1"/>
  <c r="C52" i="10" s="1"/>
  <c r="N28" i="10"/>
  <c r="O28" i="10" s="1"/>
  <c r="H28" i="10" s="1"/>
  <c r="C28" i="10" s="1"/>
  <c r="N50" i="10"/>
  <c r="O50" i="10" s="1"/>
  <c r="H50" i="10" s="1"/>
  <c r="C50" i="10" s="1"/>
  <c r="N46" i="10"/>
  <c r="O46" i="10" s="1"/>
  <c r="H46" i="10" s="1"/>
  <c r="C46" i="10" s="1"/>
  <c r="N51" i="10"/>
  <c r="O51" i="10" s="1"/>
  <c r="H51" i="10" s="1"/>
  <c r="C51" i="10" s="1"/>
  <c r="N48" i="10"/>
  <c r="O48" i="10" s="1"/>
  <c r="H48" i="10" s="1"/>
  <c r="C48" i="10" s="1"/>
  <c r="N53" i="10"/>
  <c r="O53" i="10" s="1"/>
  <c r="H53" i="10" s="1"/>
  <c r="C53" i="10" s="1"/>
  <c r="N27" i="10"/>
  <c r="O27" i="10" s="1"/>
  <c r="H27" i="10" s="1"/>
  <c r="C27" i="10" s="1"/>
  <c r="P89" i="7"/>
  <c r="P30" i="1"/>
  <c r="Q30" i="1" s="1"/>
  <c r="I30" i="1" s="1"/>
  <c r="C30" i="1" s="1"/>
  <c r="P60" i="1"/>
  <c r="Q60" i="1" s="1"/>
  <c r="I60" i="1" s="1"/>
  <c r="C60" i="1" s="1"/>
  <c r="P59" i="1"/>
  <c r="Q59" i="1" s="1"/>
  <c r="I59" i="1" s="1"/>
  <c r="C59" i="1" s="1"/>
  <c r="P45" i="1"/>
  <c r="Q45" i="1" s="1"/>
  <c r="I45" i="1" s="1"/>
  <c r="C45" i="1" s="1"/>
  <c r="P86" i="1"/>
  <c r="Q86" i="1" s="1"/>
  <c r="I86" i="1" s="1"/>
  <c r="C86" i="1" s="1"/>
  <c r="P103" i="1"/>
  <c r="Q103" i="1" s="1"/>
  <c r="I103" i="1" s="1"/>
  <c r="C103" i="1" s="1"/>
  <c r="P83" i="1"/>
  <c r="Q83" i="1" s="1"/>
  <c r="I83" i="1" s="1"/>
  <c r="C83" i="1" s="1"/>
  <c r="P111" i="1"/>
  <c r="Q111" i="1" s="1"/>
  <c r="I111" i="1" s="1"/>
  <c r="C111" i="1" s="1"/>
  <c r="L42" i="7"/>
  <c r="M42" i="7"/>
  <c r="L148" i="7"/>
  <c r="Q26" i="7"/>
  <c r="M76" i="7"/>
  <c r="L26" i="7"/>
  <c r="M26" i="7"/>
  <c r="L36" i="7"/>
  <c r="M36" i="7"/>
  <c r="P36" i="7"/>
  <c r="L33" i="7"/>
  <c r="M33" i="7"/>
  <c r="P33" i="7"/>
  <c r="M37" i="7"/>
  <c r="Q125" i="7"/>
  <c r="L35" i="7"/>
  <c r="M35" i="7"/>
  <c r="P35" i="7"/>
  <c r="L145" i="7"/>
  <c r="M116" i="7"/>
  <c r="P37" i="7"/>
  <c r="M56" i="7"/>
  <c r="R56" i="7" s="1"/>
  <c r="S56" i="7" s="1"/>
  <c r="T56" i="7" s="1"/>
  <c r="C56" i="7" s="1"/>
  <c r="P124" i="7"/>
  <c r="Q28" i="7"/>
  <c r="L107" i="7"/>
  <c r="M107" i="7"/>
  <c r="P107" i="7"/>
  <c r="M71" i="7"/>
  <c r="L121" i="7"/>
  <c r="R121" i="7" s="1"/>
  <c r="S121" i="7" s="1"/>
  <c r="T121" i="7" s="1"/>
  <c r="C121" i="7" s="1"/>
  <c r="M53" i="7"/>
  <c r="R53" i="7" s="1"/>
  <c r="S53" i="7" s="1"/>
  <c r="T53" i="7" s="1"/>
  <c r="C53" i="7" s="1"/>
  <c r="L99" i="7"/>
  <c r="R99" i="7" s="1"/>
  <c r="S99" i="7" s="1"/>
  <c r="T99" i="7" s="1"/>
  <c r="C99" i="7" s="1"/>
  <c r="L110" i="7"/>
  <c r="R110" i="7" s="1"/>
  <c r="S110" i="7" s="1"/>
  <c r="T110" i="7" s="1"/>
  <c r="C110" i="7" s="1"/>
  <c r="M102" i="7"/>
  <c r="L146" i="7"/>
  <c r="L23" i="7"/>
  <c r="R23" i="7" s="1"/>
  <c r="S23" i="7" s="1"/>
  <c r="T23" i="7" s="1"/>
  <c r="C23" i="7" s="1"/>
  <c r="Q16" i="7"/>
  <c r="M83" i="7"/>
  <c r="R83" i="7" s="1"/>
  <c r="S83" i="7" s="1"/>
  <c r="T83" i="7" s="1"/>
  <c r="C83" i="7" s="1"/>
  <c r="L103" i="7"/>
  <c r="L34" i="7"/>
  <c r="L119" i="7"/>
  <c r="R119" i="7" s="1"/>
  <c r="S119" i="7" s="1"/>
  <c r="T119" i="7" s="1"/>
  <c r="C119" i="7" s="1"/>
  <c r="L104" i="7"/>
  <c r="L106" i="7"/>
  <c r="M104" i="7"/>
  <c r="P104" i="7"/>
  <c r="M6" i="7"/>
  <c r="R6" i="7" s="1"/>
  <c r="S6" i="7" s="1"/>
  <c r="T6" i="7" s="1"/>
  <c r="C6" i="7" s="1"/>
  <c r="L48" i="7"/>
  <c r="R48" i="7" s="1"/>
  <c r="S48" i="7" s="1"/>
  <c r="T48" i="7" s="1"/>
  <c r="C48" i="7" s="1"/>
  <c r="L27" i="7"/>
  <c r="M152" i="7"/>
  <c r="P39" i="7"/>
  <c r="L46" i="7"/>
  <c r="R46" i="7" s="1"/>
  <c r="S46" i="7" s="1"/>
  <c r="T46" i="7" s="1"/>
  <c r="C46" i="7" s="1"/>
  <c r="L51" i="7"/>
  <c r="R51" i="7" s="1"/>
  <c r="S51" i="7" s="1"/>
  <c r="T51" i="7" s="1"/>
  <c r="C51" i="7" s="1"/>
  <c r="P154" i="7"/>
  <c r="M63" i="7"/>
  <c r="M91" i="7"/>
  <c r="R91" i="7" s="1"/>
  <c r="S91" i="7" s="1"/>
  <c r="T91" i="7" s="1"/>
  <c r="C91" i="7" s="1"/>
  <c r="Q126" i="7"/>
  <c r="Q133" i="7"/>
  <c r="L155" i="7"/>
  <c r="M98" i="7"/>
  <c r="R98" i="7" s="1"/>
  <c r="S98" i="7" s="1"/>
  <c r="T98" i="7" s="1"/>
  <c r="C98" i="7" s="1"/>
  <c r="P103" i="7"/>
  <c r="P127" i="7"/>
  <c r="L122" i="7"/>
  <c r="R122" i="7" s="1"/>
  <c r="S122" i="7" s="1"/>
  <c r="T122" i="7" s="1"/>
  <c r="C122" i="7" s="1"/>
  <c r="M156" i="7"/>
  <c r="M86" i="7"/>
  <c r="R86" i="7" s="1"/>
  <c r="S86" i="7" s="1"/>
  <c r="T86" i="7" s="1"/>
  <c r="C86" i="7" s="1"/>
  <c r="L81" i="7"/>
  <c r="R81" i="7" s="1"/>
  <c r="S81" i="7" s="1"/>
  <c r="T81" i="7" s="1"/>
  <c r="C81" i="7" s="1"/>
  <c r="L92" i="7"/>
  <c r="L28" i="7"/>
  <c r="R28" i="7" s="1"/>
  <c r="S28" i="7" s="1"/>
  <c r="T28" i="7" s="1"/>
  <c r="C28" i="7" s="1"/>
  <c r="Q149" i="7"/>
  <c r="M105" i="7"/>
  <c r="M112" i="7"/>
  <c r="R112" i="7" s="1"/>
  <c r="S112" i="7" s="1"/>
  <c r="T112" i="7" s="1"/>
  <c r="C112" i="7" s="1"/>
  <c r="L39" i="7"/>
  <c r="M10" i="7"/>
  <c r="R10" i="7" s="1"/>
  <c r="S10" i="7" s="1"/>
  <c r="T10" i="7" s="1"/>
  <c r="C10" i="7" s="1"/>
  <c r="M66" i="7"/>
  <c r="R66" i="7" s="1"/>
  <c r="S66" i="7" s="1"/>
  <c r="T66" i="7" s="1"/>
  <c r="C66" i="7" s="1"/>
  <c r="M88" i="7"/>
  <c r="R88" i="7" s="1"/>
  <c r="S88" i="7" s="1"/>
  <c r="T88" i="7" s="1"/>
  <c r="C88" i="7" s="1"/>
  <c r="L94" i="7"/>
  <c r="R94" i="7" s="1"/>
  <c r="S94" i="7" s="1"/>
  <c r="T94" i="7" s="1"/>
  <c r="C94" i="7" s="1"/>
  <c r="M113" i="7"/>
  <c r="R113" i="7" s="1"/>
  <c r="S113" i="7" s="1"/>
  <c r="T113" i="7" s="1"/>
  <c r="C113" i="7" s="1"/>
  <c r="M138" i="7"/>
  <c r="M39" i="7"/>
  <c r="Q30" i="7"/>
  <c r="L78" i="7"/>
  <c r="R78" i="7" s="1"/>
  <c r="S78" i="7" s="1"/>
  <c r="T78" i="7" s="1"/>
  <c r="C78" i="7" s="1"/>
  <c r="M108" i="7"/>
  <c r="L139" i="7"/>
  <c r="L11" i="7"/>
  <c r="R11" i="7" s="1"/>
  <c r="S11" i="7" s="1"/>
  <c r="T11" i="7" s="1"/>
  <c r="C11" i="7" s="1"/>
  <c r="L73" i="7"/>
  <c r="R73" i="7" s="1"/>
  <c r="S73" i="7" s="1"/>
  <c r="T73" i="7" s="1"/>
  <c r="C73" i="7" s="1"/>
  <c r="L114" i="7"/>
  <c r="R114" i="7" s="1"/>
  <c r="S114" i="7" s="1"/>
  <c r="T114" i="7" s="1"/>
  <c r="C114" i="7" s="1"/>
  <c r="M153" i="7"/>
  <c r="Q17" i="7"/>
  <c r="Q31" i="7"/>
  <c r="M140" i="7"/>
  <c r="R140" i="7" s="1"/>
  <c r="S140" i="7" s="1"/>
  <c r="T140" i="7" s="1"/>
  <c r="C140" i="7" s="1"/>
  <c r="L19" i="7"/>
  <c r="R19" i="7" s="1"/>
  <c r="S19" i="7" s="1"/>
  <c r="T19" i="7" s="1"/>
  <c r="C19" i="7" s="1"/>
  <c r="L117" i="7"/>
  <c r="R117" i="7" s="1"/>
  <c r="S117" i="7" s="1"/>
  <c r="T117" i="7" s="1"/>
  <c r="C117" i="7" s="1"/>
  <c r="M58" i="7"/>
  <c r="R58" i="7" s="1"/>
  <c r="S58" i="7" s="1"/>
  <c r="T58" i="7" s="1"/>
  <c r="C58" i="7" s="1"/>
  <c r="L131" i="7"/>
  <c r="R131" i="7" s="1"/>
  <c r="S131" i="7" s="1"/>
  <c r="T131" i="7" s="1"/>
  <c r="C131" i="7" s="1"/>
  <c r="M15" i="7"/>
  <c r="R15" i="7" s="1"/>
  <c r="S15" i="7" s="1"/>
  <c r="T15" i="7" s="1"/>
  <c r="C15" i="7" s="1"/>
  <c r="M68" i="7"/>
  <c r="R68" i="7" s="1"/>
  <c r="S68" i="7" s="1"/>
  <c r="T68" i="7" s="1"/>
  <c r="C68" i="7" s="1"/>
  <c r="M93" i="7"/>
  <c r="Q93" i="7"/>
  <c r="M118" i="7"/>
  <c r="R118" i="7" s="1"/>
  <c r="S118" i="7" s="1"/>
  <c r="T118" i="7" s="1"/>
  <c r="C118" i="7" s="1"/>
  <c r="M127" i="7"/>
  <c r="Q138" i="7"/>
  <c r="L144" i="7"/>
  <c r="P148" i="7"/>
  <c r="R148" i="7" s="1"/>
  <c r="S148" i="7" s="1"/>
  <c r="T148" i="7" s="1"/>
  <c r="C148" i="7" s="1"/>
  <c r="M5" i="7"/>
  <c r="R5" i="7" s="1"/>
  <c r="S5" i="7" s="1"/>
  <c r="T5" i="7" s="1"/>
  <c r="C5" i="7" s="1"/>
  <c r="L16" i="7"/>
  <c r="L109" i="7"/>
  <c r="R109" i="7" s="1"/>
  <c r="S109" i="7" s="1"/>
  <c r="T109" i="7" s="1"/>
  <c r="C109" i="7" s="1"/>
  <c r="R63" i="7"/>
  <c r="S63" i="7" s="1"/>
  <c r="T63" i="7" s="1"/>
  <c r="C63" i="7" s="1"/>
  <c r="L123" i="7"/>
  <c r="Q144" i="7"/>
  <c r="P128" i="7"/>
  <c r="L134" i="7"/>
  <c r="M17" i="7"/>
  <c r="M29" i="7"/>
  <c r="L61" i="7"/>
  <c r="L95" i="7"/>
  <c r="R95" i="7" s="1"/>
  <c r="S95" i="7" s="1"/>
  <c r="T95" i="7" s="1"/>
  <c r="C95" i="7" s="1"/>
  <c r="L100" i="7"/>
  <c r="R100" i="7" s="1"/>
  <c r="S100" i="7" s="1"/>
  <c r="T100" i="7" s="1"/>
  <c r="C100" i="7" s="1"/>
  <c r="M124" i="7"/>
  <c r="L150" i="7"/>
  <c r="M61" i="7"/>
  <c r="M120" i="7"/>
  <c r="R120" i="7" s="1"/>
  <c r="S120" i="7" s="1"/>
  <c r="T120" i="7" s="1"/>
  <c r="C120" i="7" s="1"/>
  <c r="M129" i="7"/>
  <c r="R129" i="7" s="1"/>
  <c r="S129" i="7" s="1"/>
  <c r="T129" i="7" s="1"/>
  <c r="C129" i="7" s="1"/>
  <c r="L30" i="7"/>
  <c r="R76" i="7"/>
  <c r="S76" i="7" s="1"/>
  <c r="T76" i="7" s="1"/>
  <c r="C76" i="7" s="1"/>
  <c r="L141" i="7"/>
  <c r="R141" i="7" s="1"/>
  <c r="S141" i="7" s="1"/>
  <c r="T141" i="7" s="1"/>
  <c r="C141" i="7" s="1"/>
  <c r="L101" i="7"/>
  <c r="Q105" i="7"/>
  <c r="P156" i="7"/>
  <c r="M101" i="7"/>
  <c r="P146" i="7"/>
  <c r="L43" i="7"/>
  <c r="R43" i="7" s="1"/>
  <c r="S43" i="7" s="1"/>
  <c r="T43" i="7" s="1"/>
  <c r="C43" i="7" s="1"/>
  <c r="Q136" i="7"/>
  <c r="Q152" i="7"/>
  <c r="L31" i="7"/>
  <c r="L147" i="7"/>
  <c r="M55" i="7"/>
  <c r="L55" i="7"/>
  <c r="R102" i="7"/>
  <c r="S102" i="7" s="1"/>
  <c r="T102" i="7" s="1"/>
  <c r="C102" i="7" s="1"/>
  <c r="M125" i="7"/>
  <c r="L125" i="7"/>
  <c r="M128" i="7"/>
  <c r="M149" i="7"/>
  <c r="L149" i="7"/>
  <c r="P153" i="7"/>
  <c r="M59" i="7"/>
  <c r="L59" i="7"/>
  <c r="M85" i="7"/>
  <c r="L85" i="7"/>
  <c r="M89" i="7"/>
  <c r="L89" i="7"/>
  <c r="M111" i="7"/>
  <c r="R111" i="7" s="1"/>
  <c r="S111" i="7" s="1"/>
  <c r="T111" i="7" s="1"/>
  <c r="C111" i="7" s="1"/>
  <c r="M133" i="7"/>
  <c r="L133" i="7"/>
  <c r="P137" i="7"/>
  <c r="M74" i="7"/>
  <c r="L74" i="7"/>
  <c r="M115" i="7"/>
  <c r="R115" i="7" s="1"/>
  <c r="S115" i="7" s="1"/>
  <c r="T115" i="7" s="1"/>
  <c r="C115" i="7" s="1"/>
  <c r="L77" i="7"/>
  <c r="M45" i="7"/>
  <c r="L45" i="7"/>
  <c r="M52" i="7"/>
  <c r="R52" i="7" s="1"/>
  <c r="S52" i="7" s="1"/>
  <c r="T52" i="7" s="1"/>
  <c r="C52" i="7" s="1"/>
  <c r="L18" i="7"/>
  <c r="R18" i="7" s="1"/>
  <c r="S18" i="7" s="1"/>
  <c r="T18" i="7" s="1"/>
  <c r="C18" i="7" s="1"/>
  <c r="M49" i="7"/>
  <c r="L49" i="7"/>
  <c r="L67" i="7"/>
  <c r="M32" i="7"/>
  <c r="L32" i="7"/>
  <c r="L41" i="7"/>
  <c r="M60" i="7"/>
  <c r="L60" i="7"/>
  <c r="M67" i="7"/>
  <c r="P108" i="7"/>
  <c r="M142" i="7"/>
  <c r="M24" i="7"/>
  <c r="M70" i="7"/>
  <c r="L70" i="7"/>
  <c r="M21" i="7"/>
  <c r="R21" i="7" s="1"/>
  <c r="S21" i="7" s="1"/>
  <c r="T21" i="7" s="1"/>
  <c r="C21" i="7" s="1"/>
  <c r="Q40" i="7"/>
  <c r="L3" i="7"/>
  <c r="L25" i="7"/>
  <c r="P29" i="7"/>
  <c r="M41" i="7"/>
  <c r="M82" i="7"/>
  <c r="R82" i="7" s="1"/>
  <c r="S82" i="7" s="1"/>
  <c r="T82" i="7" s="1"/>
  <c r="C82" i="7" s="1"/>
  <c r="L142" i="7"/>
  <c r="M40" i="7"/>
  <c r="L40" i="7"/>
  <c r="M77" i="7"/>
  <c r="P92" i="7"/>
  <c r="L9" i="7"/>
  <c r="R9" i="7" s="1"/>
  <c r="S9" i="7" s="1"/>
  <c r="T9" i="7" s="1"/>
  <c r="C9" i="7" s="1"/>
  <c r="L13" i="7"/>
  <c r="R13" i="7" s="1"/>
  <c r="S13" i="7" s="1"/>
  <c r="T13" i="7" s="1"/>
  <c r="C13" i="7" s="1"/>
  <c r="M64" i="7"/>
  <c r="L64" i="7"/>
  <c r="R71" i="7"/>
  <c r="S71" i="7" s="1"/>
  <c r="T71" i="7" s="1"/>
  <c r="C71" i="7" s="1"/>
  <c r="L97" i="7"/>
  <c r="L130" i="7"/>
  <c r="L96" i="7"/>
  <c r="R96" i="7" s="1"/>
  <c r="S96" i="7" s="1"/>
  <c r="T96" i="7" s="1"/>
  <c r="C96" i="7" s="1"/>
  <c r="M137" i="7"/>
  <c r="M3" i="7"/>
  <c r="M25" i="7"/>
  <c r="L57" i="7"/>
  <c r="R57" i="7" s="1"/>
  <c r="S57" i="7" s="1"/>
  <c r="T57" i="7" s="1"/>
  <c r="C57" i="7" s="1"/>
  <c r="M90" i="7"/>
  <c r="L90" i="7"/>
  <c r="M97" i="7"/>
  <c r="M130" i="7"/>
  <c r="Q134" i="7"/>
  <c r="P134" i="7"/>
  <c r="L24" i="7"/>
  <c r="M12" i="7"/>
  <c r="L12" i="7"/>
  <c r="M50" i="7"/>
  <c r="L50" i="7"/>
  <c r="M75" i="7"/>
  <c r="L75" i="7"/>
  <c r="R116" i="7"/>
  <c r="S116" i="7" s="1"/>
  <c r="T116" i="7" s="1"/>
  <c r="C116" i="7" s="1"/>
  <c r="M79" i="7"/>
  <c r="L79" i="7"/>
  <c r="L151" i="7"/>
  <c r="P155" i="7"/>
  <c r="Q34" i="7"/>
  <c r="P34" i="7"/>
  <c r="M54" i="7"/>
  <c r="L54" i="7"/>
  <c r="L87" i="7"/>
  <c r="P123" i="7"/>
  <c r="P139" i="7"/>
  <c r="M151" i="7"/>
  <c r="M7" i="7"/>
  <c r="L7" i="7"/>
  <c r="L4" i="7"/>
  <c r="R4" i="7" s="1"/>
  <c r="S4" i="7" s="1"/>
  <c r="T4" i="7" s="1"/>
  <c r="C4" i="7" s="1"/>
  <c r="P27" i="7"/>
  <c r="R27" i="7" s="1"/>
  <c r="S27" i="7" s="1"/>
  <c r="L47" i="7"/>
  <c r="R47" i="7" s="1"/>
  <c r="S47" i="7" s="1"/>
  <c r="T47" i="7" s="1"/>
  <c r="C47" i="7" s="1"/>
  <c r="L72" i="7"/>
  <c r="R72" i="7" s="1"/>
  <c r="S72" i="7" s="1"/>
  <c r="T72" i="7" s="1"/>
  <c r="C72" i="7" s="1"/>
  <c r="M87" i="7"/>
  <c r="L135" i="7"/>
  <c r="M65" i="7"/>
  <c r="L65" i="7"/>
  <c r="M44" i="7"/>
  <c r="L44" i="7"/>
  <c r="M69" i="7"/>
  <c r="L69" i="7"/>
  <c r="L8" i="7"/>
  <c r="R8" i="7" s="1"/>
  <c r="S8" i="7" s="1"/>
  <c r="T8" i="7" s="1"/>
  <c r="C8" i="7" s="1"/>
  <c r="L14" i="7"/>
  <c r="M20" i="7"/>
  <c r="R20" i="7" s="1"/>
  <c r="S20" i="7" s="1"/>
  <c r="T20" i="7" s="1"/>
  <c r="C20" i="7" s="1"/>
  <c r="M14" i="7"/>
  <c r="L38" i="7"/>
  <c r="L62" i="7"/>
  <c r="R62" i="7" s="1"/>
  <c r="S62" i="7" s="1"/>
  <c r="T62" i="7" s="1"/>
  <c r="C62" i="7" s="1"/>
  <c r="M80" i="7"/>
  <c r="L80" i="7"/>
  <c r="M84" i="7"/>
  <c r="L84" i="7"/>
  <c r="M132" i="7"/>
  <c r="L132" i="7"/>
  <c r="P150" i="7"/>
  <c r="P38" i="7"/>
  <c r="L126" i="7"/>
  <c r="P135" i="7"/>
  <c r="P151" i="7"/>
  <c r="M126" i="7"/>
  <c r="L22" i="7"/>
  <c r="R22" i="7" s="1"/>
  <c r="S22" i="7" s="1"/>
  <c r="T22" i="7" s="1"/>
  <c r="C22" i="7" s="1"/>
  <c r="P32" i="7"/>
  <c r="P147" i="7"/>
  <c r="L154" i="7"/>
  <c r="P106" i="7"/>
  <c r="L136" i="7"/>
  <c r="L143" i="7"/>
  <c r="R143" i="7" s="1"/>
  <c r="S143" i="7" s="1"/>
  <c r="T143" i="7" s="1"/>
  <c r="C143" i="7" s="1"/>
  <c r="P145" i="7"/>
  <c r="V4" i="12" l="1"/>
  <c r="X339" i="12"/>
  <c r="Y339" i="12" s="1"/>
  <c r="X156" i="12"/>
  <c r="Y156" i="12" s="1"/>
  <c r="X241" i="14"/>
  <c r="Y241" i="14" s="1"/>
  <c r="X154" i="14"/>
  <c r="Y154" i="14" s="1"/>
  <c r="X248" i="14"/>
  <c r="Y248" i="14" s="1"/>
  <c r="X24" i="14"/>
  <c r="Y24" i="14" s="1"/>
  <c r="X288" i="14"/>
  <c r="Y288" i="14" s="1"/>
  <c r="X16" i="14"/>
  <c r="Y16" i="14" s="1"/>
  <c r="X382" i="14"/>
  <c r="Y382" i="14" s="1"/>
  <c r="W202" i="14"/>
  <c r="I202" i="14" s="1"/>
  <c r="C202" i="14" s="1"/>
  <c r="X326" i="14"/>
  <c r="Y326" i="14" s="1"/>
  <c r="X144" i="14"/>
  <c r="Y144" i="14" s="1"/>
  <c r="X98" i="14"/>
  <c r="Y98" i="14" s="1"/>
  <c r="X329" i="14"/>
  <c r="Y329" i="14" s="1"/>
  <c r="X163" i="14"/>
  <c r="Y163" i="14" s="1"/>
  <c r="X299" i="14"/>
  <c r="Y299" i="14" s="1"/>
  <c r="X141" i="14"/>
  <c r="Y141" i="14" s="1"/>
  <c r="X22" i="14"/>
  <c r="Y22" i="14" s="1"/>
  <c r="X230" i="14"/>
  <c r="Y230" i="14" s="1"/>
  <c r="X139" i="14"/>
  <c r="Y139" i="14" s="1"/>
  <c r="X228" i="14"/>
  <c r="Y228" i="14" s="1"/>
  <c r="X274" i="14"/>
  <c r="Y274" i="14" s="1"/>
  <c r="X205" i="14"/>
  <c r="Y205" i="14" s="1"/>
  <c r="X183" i="14"/>
  <c r="Y183" i="14" s="1"/>
  <c r="X260" i="14"/>
  <c r="Y260" i="14" s="1"/>
  <c r="X193" i="14"/>
  <c r="Y193" i="14" s="1"/>
  <c r="X146" i="14"/>
  <c r="Y146" i="14" s="1"/>
  <c r="X156" i="14"/>
  <c r="Y156" i="14" s="1"/>
  <c r="X114" i="14"/>
  <c r="Y114" i="14" s="1"/>
  <c r="X83" i="14"/>
  <c r="Y83" i="14" s="1"/>
  <c r="X297" i="14"/>
  <c r="Y297" i="14" s="1"/>
  <c r="X120" i="14"/>
  <c r="Y120" i="14" s="1"/>
  <c r="W120" i="14"/>
  <c r="I120" i="14" s="1"/>
  <c r="C120" i="14" s="1"/>
  <c r="X307" i="14"/>
  <c r="Y307" i="14" s="1"/>
  <c r="X292" i="14"/>
  <c r="Y292" i="14" s="1"/>
  <c r="X71" i="14"/>
  <c r="Y71" i="14" s="1"/>
  <c r="X177" i="14"/>
  <c r="Y177" i="14" s="1"/>
  <c r="X194" i="14"/>
  <c r="Y194" i="14" s="1"/>
  <c r="W286" i="14"/>
  <c r="I286" i="14" s="1"/>
  <c r="C286" i="14" s="1"/>
  <c r="X286" i="14"/>
  <c r="Y286" i="14" s="1"/>
  <c r="X220" i="14"/>
  <c r="Y220" i="14" s="1"/>
  <c r="X236" i="14"/>
  <c r="Y236" i="14" s="1"/>
  <c r="X203" i="14"/>
  <c r="Y203" i="14" s="1"/>
  <c r="X338" i="14"/>
  <c r="Y338" i="14" s="1"/>
  <c r="X254" i="14"/>
  <c r="Y254" i="14" s="1"/>
  <c r="X211" i="14"/>
  <c r="Y211" i="14" s="1"/>
  <c r="X106" i="14"/>
  <c r="Y106" i="14" s="1"/>
  <c r="X172" i="14"/>
  <c r="Y172" i="14" s="1"/>
  <c r="X126" i="14"/>
  <c r="Y126" i="14" s="1"/>
  <c r="X321" i="14"/>
  <c r="Y321" i="14" s="1"/>
  <c r="X67" i="14"/>
  <c r="Y67" i="14" s="1"/>
  <c r="X168" i="14"/>
  <c r="Y168" i="14" s="1"/>
  <c r="X302" i="14"/>
  <c r="Y302" i="14" s="1"/>
  <c r="X26" i="14"/>
  <c r="Y26" i="14" s="1"/>
  <c r="W87" i="14"/>
  <c r="I87" i="14" s="1"/>
  <c r="C87" i="14" s="1"/>
  <c r="X87" i="14"/>
  <c r="Y87" i="14" s="1"/>
  <c r="X261" i="14"/>
  <c r="Y261" i="14" s="1"/>
  <c r="X133" i="14"/>
  <c r="Y133" i="14" s="1"/>
  <c r="X132" i="14"/>
  <c r="Y132" i="14" s="1"/>
  <c r="X63" i="14"/>
  <c r="Y63" i="14" s="1"/>
  <c r="X74" i="14"/>
  <c r="Y74" i="14" s="1"/>
  <c r="W214" i="14"/>
  <c r="I214" i="14" s="1"/>
  <c r="C214" i="14" s="1"/>
  <c r="X165" i="14"/>
  <c r="Y165" i="14" s="1"/>
  <c r="X7" i="14"/>
  <c r="Y7" i="14" s="1"/>
  <c r="X108" i="14"/>
  <c r="Y108" i="14" s="1"/>
  <c r="X152" i="14"/>
  <c r="Y152" i="14" s="1"/>
  <c r="X187" i="14"/>
  <c r="Y187" i="14" s="1"/>
  <c r="X35" i="14"/>
  <c r="Y35" i="14" s="1"/>
  <c r="X238" i="14"/>
  <c r="Y238" i="14" s="1"/>
  <c r="X345" i="14"/>
  <c r="Y345" i="14" s="1"/>
  <c r="X368" i="14"/>
  <c r="Y368" i="14" s="1"/>
  <c r="W79" i="14"/>
  <c r="I79" i="14" s="1"/>
  <c r="C79" i="14" s="1"/>
  <c r="X79" i="14"/>
  <c r="Y79" i="14" s="1"/>
  <c r="X180" i="14"/>
  <c r="Y180" i="14" s="1"/>
  <c r="W18" i="14"/>
  <c r="I18" i="14" s="1"/>
  <c r="C18" i="14" s="1"/>
  <c r="X18" i="14"/>
  <c r="Y18" i="14" s="1"/>
  <c r="X250" i="14"/>
  <c r="Y250" i="14" s="1"/>
  <c r="X171" i="14"/>
  <c r="Y171" i="14" s="1"/>
  <c r="X125" i="14"/>
  <c r="Y125" i="14" s="1"/>
  <c r="X15" i="14"/>
  <c r="Y15" i="14" s="1"/>
  <c r="X379" i="14"/>
  <c r="Y379" i="14" s="1"/>
  <c r="X375" i="14"/>
  <c r="Y375" i="14" s="1"/>
  <c r="X319" i="14"/>
  <c r="Y319" i="14" s="1"/>
  <c r="X119" i="14"/>
  <c r="Y119" i="14" s="1"/>
  <c r="X242" i="14"/>
  <c r="Y242" i="14" s="1"/>
  <c r="X275" i="14"/>
  <c r="Y275" i="14" s="1"/>
  <c r="X42" i="14"/>
  <c r="Y42" i="14" s="1"/>
  <c r="X107" i="14"/>
  <c r="Y107" i="14" s="1"/>
  <c r="X10" i="14"/>
  <c r="Y10" i="14" s="1"/>
  <c r="X48" i="14"/>
  <c r="Y48" i="14" s="1"/>
  <c r="X221" i="14"/>
  <c r="Y221" i="14" s="1"/>
  <c r="X32" i="14"/>
  <c r="Y32" i="14" s="1"/>
  <c r="X47" i="14"/>
  <c r="Y47" i="14" s="1"/>
  <c r="X298" i="14"/>
  <c r="Y298" i="14" s="1"/>
  <c r="W58" i="14"/>
  <c r="I58" i="14" s="1"/>
  <c r="C58" i="14" s="1"/>
  <c r="X134" i="14"/>
  <c r="Y134" i="14" s="1"/>
  <c r="X217" i="14"/>
  <c r="Y217" i="14" s="1"/>
  <c r="X235" i="14"/>
  <c r="Y235" i="14" s="1"/>
  <c r="X335" i="14"/>
  <c r="Y335" i="14" s="1"/>
  <c r="X339" i="14"/>
  <c r="Y339" i="14" s="1"/>
  <c r="X320" i="14"/>
  <c r="Y320" i="14" s="1"/>
  <c r="X175" i="14"/>
  <c r="Y175" i="14" s="1"/>
  <c r="X370" i="14"/>
  <c r="Y370" i="14" s="1"/>
  <c r="X28" i="14"/>
  <c r="Y28" i="14" s="1"/>
  <c r="X150" i="12"/>
  <c r="Y150" i="12" s="1"/>
  <c r="X169" i="12"/>
  <c r="Y169" i="12" s="1"/>
  <c r="X173" i="12"/>
  <c r="Y173" i="12" s="1"/>
  <c r="X153" i="12"/>
  <c r="Y153" i="12" s="1"/>
  <c r="X152" i="12"/>
  <c r="Y152" i="12" s="1"/>
  <c r="X154" i="12"/>
  <c r="Y154" i="12" s="1"/>
  <c r="X172" i="12"/>
  <c r="Y172" i="12" s="1"/>
  <c r="X176" i="12"/>
  <c r="Y176" i="12" s="1"/>
  <c r="X177" i="12"/>
  <c r="Y177" i="12" s="1"/>
  <c r="X128" i="12"/>
  <c r="Y128" i="12" s="1"/>
  <c r="X170" i="12"/>
  <c r="Y170" i="12" s="1"/>
  <c r="X157" i="12"/>
  <c r="Y157" i="12" s="1"/>
  <c r="X158" i="12"/>
  <c r="Y158" i="12" s="1"/>
  <c r="X151" i="12"/>
  <c r="Y151" i="12" s="1"/>
  <c r="X129" i="12"/>
  <c r="Y129" i="12" s="1"/>
  <c r="X155" i="12"/>
  <c r="Y155" i="12" s="1"/>
  <c r="X379" i="12"/>
  <c r="Y379" i="12" s="1"/>
  <c r="X378" i="12"/>
  <c r="Y378" i="12" s="1"/>
  <c r="X205" i="12"/>
  <c r="Y205" i="12" s="1"/>
  <c r="X341" i="12"/>
  <c r="Y341" i="12" s="1"/>
  <c r="X206" i="12"/>
  <c r="Y206" i="12" s="1"/>
  <c r="X371" i="12"/>
  <c r="Y371" i="12" s="1"/>
  <c r="X377" i="12"/>
  <c r="Y377" i="12" s="1"/>
  <c r="X372" i="12"/>
  <c r="Y372" i="12" s="1"/>
  <c r="I376" i="12"/>
  <c r="C376" i="12" s="1"/>
  <c r="X376" i="12"/>
  <c r="Y376" i="12" s="1"/>
  <c r="I374" i="12"/>
  <c r="C374" i="12" s="1"/>
  <c r="X374" i="12"/>
  <c r="Y374" i="12" s="1"/>
  <c r="W375" i="12"/>
  <c r="I375" i="12" s="1"/>
  <c r="C375" i="12" s="1"/>
  <c r="X364" i="12"/>
  <c r="Y364" i="12" s="1"/>
  <c r="I364" i="12"/>
  <c r="C364" i="12" s="1"/>
  <c r="I370" i="12"/>
  <c r="C370" i="12" s="1"/>
  <c r="X370" i="12"/>
  <c r="Y370" i="12" s="1"/>
  <c r="I373" i="12"/>
  <c r="C373" i="12" s="1"/>
  <c r="X373" i="12"/>
  <c r="Y373" i="12" s="1"/>
  <c r="W369" i="12"/>
  <c r="I368" i="12"/>
  <c r="C368" i="12" s="1"/>
  <c r="X368" i="12"/>
  <c r="Y368" i="12" s="1"/>
  <c r="X367" i="12"/>
  <c r="Y367" i="12" s="1"/>
  <c r="I367" i="12"/>
  <c r="C367" i="12" s="1"/>
  <c r="I366" i="12"/>
  <c r="C366" i="12" s="1"/>
  <c r="X366" i="12"/>
  <c r="Y366" i="12" s="1"/>
  <c r="W365" i="12"/>
  <c r="I363" i="12"/>
  <c r="C363" i="12" s="1"/>
  <c r="X363" i="12"/>
  <c r="Y363" i="12" s="1"/>
  <c r="X362" i="12"/>
  <c r="Y362" i="12" s="1"/>
  <c r="X19" i="12"/>
  <c r="Y19" i="12" s="1"/>
  <c r="I18" i="12"/>
  <c r="C18" i="12" s="1"/>
  <c r="X342" i="12"/>
  <c r="Y342" i="12" s="1"/>
  <c r="W337" i="12"/>
  <c r="I337" i="12" s="1"/>
  <c r="C337" i="12" s="1"/>
  <c r="X13" i="12"/>
  <c r="Y13" i="12" s="1"/>
  <c r="X248" i="12"/>
  <c r="Y248" i="12" s="1"/>
  <c r="X338" i="12"/>
  <c r="Y338" i="12" s="1"/>
  <c r="X283" i="12"/>
  <c r="Y283" i="12" s="1"/>
  <c r="X286" i="12"/>
  <c r="Y286" i="12" s="1"/>
  <c r="X285" i="12"/>
  <c r="Y285" i="12" s="1"/>
  <c r="X265" i="12"/>
  <c r="Y265" i="12" s="1"/>
  <c r="X262" i="12"/>
  <c r="Y262" i="12" s="1"/>
  <c r="X330" i="12"/>
  <c r="Y330" i="12" s="1"/>
  <c r="X322" i="12"/>
  <c r="Y322" i="12" s="1"/>
  <c r="X273" i="12"/>
  <c r="Y273" i="12" s="1"/>
  <c r="X246" i="12"/>
  <c r="Y246" i="12" s="1"/>
  <c r="X247" i="12"/>
  <c r="Y247" i="12" s="1"/>
  <c r="X277" i="12"/>
  <c r="Y277" i="12" s="1"/>
  <c r="X197" i="12"/>
  <c r="Y197" i="12" s="1"/>
  <c r="X291" i="12"/>
  <c r="Y291" i="12" s="1"/>
  <c r="X290" i="12"/>
  <c r="Y290" i="12" s="1"/>
  <c r="X212" i="12"/>
  <c r="Y212" i="12" s="1"/>
  <c r="X268" i="12"/>
  <c r="Y268" i="12" s="1"/>
  <c r="X263" i="12"/>
  <c r="Y263" i="12" s="1"/>
  <c r="X292" i="12"/>
  <c r="Y292" i="12" s="1"/>
  <c r="X329" i="12"/>
  <c r="Y329" i="12" s="1"/>
  <c r="X232" i="12"/>
  <c r="Y232" i="12" s="1"/>
  <c r="X238" i="12"/>
  <c r="Y238" i="12" s="1"/>
  <c r="X321" i="12"/>
  <c r="Y321" i="12" s="1"/>
  <c r="X316" i="12"/>
  <c r="Y316" i="12" s="1"/>
  <c r="X270" i="12"/>
  <c r="Y270" i="12" s="1"/>
  <c r="X279" i="12"/>
  <c r="Y279" i="12" s="1"/>
  <c r="X340" i="12"/>
  <c r="Y340" i="12" s="1"/>
  <c r="X282" i="12"/>
  <c r="Y282" i="12" s="1"/>
  <c r="X264" i="12"/>
  <c r="Y264" i="12" s="1"/>
  <c r="X281" i="12"/>
  <c r="Y281" i="12" s="1"/>
  <c r="X267" i="12"/>
  <c r="Y267" i="12" s="1"/>
  <c r="X288" i="12"/>
  <c r="Y288" i="12" s="1"/>
  <c r="X280" i="12"/>
  <c r="Y280" i="12" s="1"/>
  <c r="X303" i="12"/>
  <c r="Y303" i="12" s="1"/>
  <c r="X274" i="12"/>
  <c r="Y274" i="12" s="1"/>
  <c r="X250" i="12"/>
  <c r="Y250" i="12" s="1"/>
  <c r="X289" i="12"/>
  <c r="Y289" i="12" s="1"/>
  <c r="X269" i="12"/>
  <c r="Y269" i="12" s="1"/>
  <c r="X253" i="12"/>
  <c r="Y253" i="12" s="1"/>
  <c r="X284" i="12"/>
  <c r="Y284" i="12" s="1"/>
  <c r="X257" i="12"/>
  <c r="Y257" i="12" s="1"/>
  <c r="X276" i="12"/>
  <c r="Y276" i="12" s="1"/>
  <c r="X249" i="12"/>
  <c r="Y249" i="12" s="1"/>
  <c r="X261" i="12"/>
  <c r="Y261" i="12" s="1"/>
  <c r="X272" i="12"/>
  <c r="Y272" i="12" s="1"/>
  <c r="X256" i="12"/>
  <c r="Y256" i="12" s="1"/>
  <c r="X287" i="12"/>
  <c r="Y287" i="12" s="1"/>
  <c r="X278" i="12"/>
  <c r="Y278" i="12" s="1"/>
  <c r="X228" i="12"/>
  <c r="Y228" i="12" s="1"/>
  <c r="X275" i="12"/>
  <c r="Y275" i="12" s="1"/>
  <c r="X231" i="12"/>
  <c r="Y231" i="12" s="1"/>
  <c r="X255" i="12"/>
  <c r="Y255" i="12" s="1"/>
  <c r="X229" i="12"/>
  <c r="Y229" i="12" s="1"/>
  <c r="X258" i="12"/>
  <c r="Y258" i="12" s="1"/>
  <c r="X254" i="12"/>
  <c r="Y254" i="12" s="1"/>
  <c r="X222" i="12"/>
  <c r="Y222" i="12" s="1"/>
  <c r="X326" i="12"/>
  <c r="Y326" i="12" s="1"/>
  <c r="X305" i="12"/>
  <c r="Y305" i="12" s="1"/>
  <c r="X223" i="12"/>
  <c r="Y223" i="12" s="1"/>
  <c r="X271" i="12"/>
  <c r="Y271" i="12" s="1"/>
  <c r="X252" i="12"/>
  <c r="Y252" i="12" s="1"/>
  <c r="X215" i="12"/>
  <c r="Y215" i="12" s="1"/>
  <c r="X298" i="12"/>
  <c r="Y298" i="12" s="1"/>
  <c r="X317" i="12"/>
  <c r="Y317" i="12" s="1"/>
  <c r="X260" i="12"/>
  <c r="Y260" i="12" s="1"/>
  <c r="X259" i="12"/>
  <c r="Y259" i="12" s="1"/>
  <c r="X251" i="12"/>
  <c r="Y251" i="12" s="1"/>
  <c r="X266" i="12"/>
  <c r="Y266" i="12" s="1"/>
  <c r="X318" i="12"/>
  <c r="Y318" i="12" s="1"/>
  <c r="X309" i="12"/>
  <c r="Y309" i="12" s="1"/>
  <c r="X333" i="12"/>
  <c r="Y333" i="12" s="1"/>
  <c r="X324" i="12"/>
  <c r="Y324" i="12" s="1"/>
  <c r="X323" i="12"/>
  <c r="Y323" i="12" s="1"/>
  <c r="X320" i="12"/>
  <c r="Y320" i="12" s="1"/>
  <c r="X315" i="12"/>
  <c r="Y315" i="12" s="1"/>
  <c r="X313" i="12"/>
  <c r="Y313" i="12" s="1"/>
  <c r="X311" i="12"/>
  <c r="Y311" i="12" s="1"/>
  <c r="W308" i="12"/>
  <c r="I308" i="12" s="1"/>
  <c r="C308" i="12" s="1"/>
  <c r="X306" i="12"/>
  <c r="Y306" i="12" s="1"/>
  <c r="X300" i="12"/>
  <c r="Y300" i="12" s="1"/>
  <c r="X297" i="12"/>
  <c r="Y297" i="12" s="1"/>
  <c r="X296" i="12"/>
  <c r="Y296" i="12" s="1"/>
  <c r="X328" i="12"/>
  <c r="Y328" i="12" s="1"/>
  <c r="X319" i="12"/>
  <c r="Y319" i="12" s="1"/>
  <c r="X332" i="12"/>
  <c r="Y332" i="12" s="1"/>
  <c r="X307" i="12"/>
  <c r="Y307" i="12" s="1"/>
  <c r="X314" i="12"/>
  <c r="Y314" i="12" s="1"/>
  <c r="X310" i="12"/>
  <c r="Y310" i="12" s="1"/>
  <c r="X336" i="12"/>
  <c r="Y336" i="12" s="1"/>
  <c r="X304" i="12"/>
  <c r="Y304" i="12" s="1"/>
  <c r="X327" i="12"/>
  <c r="Y327" i="12" s="1"/>
  <c r="X216" i="12"/>
  <c r="Y216" i="12" s="1"/>
  <c r="X236" i="12"/>
  <c r="Y236" i="12" s="1"/>
  <c r="X224" i="12"/>
  <c r="Y224" i="12" s="1"/>
  <c r="X295" i="12"/>
  <c r="Y295" i="12" s="1"/>
  <c r="X294" i="12"/>
  <c r="Y294" i="12" s="1"/>
  <c r="X335" i="12"/>
  <c r="Y335" i="12" s="1"/>
  <c r="X334" i="12"/>
  <c r="Y334" i="12" s="1"/>
  <c r="X325" i="12"/>
  <c r="Y325" i="12" s="1"/>
  <c r="X331" i="12"/>
  <c r="Y331" i="12" s="1"/>
  <c r="X312" i="12"/>
  <c r="Y312" i="12" s="1"/>
  <c r="X302" i="12"/>
  <c r="Y302" i="12" s="1"/>
  <c r="X299" i="12"/>
  <c r="Y299" i="12" s="1"/>
  <c r="X301" i="12"/>
  <c r="Y301" i="12" s="1"/>
  <c r="X225" i="12"/>
  <c r="Y225" i="12" s="1"/>
  <c r="X235" i="12"/>
  <c r="Y235" i="12" s="1"/>
  <c r="X185" i="12"/>
  <c r="Y185" i="12" s="1"/>
  <c r="X98" i="12"/>
  <c r="Y98" i="12" s="1"/>
  <c r="X239" i="12"/>
  <c r="Y239" i="12" s="1"/>
  <c r="X293" i="12"/>
  <c r="Y293" i="12" s="1"/>
  <c r="X244" i="12"/>
  <c r="Y244" i="12" s="1"/>
  <c r="X243" i="12"/>
  <c r="Y243" i="12" s="1"/>
  <c r="X234" i="12"/>
  <c r="Y234" i="12" s="1"/>
  <c r="X230" i="12"/>
  <c r="Y230" i="12" s="1"/>
  <c r="X226" i="12"/>
  <c r="Y226" i="12" s="1"/>
  <c r="X219" i="12"/>
  <c r="Y219" i="12" s="1"/>
  <c r="X218" i="12"/>
  <c r="Y218" i="12" s="1"/>
  <c r="X217" i="12"/>
  <c r="Y217" i="12" s="1"/>
  <c r="X227" i="12"/>
  <c r="Y227" i="12" s="1"/>
  <c r="X233" i="12"/>
  <c r="Y233" i="12" s="1"/>
  <c r="X242" i="12"/>
  <c r="Y242" i="12" s="1"/>
  <c r="X240" i="12"/>
  <c r="Y240" i="12" s="1"/>
  <c r="X221" i="12"/>
  <c r="Y221" i="12" s="1"/>
  <c r="X245" i="12"/>
  <c r="Y245" i="12" s="1"/>
  <c r="X241" i="12"/>
  <c r="Y241" i="12" s="1"/>
  <c r="X237" i="12"/>
  <c r="Y237" i="12" s="1"/>
  <c r="X220" i="12"/>
  <c r="Y220" i="12" s="1"/>
  <c r="X207" i="12"/>
  <c r="Y207" i="12" s="1"/>
  <c r="X204" i="12"/>
  <c r="Y204" i="12" s="1"/>
  <c r="X208" i="12"/>
  <c r="Y208" i="12" s="1"/>
  <c r="X211" i="12"/>
  <c r="Y211" i="12" s="1"/>
  <c r="X201" i="12"/>
  <c r="Y201" i="12" s="1"/>
  <c r="X213" i="12"/>
  <c r="Y213" i="12" s="1"/>
  <c r="X168" i="12"/>
  <c r="Y168" i="12" s="1"/>
  <c r="X198" i="12"/>
  <c r="Y198" i="12" s="1"/>
  <c r="X200" i="12"/>
  <c r="Y200" i="12" s="1"/>
  <c r="X209" i="12"/>
  <c r="Y209" i="12" s="1"/>
  <c r="X199" i="12"/>
  <c r="Y199" i="12" s="1"/>
  <c r="X214" i="12"/>
  <c r="Y214" i="12" s="1"/>
  <c r="X210" i="12"/>
  <c r="Y210" i="12" s="1"/>
  <c r="X203" i="12"/>
  <c r="Y203" i="12" s="1"/>
  <c r="X202" i="12"/>
  <c r="Y202" i="12" s="1"/>
  <c r="X189" i="12"/>
  <c r="Y189" i="12" s="1"/>
  <c r="X192" i="12"/>
  <c r="Y192" i="12" s="1"/>
  <c r="X190" i="12"/>
  <c r="Y190" i="12" s="1"/>
  <c r="X184" i="12"/>
  <c r="Y184" i="12" s="1"/>
  <c r="X183" i="12"/>
  <c r="Y183" i="12" s="1"/>
  <c r="X191" i="12"/>
  <c r="Y191" i="12" s="1"/>
  <c r="X194" i="12"/>
  <c r="Y194" i="12" s="1"/>
  <c r="X195" i="12"/>
  <c r="Y195" i="12" s="1"/>
  <c r="X193" i="12"/>
  <c r="Y193" i="12" s="1"/>
  <c r="X188" i="12"/>
  <c r="Y188" i="12" s="1"/>
  <c r="X196" i="12"/>
  <c r="Y196" i="12" s="1"/>
  <c r="X187" i="12"/>
  <c r="Y187" i="12" s="1"/>
  <c r="X186" i="12"/>
  <c r="Y186" i="12" s="1"/>
  <c r="X174" i="12"/>
  <c r="Y174" i="12" s="1"/>
  <c r="X166" i="12"/>
  <c r="Y166" i="12" s="1"/>
  <c r="X175" i="12"/>
  <c r="Y175" i="12" s="1"/>
  <c r="X167" i="12"/>
  <c r="Y167" i="12" s="1"/>
  <c r="X123" i="12"/>
  <c r="Y123" i="12" s="1"/>
  <c r="X163" i="12"/>
  <c r="Y163" i="12" s="1"/>
  <c r="X106" i="12"/>
  <c r="Y106" i="12" s="1"/>
  <c r="X182" i="12"/>
  <c r="Y182" i="12" s="1"/>
  <c r="X179" i="12"/>
  <c r="Y179" i="12" s="1"/>
  <c r="X181" i="12"/>
  <c r="Y181" i="12" s="1"/>
  <c r="X165" i="12"/>
  <c r="Y165" i="12" s="1"/>
  <c r="X162" i="12"/>
  <c r="Y162" i="12" s="1"/>
  <c r="X160" i="12"/>
  <c r="Y160" i="12" s="1"/>
  <c r="X171" i="12"/>
  <c r="Y171" i="12" s="1"/>
  <c r="X180" i="12"/>
  <c r="Y180" i="12" s="1"/>
  <c r="X178" i="12"/>
  <c r="Y178" i="12" s="1"/>
  <c r="X148" i="12"/>
  <c r="Y148" i="12" s="1"/>
  <c r="X146" i="12"/>
  <c r="Y146" i="12" s="1"/>
  <c r="X142" i="12"/>
  <c r="Y142" i="12" s="1"/>
  <c r="X145" i="12"/>
  <c r="Y145" i="12" s="1"/>
  <c r="X143" i="12"/>
  <c r="Y143" i="12" s="1"/>
  <c r="X149" i="12"/>
  <c r="Y149" i="12" s="1"/>
  <c r="X147" i="12"/>
  <c r="Y147" i="12" s="1"/>
  <c r="X159" i="12"/>
  <c r="Y159" i="12" s="1"/>
  <c r="X161" i="12"/>
  <c r="Y161" i="12" s="1"/>
  <c r="X164" i="12"/>
  <c r="Y164" i="12" s="1"/>
  <c r="X141" i="12"/>
  <c r="Y141" i="12" s="1"/>
  <c r="X134" i="12"/>
  <c r="Y134" i="12" s="1"/>
  <c r="X138" i="12"/>
  <c r="Y138" i="12" s="1"/>
  <c r="X132" i="12"/>
  <c r="Y132" i="12" s="1"/>
  <c r="X131" i="12"/>
  <c r="Y131" i="12" s="1"/>
  <c r="X130" i="12"/>
  <c r="Y130" i="12" s="1"/>
  <c r="X127" i="12"/>
  <c r="Y127" i="12" s="1"/>
  <c r="X144" i="12"/>
  <c r="Y144" i="12" s="1"/>
  <c r="X140" i="12"/>
  <c r="Y140" i="12" s="1"/>
  <c r="X133" i="12"/>
  <c r="Y133" i="12" s="1"/>
  <c r="X136" i="12"/>
  <c r="Y136" i="12" s="1"/>
  <c r="X135" i="12"/>
  <c r="Y135" i="12" s="1"/>
  <c r="X139" i="12"/>
  <c r="Y139" i="12" s="1"/>
  <c r="X137" i="12"/>
  <c r="Y137" i="12" s="1"/>
  <c r="X124" i="12"/>
  <c r="Y124" i="12" s="1"/>
  <c r="X122" i="12"/>
  <c r="Y122" i="12" s="1"/>
  <c r="X120" i="12"/>
  <c r="Y120" i="12" s="1"/>
  <c r="X118" i="12"/>
  <c r="Y118" i="12" s="1"/>
  <c r="X105" i="12"/>
  <c r="Y105" i="12" s="1"/>
  <c r="X126" i="12"/>
  <c r="Y126" i="12" s="1"/>
  <c r="X125" i="12"/>
  <c r="Y125" i="12" s="1"/>
  <c r="X102" i="12"/>
  <c r="Y102" i="12" s="1"/>
  <c r="X119" i="12"/>
  <c r="Y119" i="12" s="1"/>
  <c r="X113" i="12"/>
  <c r="Y113" i="12" s="1"/>
  <c r="I113" i="12"/>
  <c r="C113" i="12" s="1"/>
  <c r="X97" i="12"/>
  <c r="Y97" i="12" s="1"/>
  <c r="X117" i="12"/>
  <c r="Y117" i="12" s="1"/>
  <c r="X116" i="12"/>
  <c r="Y116" i="12" s="1"/>
  <c r="I116" i="12"/>
  <c r="C116" i="12" s="1"/>
  <c r="X114" i="12"/>
  <c r="Y114" i="12" s="1"/>
  <c r="X99" i="12"/>
  <c r="Y99" i="12" s="1"/>
  <c r="X112" i="12"/>
  <c r="Y112" i="12" s="1"/>
  <c r="X108" i="12"/>
  <c r="Y108" i="12" s="1"/>
  <c r="X104" i="12"/>
  <c r="Y104" i="12" s="1"/>
  <c r="X96" i="12"/>
  <c r="Y96" i="12" s="1"/>
  <c r="X111" i="12"/>
  <c r="Y111" i="12" s="1"/>
  <c r="X115" i="12"/>
  <c r="Y115" i="12" s="1"/>
  <c r="I103" i="12"/>
  <c r="C103" i="12" s="1"/>
  <c r="X110" i="12"/>
  <c r="Y110" i="12" s="1"/>
  <c r="X121" i="12"/>
  <c r="Y121" i="12" s="1"/>
  <c r="X109" i="12"/>
  <c r="Y109" i="12" s="1"/>
  <c r="X107" i="12"/>
  <c r="Y107" i="12" s="1"/>
  <c r="X103" i="12"/>
  <c r="Y103" i="12" s="1"/>
  <c r="X101" i="12"/>
  <c r="Y101" i="12" s="1"/>
  <c r="X100" i="12"/>
  <c r="Y100" i="12" s="1"/>
  <c r="X95" i="12"/>
  <c r="Y95" i="12" s="1"/>
  <c r="I31" i="12"/>
  <c r="C31" i="12" s="1"/>
  <c r="X30" i="12"/>
  <c r="Y30" i="12" s="1"/>
  <c r="X33" i="12"/>
  <c r="Y33" i="12" s="1"/>
  <c r="X32" i="12"/>
  <c r="Y32" i="12" s="1"/>
  <c r="X39" i="12"/>
  <c r="Y39" i="12" s="1"/>
  <c r="X29" i="12"/>
  <c r="Y29" i="12" s="1"/>
  <c r="X28" i="12"/>
  <c r="Y28" i="12" s="1"/>
  <c r="X25" i="12"/>
  <c r="Y25" i="12" s="1"/>
  <c r="X27" i="12"/>
  <c r="Y27" i="12" s="1"/>
  <c r="X36" i="12"/>
  <c r="Y36" i="12" s="1"/>
  <c r="X15" i="12"/>
  <c r="Y15" i="12" s="1"/>
  <c r="X34" i="12"/>
  <c r="Y34" i="12" s="1"/>
  <c r="X80" i="12"/>
  <c r="Y80" i="12" s="1"/>
  <c r="X35" i="12"/>
  <c r="Y35" i="12" s="1"/>
  <c r="X21" i="12"/>
  <c r="Y21" i="12" s="1"/>
  <c r="X20" i="12"/>
  <c r="Y20" i="12" s="1"/>
  <c r="X23" i="12"/>
  <c r="Y23" i="12" s="1"/>
  <c r="X24" i="12"/>
  <c r="Y24" i="12" s="1"/>
  <c r="I88" i="12"/>
  <c r="C88" i="12" s="1"/>
  <c r="X22" i="12"/>
  <c r="Y22" i="12" s="1"/>
  <c r="X79" i="12"/>
  <c r="Y79" i="12" s="1"/>
  <c r="X60" i="12"/>
  <c r="Y60" i="12" s="1"/>
  <c r="X82" i="12"/>
  <c r="Y82" i="12" s="1"/>
  <c r="X58" i="12"/>
  <c r="Y58" i="12" s="1"/>
  <c r="X83" i="12"/>
  <c r="Y83" i="12" s="1"/>
  <c r="X76" i="12"/>
  <c r="Y76" i="12" s="1"/>
  <c r="X59" i="12"/>
  <c r="Y59" i="12" s="1"/>
  <c r="X89" i="12"/>
  <c r="Y89" i="12" s="1"/>
  <c r="X78" i="12"/>
  <c r="Y78" i="12" s="1"/>
  <c r="X85" i="12"/>
  <c r="Y85" i="12" s="1"/>
  <c r="X91" i="12"/>
  <c r="Y91" i="12" s="1"/>
  <c r="X10" i="12"/>
  <c r="Y10" i="12" s="1"/>
  <c r="W52" i="12"/>
  <c r="I52" i="12" s="1"/>
  <c r="C52" i="12" s="1"/>
  <c r="X81" i="12"/>
  <c r="Y81" i="12" s="1"/>
  <c r="X93" i="12"/>
  <c r="Y93" i="12" s="1"/>
  <c r="X94" i="12"/>
  <c r="Y94" i="12" s="1"/>
  <c r="X87" i="12"/>
  <c r="Y87" i="12" s="1"/>
  <c r="V75" i="12"/>
  <c r="X75" i="12" s="1"/>
  <c r="Y75" i="12" s="1"/>
  <c r="X90" i="12"/>
  <c r="Y90" i="12" s="1"/>
  <c r="X86" i="12"/>
  <c r="Y86" i="12" s="1"/>
  <c r="X92" i="12"/>
  <c r="Y92" i="12" s="1"/>
  <c r="X84" i="12"/>
  <c r="Y84" i="12" s="1"/>
  <c r="X77" i="12"/>
  <c r="Y77" i="12" s="1"/>
  <c r="Q14" i="13"/>
  <c r="R14" i="13" s="1"/>
  <c r="Q11" i="13"/>
  <c r="R11" i="13" s="1"/>
  <c r="Q7" i="13"/>
  <c r="R7" i="13" s="1"/>
  <c r="Q5" i="13"/>
  <c r="R5" i="13" s="1"/>
  <c r="I8" i="13"/>
  <c r="C8" i="13" s="1"/>
  <c r="Q8" i="13"/>
  <c r="R8" i="13" s="1"/>
  <c r="Q4" i="13"/>
  <c r="R4" i="13" s="1"/>
  <c r="Q13" i="13"/>
  <c r="R13" i="13" s="1"/>
  <c r="Q20" i="13"/>
  <c r="R20" i="13" s="1"/>
  <c r="P17" i="13"/>
  <c r="I17" i="13" s="1"/>
  <c r="C17" i="13" s="1"/>
  <c r="Q10" i="13"/>
  <c r="R10" i="13" s="1"/>
  <c r="Q18" i="13"/>
  <c r="R18" i="13" s="1"/>
  <c r="Q16" i="13"/>
  <c r="R16" i="13" s="1"/>
  <c r="Q19" i="13"/>
  <c r="R19" i="13" s="1"/>
  <c r="Q6" i="13"/>
  <c r="R6" i="13" s="1"/>
  <c r="Q15" i="13"/>
  <c r="R15" i="13" s="1"/>
  <c r="Q23" i="13"/>
  <c r="R23" i="13" s="1"/>
  <c r="X12" i="12"/>
  <c r="Y12" i="12" s="1"/>
  <c r="X53" i="12"/>
  <c r="Y53" i="12" s="1"/>
  <c r="X66" i="12"/>
  <c r="Y66" i="12" s="1"/>
  <c r="X67" i="12"/>
  <c r="Y67" i="12" s="1"/>
  <c r="X65" i="12"/>
  <c r="Y65" i="12" s="1"/>
  <c r="X56" i="12"/>
  <c r="Y56" i="12" s="1"/>
  <c r="X17" i="12"/>
  <c r="Y17" i="12" s="1"/>
  <c r="X44" i="12"/>
  <c r="Y44" i="12" s="1"/>
  <c r="X54" i="12"/>
  <c r="Y54" i="12" s="1"/>
  <c r="X70" i="12"/>
  <c r="Y70" i="12" s="1"/>
  <c r="X62" i="12"/>
  <c r="Y62" i="12" s="1"/>
  <c r="X48" i="12"/>
  <c r="Y48" i="12" s="1"/>
  <c r="X46" i="12"/>
  <c r="Y46" i="12" s="1"/>
  <c r="X45" i="12"/>
  <c r="Y45" i="12" s="1"/>
  <c r="X43" i="12"/>
  <c r="Y43" i="12" s="1"/>
  <c r="X42" i="12"/>
  <c r="Y42" i="12" s="1"/>
  <c r="X41" i="12"/>
  <c r="Y41" i="12" s="1"/>
  <c r="X40" i="12"/>
  <c r="Y40" i="12" s="1"/>
  <c r="X38" i="12"/>
  <c r="Y38" i="12" s="1"/>
  <c r="X37" i="12"/>
  <c r="Y37" i="12" s="1"/>
  <c r="X26" i="12"/>
  <c r="Y26" i="12" s="1"/>
  <c r="X47" i="12"/>
  <c r="Y47" i="12" s="1"/>
  <c r="X16" i="12"/>
  <c r="Y16" i="12" s="1"/>
  <c r="X73" i="12"/>
  <c r="Y73" i="12" s="1"/>
  <c r="X72" i="12"/>
  <c r="Y72" i="12" s="1"/>
  <c r="X71" i="12"/>
  <c r="Y71" i="12" s="1"/>
  <c r="X69" i="12"/>
  <c r="Y69" i="12" s="1"/>
  <c r="X64" i="12"/>
  <c r="Y64" i="12" s="1"/>
  <c r="X63" i="12"/>
  <c r="Y63" i="12" s="1"/>
  <c r="X68" i="12"/>
  <c r="Y68" i="12" s="1"/>
  <c r="X61" i="12"/>
  <c r="Y61" i="12" s="1"/>
  <c r="X57" i="12"/>
  <c r="Y57" i="12" s="1"/>
  <c r="X55" i="12"/>
  <c r="Y55" i="12" s="1"/>
  <c r="X9" i="12"/>
  <c r="Y9" i="12" s="1"/>
  <c r="I9" i="12"/>
  <c r="C9" i="12" s="1"/>
  <c r="X11" i="12"/>
  <c r="Y11" i="12" s="1"/>
  <c r="I11" i="12"/>
  <c r="C11" i="12" s="1"/>
  <c r="X7" i="12"/>
  <c r="Y7" i="12" s="1"/>
  <c r="I8" i="12"/>
  <c r="C8" i="12" s="1"/>
  <c r="X6" i="12"/>
  <c r="Y6" i="12" s="1"/>
  <c r="I4" i="12"/>
  <c r="C4" i="12" s="1"/>
  <c r="X8" i="12"/>
  <c r="Y8" i="12" s="1"/>
  <c r="R42" i="7"/>
  <c r="S42" i="7" s="1"/>
  <c r="T42" i="7" s="1"/>
  <c r="C42" i="7" s="1"/>
  <c r="R127" i="7"/>
  <c r="S127" i="7" s="1"/>
  <c r="T127" i="7" s="1"/>
  <c r="C127" i="7" s="1"/>
  <c r="R103" i="7"/>
  <c r="S103" i="7" s="1"/>
  <c r="T103" i="7" s="1"/>
  <c r="C103" i="7" s="1"/>
  <c r="C8" i="10"/>
  <c r="I38" i="1"/>
  <c r="C38" i="1" s="1"/>
  <c r="R156" i="7"/>
  <c r="S156" i="7" s="1"/>
  <c r="R26" i="7"/>
  <c r="S26" i="7" s="1"/>
  <c r="T26" i="7" s="1"/>
  <c r="C26" i="7" s="1"/>
  <c r="R84" i="7"/>
  <c r="S84" i="7" s="1"/>
  <c r="T84" i="7" s="1"/>
  <c r="C84" i="7" s="1"/>
  <c r="R139" i="7"/>
  <c r="S139" i="7" s="1"/>
  <c r="R149" i="7"/>
  <c r="S149" i="7" s="1"/>
  <c r="T149" i="7" s="1"/>
  <c r="C149" i="7" s="1"/>
  <c r="R124" i="7"/>
  <c r="S124" i="7" s="1"/>
  <c r="T124" i="7" s="1"/>
  <c r="C124" i="7" s="1"/>
  <c r="R101" i="7"/>
  <c r="S101" i="7" s="1"/>
  <c r="T101" i="7" s="1"/>
  <c r="C101" i="7" s="1"/>
  <c r="R36" i="7"/>
  <c r="S36" i="7" s="1"/>
  <c r="T36" i="7" s="1"/>
  <c r="C36" i="7" s="1"/>
  <c r="R54" i="7"/>
  <c r="S54" i="7" s="1"/>
  <c r="T54" i="7" s="1"/>
  <c r="C54" i="7" s="1"/>
  <c r="R33" i="7"/>
  <c r="S33" i="7" s="1"/>
  <c r="T33" i="7" s="1"/>
  <c r="C33" i="7" s="1"/>
  <c r="R137" i="7"/>
  <c r="S137" i="7" s="1"/>
  <c r="R93" i="7"/>
  <c r="S93" i="7" s="1"/>
  <c r="T93" i="7" s="1"/>
  <c r="C93" i="7" s="1"/>
  <c r="R105" i="7"/>
  <c r="S105" i="7" s="1"/>
  <c r="T105" i="7" s="1"/>
  <c r="C105" i="7" s="1"/>
  <c r="R35" i="7"/>
  <c r="S35" i="7" s="1"/>
  <c r="T35" i="7" s="1"/>
  <c r="C35" i="7" s="1"/>
  <c r="R37" i="7"/>
  <c r="S37" i="7" s="1"/>
  <c r="T37" i="7" s="1"/>
  <c r="C37" i="7" s="1"/>
  <c r="R31" i="7"/>
  <c r="S31" i="7" s="1"/>
  <c r="T31" i="7" s="1"/>
  <c r="C31" i="7" s="1"/>
  <c r="R154" i="7"/>
  <c r="S154" i="7" s="1"/>
  <c r="T154" i="7" s="1"/>
  <c r="C154" i="7" s="1"/>
  <c r="R16" i="7"/>
  <c r="S16" i="7" s="1"/>
  <c r="T16" i="7" s="1"/>
  <c r="C16" i="7" s="1"/>
  <c r="R146" i="7"/>
  <c r="S146" i="7" s="1"/>
  <c r="T146" i="7" s="1"/>
  <c r="C146" i="7" s="1"/>
  <c r="R107" i="7"/>
  <c r="S107" i="7" s="1"/>
  <c r="T107" i="7" s="1"/>
  <c r="C107" i="7" s="1"/>
  <c r="R155" i="7"/>
  <c r="S155" i="7" s="1"/>
  <c r="T155" i="7" s="1"/>
  <c r="C155" i="7" s="1"/>
  <c r="R30" i="7"/>
  <c r="S30" i="7" s="1"/>
  <c r="T30" i="7" s="1"/>
  <c r="C30" i="7" s="1"/>
  <c r="S144" i="7"/>
  <c r="T144" i="7" s="1"/>
  <c r="C144" i="7" s="1"/>
  <c r="R138" i="7"/>
  <c r="S138" i="7" s="1"/>
  <c r="T138" i="7" s="1"/>
  <c r="C138" i="7" s="1"/>
  <c r="R34" i="7"/>
  <c r="S34" i="7" s="1"/>
  <c r="R17" i="7"/>
  <c r="S17" i="7" s="1"/>
  <c r="T17" i="7" s="1"/>
  <c r="C17" i="7" s="1"/>
  <c r="R79" i="7"/>
  <c r="S79" i="7" s="1"/>
  <c r="T79" i="7" s="1"/>
  <c r="C79" i="7" s="1"/>
  <c r="R104" i="7"/>
  <c r="S104" i="7" s="1"/>
  <c r="T104" i="7" s="1"/>
  <c r="C104" i="7" s="1"/>
  <c r="R125" i="7"/>
  <c r="S125" i="7" s="1"/>
  <c r="T125" i="7" s="1"/>
  <c r="C125" i="7" s="1"/>
  <c r="R69" i="7"/>
  <c r="S69" i="7" s="1"/>
  <c r="T69" i="7" s="1"/>
  <c r="C69" i="7" s="1"/>
  <c r="R123" i="7"/>
  <c r="S123" i="7" s="1"/>
  <c r="T123" i="7" s="1"/>
  <c r="C123" i="7" s="1"/>
  <c r="R12" i="7"/>
  <c r="S12" i="7" s="1"/>
  <c r="T12" i="7" s="1"/>
  <c r="C12" i="7" s="1"/>
  <c r="R44" i="7"/>
  <c r="S44" i="7" s="1"/>
  <c r="T44" i="7" s="1"/>
  <c r="C44" i="7" s="1"/>
  <c r="R128" i="7"/>
  <c r="S128" i="7" s="1"/>
  <c r="T128" i="7" s="1"/>
  <c r="C128" i="7" s="1"/>
  <c r="R38" i="7"/>
  <c r="S38" i="7" s="1"/>
  <c r="T38" i="7" s="1"/>
  <c r="C38" i="7" s="1"/>
  <c r="R151" i="7"/>
  <c r="S151" i="7" s="1"/>
  <c r="T151" i="7" s="1"/>
  <c r="C151" i="7" s="1"/>
  <c r="R40" i="7"/>
  <c r="S40" i="7" s="1"/>
  <c r="T40" i="7" s="1"/>
  <c r="C40" i="7" s="1"/>
  <c r="R39" i="7"/>
  <c r="S39" i="7" s="1"/>
  <c r="T39" i="7" s="1"/>
  <c r="C39" i="7" s="1"/>
  <c r="R59" i="7"/>
  <c r="S59" i="7" s="1"/>
  <c r="T59" i="7" s="1"/>
  <c r="C59" i="7" s="1"/>
  <c r="R50" i="7"/>
  <c r="S50" i="7" s="1"/>
  <c r="T50" i="7" s="1"/>
  <c r="C50" i="7" s="1"/>
  <c r="R153" i="7"/>
  <c r="S153" i="7" s="1"/>
  <c r="T153" i="7" s="1"/>
  <c r="C153" i="7" s="1"/>
  <c r="R152" i="7"/>
  <c r="S152" i="7" s="1"/>
  <c r="T152" i="7" s="1"/>
  <c r="C152" i="7" s="1"/>
  <c r="T156" i="7"/>
  <c r="C156" i="7" s="1"/>
  <c r="R75" i="7"/>
  <c r="S75" i="7" s="1"/>
  <c r="T75" i="7" s="1"/>
  <c r="C75" i="7" s="1"/>
  <c r="R61" i="7"/>
  <c r="S61" i="7" s="1"/>
  <c r="T61" i="7" s="1"/>
  <c r="C61" i="7" s="1"/>
  <c r="R41" i="7"/>
  <c r="S41" i="7" s="1"/>
  <c r="T41" i="7" s="1"/>
  <c r="C41" i="7" s="1"/>
  <c r="R136" i="7"/>
  <c r="S136" i="7" s="1"/>
  <c r="T136" i="7" s="1"/>
  <c r="C136" i="7" s="1"/>
  <c r="R14" i="7"/>
  <c r="S14" i="7" s="1"/>
  <c r="T14" i="7" s="1"/>
  <c r="C14" i="7" s="1"/>
  <c r="R24" i="7"/>
  <c r="S24" i="7" s="1"/>
  <c r="T24" i="7" s="1"/>
  <c r="C24" i="7" s="1"/>
  <c r="R85" i="7"/>
  <c r="S85" i="7" s="1"/>
  <c r="T85" i="7" s="1"/>
  <c r="C85" i="7" s="1"/>
  <c r="R70" i="7"/>
  <c r="S70" i="7" s="1"/>
  <c r="T70" i="7" s="1"/>
  <c r="C70" i="7" s="1"/>
  <c r="T137" i="7"/>
  <c r="C137" i="7" s="1"/>
  <c r="R106" i="7"/>
  <c r="S106" i="7" s="1"/>
  <c r="T106" i="7" s="1"/>
  <c r="C106" i="7" s="1"/>
  <c r="R80" i="7"/>
  <c r="S80" i="7" s="1"/>
  <c r="T80" i="7" s="1"/>
  <c r="C80" i="7" s="1"/>
  <c r="T27" i="7"/>
  <c r="C27" i="7" s="1"/>
  <c r="R77" i="7"/>
  <c r="S77" i="7" s="1"/>
  <c r="T77" i="7" s="1"/>
  <c r="C77" i="7" s="1"/>
  <c r="R92" i="7"/>
  <c r="S92" i="7" s="1"/>
  <c r="T92" i="7" s="1"/>
  <c r="C92" i="7" s="1"/>
  <c r="R7" i="7"/>
  <c r="S7" i="7" s="1"/>
  <c r="T7" i="7" s="1"/>
  <c r="C7" i="7" s="1"/>
  <c r="R55" i="7"/>
  <c r="S55" i="7" s="1"/>
  <c r="T55" i="7" s="1"/>
  <c r="C55" i="7" s="1"/>
  <c r="R25" i="7"/>
  <c r="S25" i="7" s="1"/>
  <c r="T25" i="7" s="1"/>
  <c r="C25" i="7" s="1"/>
  <c r="R60" i="7"/>
  <c r="S60" i="7" s="1"/>
  <c r="T60" i="7" s="1"/>
  <c r="C60" i="7" s="1"/>
  <c r="R74" i="7"/>
  <c r="S74" i="7" s="1"/>
  <c r="T74" i="7" s="1"/>
  <c r="C74" i="7" s="1"/>
  <c r="R29" i="7"/>
  <c r="S29" i="7" s="1"/>
  <c r="T29" i="7" s="1"/>
  <c r="C29" i="7" s="1"/>
  <c r="R126" i="7"/>
  <c r="S126" i="7" s="1"/>
  <c r="T126" i="7" s="1"/>
  <c r="C126" i="7" s="1"/>
  <c r="T139" i="7"/>
  <c r="C139" i="7" s="1"/>
  <c r="R32" i="7"/>
  <c r="S32" i="7" s="1"/>
  <c r="T32" i="7" s="1"/>
  <c r="C32" i="7" s="1"/>
  <c r="R130" i="7"/>
  <c r="S130" i="7" s="1"/>
  <c r="T130" i="7" s="1"/>
  <c r="C130" i="7" s="1"/>
  <c r="R150" i="7"/>
  <c r="S150" i="7" s="1"/>
  <c r="T150" i="7" s="1"/>
  <c r="C150" i="7" s="1"/>
  <c r="R65" i="7"/>
  <c r="S65" i="7" s="1"/>
  <c r="T65" i="7" s="1"/>
  <c r="C65" i="7" s="1"/>
  <c r="R67" i="7"/>
  <c r="S67" i="7" s="1"/>
  <c r="T67" i="7" s="1"/>
  <c r="C67" i="7" s="1"/>
  <c r="R133" i="7"/>
  <c r="S133" i="7" s="1"/>
  <c r="T133" i="7" s="1"/>
  <c r="C133" i="7" s="1"/>
  <c r="R142" i="7"/>
  <c r="S142" i="7" s="1"/>
  <c r="T142" i="7" s="1"/>
  <c r="C142" i="7" s="1"/>
  <c r="R3" i="7"/>
  <c r="S3" i="7" s="1"/>
  <c r="T3" i="7" s="1"/>
  <c r="C3" i="7" s="1"/>
  <c r="R147" i="7"/>
  <c r="S147" i="7" s="1"/>
  <c r="T147" i="7" s="1"/>
  <c r="C147" i="7" s="1"/>
  <c r="R132" i="7"/>
  <c r="S132" i="7" s="1"/>
  <c r="T132" i="7" s="1"/>
  <c r="C132" i="7" s="1"/>
  <c r="R87" i="7"/>
  <c r="S87" i="7" s="1"/>
  <c r="T87" i="7" s="1"/>
  <c r="C87" i="7" s="1"/>
  <c r="R90" i="7"/>
  <c r="S90" i="7" s="1"/>
  <c r="T90" i="7" s="1"/>
  <c r="C90" i="7" s="1"/>
  <c r="R97" i="7"/>
  <c r="S97" i="7" s="1"/>
  <c r="T97" i="7" s="1"/>
  <c r="C97" i="7" s="1"/>
  <c r="R134" i="7"/>
  <c r="S134" i="7" s="1"/>
  <c r="T134" i="7" s="1"/>
  <c r="C134" i="7" s="1"/>
  <c r="R49" i="7"/>
  <c r="S49" i="7" s="1"/>
  <c r="T49" i="7" s="1"/>
  <c r="C49" i="7" s="1"/>
  <c r="R135" i="7"/>
  <c r="S135" i="7" s="1"/>
  <c r="T135" i="7" s="1"/>
  <c r="C135" i="7" s="1"/>
  <c r="R145" i="7"/>
  <c r="S145" i="7" s="1"/>
  <c r="T145" i="7" s="1"/>
  <c r="C145" i="7" s="1"/>
  <c r="R64" i="7"/>
  <c r="S64" i="7" s="1"/>
  <c r="T64" i="7" s="1"/>
  <c r="C64" i="7" s="1"/>
  <c r="R89" i="7"/>
  <c r="S89" i="7" s="1"/>
  <c r="T89" i="7" s="1"/>
  <c r="C89" i="7" s="1"/>
  <c r="T34" i="7"/>
  <c r="C34" i="7" s="1"/>
  <c r="R45" i="7"/>
  <c r="S45" i="7" s="1"/>
  <c r="T45" i="7" s="1"/>
  <c r="C45" i="7" s="1"/>
  <c r="R108" i="7"/>
  <c r="S108" i="7" s="1"/>
  <c r="T108" i="7" s="1"/>
  <c r="C108" i="7" s="1"/>
  <c r="O17" i="1"/>
  <c r="N17" i="1"/>
  <c r="M17" i="1"/>
  <c r="L17" i="1"/>
  <c r="K17" i="1"/>
  <c r="O11" i="1"/>
  <c r="N11" i="1"/>
  <c r="M11" i="1"/>
  <c r="L11" i="1"/>
  <c r="K11" i="1"/>
  <c r="O109" i="1"/>
  <c r="N109" i="1"/>
  <c r="M109" i="1"/>
  <c r="L109" i="1"/>
  <c r="K109" i="1"/>
  <c r="O107" i="1"/>
  <c r="N107" i="1"/>
  <c r="M107" i="1"/>
  <c r="L107" i="1"/>
  <c r="K107" i="1"/>
  <c r="O106" i="1"/>
  <c r="N106" i="1"/>
  <c r="M106" i="1"/>
  <c r="L106" i="1"/>
  <c r="K106" i="1"/>
  <c r="O108" i="1"/>
  <c r="N108" i="1"/>
  <c r="M108" i="1"/>
  <c r="L108" i="1"/>
  <c r="K108" i="1"/>
  <c r="O110" i="1"/>
  <c r="N110" i="1"/>
  <c r="M110" i="1"/>
  <c r="L110" i="1"/>
  <c r="K110" i="1"/>
  <c r="O115" i="1"/>
  <c r="N115" i="1"/>
  <c r="M115" i="1"/>
  <c r="L115" i="1"/>
  <c r="K115" i="1"/>
  <c r="O121" i="1"/>
  <c r="N121" i="1"/>
  <c r="M121" i="1"/>
  <c r="L121" i="1"/>
  <c r="K121" i="1"/>
  <c r="O117" i="1"/>
  <c r="N117" i="1"/>
  <c r="M117" i="1"/>
  <c r="L117" i="1"/>
  <c r="K117" i="1"/>
  <c r="U102" i="3"/>
  <c r="T102" i="3"/>
  <c r="S102" i="3"/>
  <c r="R102" i="3"/>
  <c r="Q102" i="3"/>
  <c r="V102" i="3" s="1"/>
  <c r="W102" i="3" s="1"/>
  <c r="N102" i="3" s="1"/>
  <c r="O102" i="3" s="1"/>
  <c r="W101" i="3"/>
  <c r="N101" i="3" s="1"/>
  <c r="O101" i="3" s="1"/>
  <c r="V101" i="3"/>
  <c r="U101" i="3"/>
  <c r="T101" i="3"/>
  <c r="S101" i="3"/>
  <c r="R101" i="3"/>
  <c r="Q101" i="3"/>
  <c r="V100" i="3"/>
  <c r="W100" i="3" s="1"/>
  <c r="N100" i="3" s="1"/>
  <c r="O100" i="3" s="1"/>
  <c r="U100" i="3"/>
  <c r="T100" i="3"/>
  <c r="S100" i="3"/>
  <c r="R100" i="3"/>
  <c r="Q100" i="3"/>
  <c r="V99" i="3"/>
  <c r="W99" i="3" s="1"/>
  <c r="N99" i="3" s="1"/>
  <c r="O99" i="3" s="1"/>
  <c r="U99" i="3"/>
  <c r="T99" i="3"/>
  <c r="S99" i="3"/>
  <c r="R99" i="3"/>
  <c r="Q99" i="3"/>
  <c r="U98" i="3"/>
  <c r="T98" i="3"/>
  <c r="S98" i="3"/>
  <c r="V98" i="3" s="1"/>
  <c r="W98" i="3" s="1"/>
  <c r="N98" i="3" s="1"/>
  <c r="O98" i="3" s="1"/>
  <c r="R98" i="3"/>
  <c r="Q98" i="3"/>
  <c r="U97" i="3"/>
  <c r="T97" i="3"/>
  <c r="S97" i="3"/>
  <c r="R97" i="3"/>
  <c r="V97" i="3" s="1"/>
  <c r="W97" i="3" s="1"/>
  <c r="N97" i="3" s="1"/>
  <c r="O97" i="3" s="1"/>
  <c r="Q97" i="3"/>
  <c r="U96" i="3"/>
  <c r="T96" i="3"/>
  <c r="S96" i="3"/>
  <c r="R96" i="3"/>
  <c r="Q96" i="3"/>
  <c r="V96" i="3" s="1"/>
  <c r="W96" i="3" s="1"/>
  <c r="N96" i="3" s="1"/>
  <c r="O96" i="3" s="1"/>
  <c r="U95" i="3"/>
  <c r="T95" i="3"/>
  <c r="S95" i="3"/>
  <c r="R95" i="3"/>
  <c r="Q95" i="3"/>
  <c r="V95" i="3" s="1"/>
  <c r="W95" i="3" s="1"/>
  <c r="N95" i="3" s="1"/>
  <c r="O95" i="3" s="1"/>
  <c r="W94" i="3"/>
  <c r="N94" i="3" s="1"/>
  <c r="O94" i="3" s="1"/>
  <c r="V94" i="3"/>
  <c r="U94" i="3"/>
  <c r="T94" i="3"/>
  <c r="S94" i="3"/>
  <c r="R94" i="3"/>
  <c r="Q94" i="3"/>
  <c r="U93" i="3"/>
  <c r="T93" i="3"/>
  <c r="S93" i="3"/>
  <c r="R93" i="3"/>
  <c r="Q93" i="3"/>
  <c r="V93" i="3" s="1"/>
  <c r="W93" i="3" s="1"/>
  <c r="N93" i="3" s="1"/>
  <c r="O93" i="3" s="1"/>
  <c r="U92" i="3"/>
  <c r="V92" i="3" s="1"/>
  <c r="W92" i="3" s="1"/>
  <c r="N92" i="3" s="1"/>
  <c r="O92" i="3" s="1"/>
  <c r="T92" i="3"/>
  <c r="S92" i="3"/>
  <c r="R92" i="3"/>
  <c r="Q92" i="3"/>
  <c r="W91" i="3"/>
  <c r="V91" i="3"/>
  <c r="U91" i="3"/>
  <c r="T91" i="3"/>
  <c r="S91" i="3"/>
  <c r="R91" i="3"/>
  <c r="Q91" i="3"/>
  <c r="N91" i="3"/>
  <c r="O91" i="3" s="1"/>
  <c r="W90" i="3"/>
  <c r="N90" i="3" s="1"/>
  <c r="O90" i="3" s="1"/>
  <c r="V90" i="3"/>
  <c r="U90" i="3"/>
  <c r="T90" i="3"/>
  <c r="S90" i="3"/>
  <c r="R90" i="3"/>
  <c r="Q90" i="3"/>
  <c r="U89" i="3"/>
  <c r="T89" i="3"/>
  <c r="V89" i="3" s="1"/>
  <c r="W89" i="3" s="1"/>
  <c r="N89" i="3" s="1"/>
  <c r="O89" i="3" s="1"/>
  <c r="S89" i="3"/>
  <c r="R89" i="3"/>
  <c r="Q89" i="3"/>
  <c r="U88" i="3"/>
  <c r="V88" i="3" s="1"/>
  <c r="W88" i="3" s="1"/>
  <c r="N88" i="3" s="1"/>
  <c r="O88" i="3" s="1"/>
  <c r="T88" i="3"/>
  <c r="S88" i="3"/>
  <c r="R88" i="3"/>
  <c r="Q88" i="3"/>
  <c r="U87" i="3"/>
  <c r="T87" i="3"/>
  <c r="S87" i="3"/>
  <c r="R87" i="3"/>
  <c r="V87" i="3" s="1"/>
  <c r="W87" i="3" s="1"/>
  <c r="N87" i="3" s="1"/>
  <c r="O87" i="3" s="1"/>
  <c r="Q87" i="3"/>
  <c r="U86" i="3"/>
  <c r="T86" i="3"/>
  <c r="S86" i="3"/>
  <c r="R86" i="3"/>
  <c r="Q86" i="3"/>
  <c r="V86" i="3" s="1"/>
  <c r="W86" i="3" s="1"/>
  <c r="N86" i="3" s="1"/>
  <c r="O86" i="3" s="1"/>
  <c r="U85" i="3"/>
  <c r="T85" i="3"/>
  <c r="S85" i="3"/>
  <c r="R85" i="3"/>
  <c r="Q85" i="3"/>
  <c r="V85" i="3" s="1"/>
  <c r="W85" i="3" s="1"/>
  <c r="N85" i="3" s="1"/>
  <c r="O85" i="3" s="1"/>
  <c r="U84" i="3"/>
  <c r="T84" i="3"/>
  <c r="S84" i="3"/>
  <c r="R84" i="3"/>
  <c r="Q84" i="3"/>
  <c r="V84" i="3" s="1"/>
  <c r="W84" i="3" s="1"/>
  <c r="N84" i="3" s="1"/>
  <c r="O84" i="3" s="1"/>
  <c r="V83" i="3"/>
  <c r="W83" i="3" s="1"/>
  <c r="N83" i="3" s="1"/>
  <c r="O83" i="3" s="1"/>
  <c r="U83" i="3"/>
  <c r="T83" i="3"/>
  <c r="S83" i="3"/>
  <c r="R83" i="3"/>
  <c r="Q83" i="3"/>
  <c r="U82" i="3"/>
  <c r="T82" i="3"/>
  <c r="S82" i="3"/>
  <c r="R82" i="3"/>
  <c r="Q82" i="3"/>
  <c r="V82" i="3" s="1"/>
  <c r="W82" i="3" s="1"/>
  <c r="N82" i="3" s="1"/>
  <c r="O82" i="3" s="1"/>
  <c r="U81" i="3"/>
  <c r="T81" i="3"/>
  <c r="V81" i="3" s="1"/>
  <c r="W81" i="3" s="1"/>
  <c r="N81" i="3" s="1"/>
  <c r="O81" i="3" s="1"/>
  <c r="S81" i="3"/>
  <c r="R81" i="3"/>
  <c r="Q81" i="3"/>
  <c r="V80" i="3"/>
  <c r="W80" i="3" s="1"/>
  <c r="N80" i="3" s="1"/>
  <c r="O80" i="3" s="1"/>
  <c r="U80" i="3"/>
  <c r="T80" i="3"/>
  <c r="S80" i="3"/>
  <c r="R80" i="3"/>
  <c r="Q80" i="3"/>
  <c r="V79" i="3"/>
  <c r="W79" i="3" s="1"/>
  <c r="N79" i="3" s="1"/>
  <c r="O79" i="3" s="1"/>
  <c r="U79" i="3"/>
  <c r="T79" i="3"/>
  <c r="S79" i="3"/>
  <c r="R79" i="3"/>
  <c r="Q79" i="3"/>
  <c r="U78" i="3"/>
  <c r="T78" i="3"/>
  <c r="S78" i="3"/>
  <c r="V78" i="3" s="1"/>
  <c r="W78" i="3" s="1"/>
  <c r="N78" i="3" s="1"/>
  <c r="O78" i="3" s="1"/>
  <c r="R78" i="3"/>
  <c r="Q78" i="3"/>
  <c r="U77" i="3"/>
  <c r="T77" i="3"/>
  <c r="S77" i="3"/>
  <c r="R77" i="3"/>
  <c r="V77" i="3" s="1"/>
  <c r="W77" i="3" s="1"/>
  <c r="N77" i="3" s="1"/>
  <c r="O77" i="3" s="1"/>
  <c r="Q77" i="3"/>
  <c r="U76" i="3"/>
  <c r="T76" i="3"/>
  <c r="S76" i="3"/>
  <c r="R76" i="3"/>
  <c r="Q76" i="3"/>
  <c r="V76" i="3" s="1"/>
  <c r="W76" i="3" s="1"/>
  <c r="N76" i="3" s="1"/>
  <c r="O76" i="3" s="1"/>
  <c r="U75" i="3"/>
  <c r="T75" i="3"/>
  <c r="S75" i="3"/>
  <c r="R75" i="3"/>
  <c r="Q75" i="3"/>
  <c r="V75" i="3" s="1"/>
  <c r="W75" i="3" s="1"/>
  <c r="N75" i="3" s="1"/>
  <c r="O75" i="3" s="1"/>
  <c r="U74" i="3"/>
  <c r="V74" i="3" s="1"/>
  <c r="W74" i="3" s="1"/>
  <c r="N74" i="3" s="1"/>
  <c r="O74" i="3" s="1"/>
  <c r="T74" i="3"/>
  <c r="S74" i="3"/>
  <c r="R74" i="3"/>
  <c r="Q74" i="3"/>
  <c r="U73" i="3"/>
  <c r="T73" i="3"/>
  <c r="S73" i="3"/>
  <c r="R73" i="3"/>
  <c r="Q73" i="3"/>
  <c r="V73" i="3" s="1"/>
  <c r="W73" i="3" s="1"/>
  <c r="N73" i="3" s="1"/>
  <c r="O73" i="3" s="1"/>
  <c r="U72" i="3"/>
  <c r="V72" i="3" s="1"/>
  <c r="W72" i="3" s="1"/>
  <c r="N72" i="3" s="1"/>
  <c r="O72" i="3" s="1"/>
  <c r="T72" i="3"/>
  <c r="S72" i="3"/>
  <c r="R72" i="3"/>
  <c r="Q72" i="3"/>
  <c r="W71" i="3"/>
  <c r="V71" i="3"/>
  <c r="U71" i="3"/>
  <c r="T71" i="3"/>
  <c r="S71" i="3"/>
  <c r="R71" i="3"/>
  <c r="Q71" i="3"/>
  <c r="N71" i="3"/>
  <c r="O71" i="3" s="1"/>
  <c r="W70" i="3"/>
  <c r="N70" i="3" s="1"/>
  <c r="O70" i="3" s="1"/>
  <c r="V70" i="3"/>
  <c r="U70" i="3"/>
  <c r="T70" i="3"/>
  <c r="S70" i="3"/>
  <c r="R70" i="3"/>
  <c r="Q70" i="3"/>
  <c r="U69" i="3"/>
  <c r="T69" i="3"/>
  <c r="V69" i="3" s="1"/>
  <c r="W69" i="3" s="1"/>
  <c r="N69" i="3" s="1"/>
  <c r="O69" i="3" s="1"/>
  <c r="S69" i="3"/>
  <c r="R69" i="3"/>
  <c r="Q69" i="3"/>
  <c r="U68" i="3"/>
  <c r="T68" i="3"/>
  <c r="V68" i="3" s="1"/>
  <c r="W68" i="3" s="1"/>
  <c r="N68" i="3" s="1"/>
  <c r="O68" i="3" s="1"/>
  <c r="S68" i="3"/>
  <c r="R68" i="3"/>
  <c r="Q68" i="3"/>
  <c r="U67" i="3"/>
  <c r="T67" i="3"/>
  <c r="S67" i="3"/>
  <c r="R67" i="3"/>
  <c r="V67" i="3" s="1"/>
  <c r="W67" i="3" s="1"/>
  <c r="N67" i="3" s="1"/>
  <c r="O67" i="3" s="1"/>
  <c r="Q67" i="3"/>
  <c r="U66" i="3"/>
  <c r="T66" i="3"/>
  <c r="S66" i="3"/>
  <c r="R66" i="3"/>
  <c r="Q66" i="3"/>
  <c r="V66" i="3" s="1"/>
  <c r="W66" i="3" s="1"/>
  <c r="N66" i="3" s="1"/>
  <c r="O66" i="3" s="1"/>
  <c r="U65" i="3"/>
  <c r="T65" i="3"/>
  <c r="S65" i="3"/>
  <c r="R65" i="3"/>
  <c r="Q65" i="3"/>
  <c r="V65" i="3" s="1"/>
  <c r="W65" i="3" s="1"/>
  <c r="N65" i="3" s="1"/>
  <c r="O65" i="3" s="1"/>
  <c r="U64" i="3"/>
  <c r="T64" i="3"/>
  <c r="S64" i="3"/>
  <c r="R64" i="3"/>
  <c r="Q64" i="3"/>
  <c r="V64" i="3" s="1"/>
  <c r="W64" i="3" s="1"/>
  <c r="N64" i="3" s="1"/>
  <c r="O64" i="3" s="1"/>
  <c r="V63" i="3"/>
  <c r="W63" i="3" s="1"/>
  <c r="N63" i="3" s="1"/>
  <c r="O63" i="3" s="1"/>
  <c r="U63" i="3"/>
  <c r="T63" i="3"/>
  <c r="S63" i="3"/>
  <c r="R63" i="3"/>
  <c r="Q63" i="3"/>
  <c r="U62" i="3"/>
  <c r="T62" i="3"/>
  <c r="S62" i="3"/>
  <c r="R62" i="3"/>
  <c r="Q62" i="3"/>
  <c r="V62" i="3" s="1"/>
  <c r="W62" i="3" s="1"/>
  <c r="N62" i="3" s="1"/>
  <c r="O62" i="3" s="1"/>
  <c r="U61" i="3"/>
  <c r="T61" i="3"/>
  <c r="V61" i="3" s="1"/>
  <c r="W61" i="3" s="1"/>
  <c r="N61" i="3" s="1"/>
  <c r="O61" i="3" s="1"/>
  <c r="S61" i="3"/>
  <c r="R61" i="3"/>
  <c r="Q61" i="3"/>
  <c r="V60" i="3"/>
  <c r="W60" i="3" s="1"/>
  <c r="N60" i="3" s="1"/>
  <c r="O60" i="3" s="1"/>
  <c r="U60" i="3"/>
  <c r="T60" i="3"/>
  <c r="S60" i="3"/>
  <c r="R60" i="3"/>
  <c r="Q60" i="3"/>
  <c r="V59" i="3"/>
  <c r="W59" i="3" s="1"/>
  <c r="N59" i="3" s="1"/>
  <c r="O59" i="3" s="1"/>
  <c r="U59" i="3"/>
  <c r="T59" i="3"/>
  <c r="S59" i="3"/>
  <c r="R59" i="3"/>
  <c r="Q59" i="3"/>
  <c r="U58" i="3"/>
  <c r="T58" i="3"/>
  <c r="S58" i="3"/>
  <c r="V58" i="3" s="1"/>
  <c r="W58" i="3" s="1"/>
  <c r="N58" i="3" s="1"/>
  <c r="O58" i="3" s="1"/>
  <c r="R58" i="3"/>
  <c r="Q58" i="3"/>
  <c r="U57" i="3"/>
  <c r="T57" i="3"/>
  <c r="S57" i="3"/>
  <c r="R57" i="3"/>
  <c r="Q57" i="3"/>
  <c r="V57" i="3" s="1"/>
  <c r="W57" i="3" s="1"/>
  <c r="N57" i="3" s="1"/>
  <c r="O57" i="3" s="1"/>
  <c r="U56" i="3"/>
  <c r="T56" i="3"/>
  <c r="S56" i="3"/>
  <c r="R56" i="3"/>
  <c r="Q56" i="3"/>
  <c r="V56" i="3" s="1"/>
  <c r="W56" i="3" s="1"/>
  <c r="N56" i="3" s="1"/>
  <c r="O56" i="3" s="1"/>
  <c r="U55" i="3"/>
  <c r="T55" i="3"/>
  <c r="S55" i="3"/>
  <c r="R55" i="3"/>
  <c r="Q55" i="3"/>
  <c r="V55" i="3" s="1"/>
  <c r="W55" i="3" s="1"/>
  <c r="N55" i="3" s="1"/>
  <c r="O55" i="3" s="1"/>
  <c r="U54" i="3"/>
  <c r="T54" i="3"/>
  <c r="S54" i="3"/>
  <c r="V54" i="3" s="1"/>
  <c r="W54" i="3" s="1"/>
  <c r="N54" i="3" s="1"/>
  <c r="O54" i="3" s="1"/>
  <c r="R54" i="3"/>
  <c r="Q54" i="3"/>
  <c r="U53" i="3"/>
  <c r="T53" i="3"/>
  <c r="S53" i="3"/>
  <c r="R53" i="3"/>
  <c r="Q53" i="3"/>
  <c r="V53" i="3" s="1"/>
  <c r="W53" i="3" s="1"/>
  <c r="N53" i="3" s="1"/>
  <c r="O53" i="3" s="1"/>
  <c r="U52" i="3"/>
  <c r="V52" i="3" s="1"/>
  <c r="W52" i="3" s="1"/>
  <c r="N52" i="3" s="1"/>
  <c r="O52" i="3" s="1"/>
  <c r="T52" i="3"/>
  <c r="S52" i="3"/>
  <c r="R52" i="3"/>
  <c r="Q52" i="3"/>
  <c r="W51" i="3"/>
  <c r="V51" i="3"/>
  <c r="U51" i="3"/>
  <c r="T51" i="3"/>
  <c r="S51" i="3"/>
  <c r="R51" i="3"/>
  <c r="Q51" i="3"/>
  <c r="N51" i="3"/>
  <c r="O51" i="3" s="1"/>
  <c r="W50" i="3"/>
  <c r="N50" i="3" s="1"/>
  <c r="O50" i="3" s="1"/>
  <c r="V50" i="3"/>
  <c r="U50" i="3"/>
  <c r="T50" i="3"/>
  <c r="S50" i="3"/>
  <c r="R50" i="3"/>
  <c r="Q50" i="3"/>
  <c r="U49" i="3"/>
  <c r="T49" i="3"/>
  <c r="V49" i="3" s="1"/>
  <c r="W49" i="3" s="1"/>
  <c r="N49" i="3" s="1"/>
  <c r="O49" i="3" s="1"/>
  <c r="S49" i="3"/>
  <c r="R49" i="3"/>
  <c r="Q49" i="3"/>
  <c r="U48" i="3"/>
  <c r="T48" i="3"/>
  <c r="S48" i="3"/>
  <c r="R48" i="3"/>
  <c r="Q48" i="3"/>
  <c r="V48" i="3" s="1"/>
  <c r="W48" i="3" s="1"/>
  <c r="N48" i="3" s="1"/>
  <c r="O48" i="3" s="1"/>
  <c r="U47" i="3"/>
  <c r="T47" i="3"/>
  <c r="S47" i="3"/>
  <c r="R47" i="3"/>
  <c r="V47" i="3" s="1"/>
  <c r="W47" i="3" s="1"/>
  <c r="N47" i="3" s="1"/>
  <c r="O47" i="3" s="1"/>
  <c r="Q47" i="3"/>
  <c r="U46" i="3"/>
  <c r="T46" i="3"/>
  <c r="S46" i="3"/>
  <c r="R46" i="3"/>
  <c r="Q46" i="3"/>
  <c r="V46" i="3" s="1"/>
  <c r="W46" i="3" s="1"/>
  <c r="N46" i="3" s="1"/>
  <c r="O46" i="3" s="1"/>
  <c r="U45" i="3"/>
  <c r="T45" i="3"/>
  <c r="S45" i="3"/>
  <c r="R45" i="3"/>
  <c r="Q45" i="3"/>
  <c r="V45" i="3" s="1"/>
  <c r="W45" i="3" s="1"/>
  <c r="N45" i="3" s="1"/>
  <c r="O45" i="3" s="1"/>
  <c r="U44" i="3"/>
  <c r="T44" i="3"/>
  <c r="S44" i="3"/>
  <c r="R44" i="3"/>
  <c r="Q44" i="3"/>
  <c r="V44" i="3" s="1"/>
  <c r="W44" i="3" s="1"/>
  <c r="O44" i="3"/>
  <c r="U43" i="3"/>
  <c r="V43" i="3" s="1"/>
  <c r="W43" i="3" s="1"/>
  <c r="N43" i="3" s="1"/>
  <c r="O43" i="3" s="1"/>
  <c r="T43" i="3"/>
  <c r="S43" i="3"/>
  <c r="R43" i="3"/>
  <c r="Q43" i="3"/>
  <c r="W42" i="3"/>
  <c r="N42" i="3" s="1"/>
  <c r="O42" i="3" s="1"/>
  <c r="V42" i="3"/>
  <c r="U42" i="3"/>
  <c r="T42" i="3"/>
  <c r="S42" i="3"/>
  <c r="R42" i="3"/>
  <c r="Q42" i="3"/>
  <c r="W41" i="3"/>
  <c r="N41" i="3" s="1"/>
  <c r="O41" i="3" s="1"/>
  <c r="V41" i="3"/>
  <c r="U41" i="3"/>
  <c r="T41" i="3"/>
  <c r="S41" i="3"/>
  <c r="R41" i="3"/>
  <c r="Q41" i="3"/>
  <c r="U40" i="3"/>
  <c r="T40" i="3"/>
  <c r="V40" i="3" s="1"/>
  <c r="W40" i="3" s="1"/>
  <c r="N40" i="3" s="1"/>
  <c r="O40" i="3" s="1"/>
  <c r="S40" i="3"/>
  <c r="R40" i="3"/>
  <c r="Q40" i="3"/>
  <c r="U39" i="3"/>
  <c r="T39" i="3"/>
  <c r="S39" i="3"/>
  <c r="R39" i="3"/>
  <c r="Q39" i="3"/>
  <c r="V39" i="3" s="1"/>
  <c r="W39" i="3" s="1"/>
  <c r="N39" i="3" s="1"/>
  <c r="O39" i="3" s="1"/>
  <c r="U38" i="3"/>
  <c r="T38" i="3"/>
  <c r="S38" i="3"/>
  <c r="R38" i="3"/>
  <c r="V38" i="3" s="1"/>
  <c r="W38" i="3" s="1"/>
  <c r="N38" i="3" s="1"/>
  <c r="O38" i="3" s="1"/>
  <c r="Q38" i="3"/>
  <c r="U37" i="3"/>
  <c r="T37" i="3"/>
  <c r="S37" i="3"/>
  <c r="R37" i="3"/>
  <c r="Q37" i="3"/>
  <c r="V37" i="3" s="1"/>
  <c r="W37" i="3" s="1"/>
  <c r="N37" i="3" s="1"/>
  <c r="O37" i="3" s="1"/>
  <c r="U36" i="3"/>
  <c r="T36" i="3"/>
  <c r="S36" i="3"/>
  <c r="R36" i="3"/>
  <c r="Q36" i="3"/>
  <c r="V36" i="3" s="1"/>
  <c r="W36" i="3" s="1"/>
  <c r="N36" i="3" s="1"/>
  <c r="O36" i="3" s="1"/>
  <c r="U35" i="3"/>
  <c r="T35" i="3"/>
  <c r="S35" i="3"/>
  <c r="R35" i="3"/>
  <c r="Q35" i="3"/>
  <c r="V35" i="3" s="1"/>
  <c r="W35" i="3" s="1"/>
  <c r="N35" i="3" s="1"/>
  <c r="O35" i="3" s="1"/>
  <c r="V34" i="3"/>
  <c r="W34" i="3" s="1"/>
  <c r="N34" i="3" s="1"/>
  <c r="O34" i="3" s="1"/>
  <c r="U34" i="3"/>
  <c r="T34" i="3"/>
  <c r="S34" i="3"/>
  <c r="R34" i="3"/>
  <c r="Q34" i="3"/>
  <c r="U33" i="3"/>
  <c r="T33" i="3"/>
  <c r="S33" i="3"/>
  <c r="R33" i="3"/>
  <c r="Q33" i="3"/>
  <c r="V33" i="3" s="1"/>
  <c r="W33" i="3" s="1"/>
  <c r="N33" i="3" s="1"/>
  <c r="O33" i="3" s="1"/>
  <c r="U32" i="3"/>
  <c r="T32" i="3"/>
  <c r="V32" i="3" s="1"/>
  <c r="W32" i="3" s="1"/>
  <c r="N32" i="3" s="1"/>
  <c r="O32" i="3" s="1"/>
  <c r="S32" i="3"/>
  <c r="R32" i="3"/>
  <c r="Q32" i="3"/>
  <c r="V31" i="3"/>
  <c r="W31" i="3" s="1"/>
  <c r="N31" i="3" s="1"/>
  <c r="O31" i="3" s="1"/>
  <c r="U31" i="3"/>
  <c r="T31" i="3"/>
  <c r="S31" i="3"/>
  <c r="R31" i="3"/>
  <c r="Q31" i="3"/>
  <c r="V30" i="3"/>
  <c r="W30" i="3" s="1"/>
  <c r="N30" i="3" s="1"/>
  <c r="O30" i="3" s="1"/>
  <c r="U30" i="3"/>
  <c r="T30" i="3"/>
  <c r="S30" i="3"/>
  <c r="R30" i="3"/>
  <c r="Q30" i="3"/>
  <c r="U29" i="3"/>
  <c r="T29" i="3"/>
  <c r="S29" i="3"/>
  <c r="V29" i="3" s="1"/>
  <c r="W29" i="3" s="1"/>
  <c r="N29" i="3" s="1"/>
  <c r="O29" i="3" s="1"/>
  <c r="R29" i="3"/>
  <c r="Q29" i="3"/>
  <c r="U28" i="3"/>
  <c r="T28" i="3"/>
  <c r="S28" i="3"/>
  <c r="R28" i="3"/>
  <c r="Q28" i="3"/>
  <c r="V28" i="3" s="1"/>
  <c r="W28" i="3" s="1"/>
  <c r="N28" i="3" s="1"/>
  <c r="O28" i="3" s="1"/>
  <c r="U27" i="3"/>
  <c r="T27" i="3"/>
  <c r="S27" i="3"/>
  <c r="R27" i="3"/>
  <c r="Q27" i="3"/>
  <c r="V27" i="3" s="1"/>
  <c r="W27" i="3" s="1"/>
  <c r="N27" i="3" s="1"/>
  <c r="O27" i="3" s="1"/>
  <c r="U26" i="3"/>
  <c r="T26" i="3"/>
  <c r="S26" i="3"/>
  <c r="R26" i="3"/>
  <c r="Q26" i="3"/>
  <c r="V26" i="3" s="1"/>
  <c r="W26" i="3" s="1"/>
  <c r="N26" i="3" s="1"/>
  <c r="O26" i="3" s="1"/>
  <c r="U25" i="3"/>
  <c r="T25" i="3"/>
  <c r="S25" i="3"/>
  <c r="V25" i="3" s="1"/>
  <c r="W25" i="3" s="1"/>
  <c r="N25" i="3" s="1"/>
  <c r="O25" i="3" s="1"/>
  <c r="R25" i="3"/>
  <c r="Q25" i="3"/>
  <c r="U24" i="3"/>
  <c r="T24" i="3"/>
  <c r="S24" i="3"/>
  <c r="R24" i="3"/>
  <c r="Q24" i="3"/>
  <c r="V24" i="3" s="1"/>
  <c r="W24" i="3" s="1"/>
  <c r="N24" i="3" s="1"/>
  <c r="O24" i="3" s="1"/>
  <c r="U23" i="3"/>
  <c r="V23" i="3" s="1"/>
  <c r="W23" i="3" s="1"/>
  <c r="N23" i="3" s="1"/>
  <c r="O23" i="3" s="1"/>
  <c r="T23" i="3"/>
  <c r="S23" i="3"/>
  <c r="R23" i="3"/>
  <c r="Q23" i="3"/>
  <c r="W22" i="3"/>
  <c r="V22" i="3"/>
  <c r="U22" i="3"/>
  <c r="T22" i="3"/>
  <c r="S22" i="3"/>
  <c r="R22" i="3"/>
  <c r="Q22" i="3"/>
  <c r="N22" i="3"/>
  <c r="O22" i="3" s="1"/>
  <c r="W21" i="3"/>
  <c r="N21" i="3" s="1"/>
  <c r="O21" i="3" s="1"/>
  <c r="V21" i="3"/>
  <c r="U21" i="3"/>
  <c r="T21" i="3"/>
  <c r="S21" i="3"/>
  <c r="R21" i="3"/>
  <c r="Q21" i="3"/>
  <c r="U20" i="3"/>
  <c r="T20" i="3"/>
  <c r="V20" i="3" s="1"/>
  <c r="W20" i="3" s="1"/>
  <c r="N20" i="3" s="1"/>
  <c r="O20" i="3" s="1"/>
  <c r="S20" i="3"/>
  <c r="R20" i="3"/>
  <c r="Q20" i="3"/>
  <c r="U19" i="3"/>
  <c r="T19" i="3"/>
  <c r="S19" i="3"/>
  <c r="R19" i="3"/>
  <c r="Q19" i="3"/>
  <c r="V19" i="3" s="1"/>
  <c r="W19" i="3" s="1"/>
  <c r="N19" i="3" s="1"/>
  <c r="O19" i="3" s="1"/>
  <c r="U18" i="3"/>
  <c r="T18" i="3"/>
  <c r="S18" i="3"/>
  <c r="R18" i="3"/>
  <c r="V18" i="3" s="1"/>
  <c r="W18" i="3" s="1"/>
  <c r="N18" i="3" s="1"/>
  <c r="O18" i="3" s="1"/>
  <c r="Q18" i="3"/>
  <c r="U17" i="3"/>
  <c r="T17" i="3"/>
  <c r="S17" i="3"/>
  <c r="R17" i="3"/>
  <c r="Q17" i="3"/>
  <c r="V17" i="3" s="1"/>
  <c r="W17" i="3" s="1"/>
  <c r="N17" i="3" s="1"/>
  <c r="O17" i="3" s="1"/>
  <c r="U16" i="3"/>
  <c r="T16" i="3"/>
  <c r="S16" i="3"/>
  <c r="R16" i="3"/>
  <c r="Q16" i="3"/>
  <c r="V16" i="3" s="1"/>
  <c r="W16" i="3" s="1"/>
  <c r="N16" i="3" s="1"/>
  <c r="O16" i="3" s="1"/>
  <c r="U15" i="3"/>
  <c r="T15" i="3"/>
  <c r="S15" i="3"/>
  <c r="R15" i="3"/>
  <c r="Q15" i="3"/>
  <c r="V15" i="3" s="1"/>
  <c r="W15" i="3" s="1"/>
  <c r="N15" i="3" s="1"/>
  <c r="O15" i="3" s="1"/>
  <c r="V14" i="3"/>
  <c r="W14" i="3" s="1"/>
  <c r="N14" i="3" s="1"/>
  <c r="O14" i="3" s="1"/>
  <c r="U14" i="3"/>
  <c r="T14" i="3"/>
  <c r="S14" i="3"/>
  <c r="R14" i="3"/>
  <c r="Q14" i="3"/>
  <c r="U13" i="3"/>
  <c r="T13" i="3"/>
  <c r="S13" i="3"/>
  <c r="R13" i="3"/>
  <c r="Q13" i="3"/>
  <c r="V13" i="3" s="1"/>
  <c r="W13" i="3" s="1"/>
  <c r="N13" i="3" s="1"/>
  <c r="O13" i="3" s="1"/>
  <c r="U12" i="3"/>
  <c r="T12" i="3"/>
  <c r="V12" i="3" s="1"/>
  <c r="W12" i="3" s="1"/>
  <c r="N12" i="3" s="1"/>
  <c r="O12" i="3" s="1"/>
  <c r="S12" i="3"/>
  <c r="R12" i="3"/>
  <c r="Q12" i="3"/>
  <c r="V11" i="3"/>
  <c r="W11" i="3" s="1"/>
  <c r="N11" i="3" s="1"/>
  <c r="O11" i="3" s="1"/>
  <c r="U11" i="3"/>
  <c r="T11" i="3"/>
  <c r="S11" i="3"/>
  <c r="R11" i="3"/>
  <c r="Q11" i="3"/>
  <c r="U10" i="3"/>
  <c r="V10" i="3" s="1"/>
  <c r="W10" i="3" s="1"/>
  <c r="N10" i="3" s="1"/>
  <c r="O10" i="3" s="1"/>
  <c r="T10" i="3"/>
  <c r="S10" i="3"/>
  <c r="R10" i="3"/>
  <c r="Q10" i="3"/>
  <c r="U9" i="3"/>
  <c r="T9" i="3"/>
  <c r="S9" i="3"/>
  <c r="V9" i="3" s="1"/>
  <c r="W9" i="3" s="1"/>
  <c r="N9" i="3" s="1"/>
  <c r="O9" i="3" s="1"/>
  <c r="R9" i="3"/>
  <c r="Q9" i="3"/>
  <c r="U8" i="3"/>
  <c r="T8" i="3"/>
  <c r="S8" i="3"/>
  <c r="R8" i="3"/>
  <c r="Q8" i="3"/>
  <c r="V8" i="3" s="1"/>
  <c r="W8" i="3" s="1"/>
  <c r="N8" i="3" s="1"/>
  <c r="O8" i="3" s="1"/>
  <c r="U7" i="3"/>
  <c r="T7" i="3"/>
  <c r="S7" i="3"/>
  <c r="R7" i="3"/>
  <c r="Q7" i="3"/>
  <c r="V7" i="3" s="1"/>
  <c r="W7" i="3" s="1"/>
  <c r="N7" i="3" s="1"/>
  <c r="O7" i="3" s="1"/>
  <c r="U6" i="3"/>
  <c r="T6" i="3"/>
  <c r="S6" i="3"/>
  <c r="R6" i="3"/>
  <c r="Q6" i="3"/>
  <c r="V6" i="3" s="1"/>
  <c r="W6" i="3" s="1"/>
  <c r="N6" i="3" s="1"/>
  <c r="O6" i="3" s="1"/>
  <c r="U5" i="3"/>
  <c r="T5" i="3"/>
  <c r="S5" i="3"/>
  <c r="V5" i="3" s="1"/>
  <c r="W5" i="3" s="1"/>
  <c r="R5" i="3"/>
  <c r="Q5" i="3"/>
  <c r="O5" i="3"/>
  <c r="U4" i="3"/>
  <c r="T4" i="3"/>
  <c r="S4" i="3"/>
  <c r="R4" i="3"/>
  <c r="Q4" i="3"/>
  <c r="V4" i="3" s="1"/>
  <c r="W4" i="3" s="1"/>
  <c r="N4" i="3" s="1"/>
  <c r="O4" i="3" s="1"/>
  <c r="U3" i="3"/>
  <c r="T3" i="3"/>
  <c r="V3" i="3" s="1"/>
  <c r="W3" i="3" s="1"/>
  <c r="N3" i="3" s="1"/>
  <c r="O3" i="3" s="1"/>
  <c r="S3" i="3"/>
  <c r="R3" i="3"/>
  <c r="Q3" i="3"/>
  <c r="O104" i="1"/>
  <c r="N104" i="1"/>
  <c r="M104" i="1"/>
  <c r="L104" i="1"/>
  <c r="K104" i="1"/>
  <c r="O102" i="1"/>
  <c r="N102" i="1"/>
  <c r="M102" i="1"/>
  <c r="L102" i="1"/>
  <c r="K102" i="1"/>
  <c r="O101" i="1"/>
  <c r="N101" i="1"/>
  <c r="M101" i="1"/>
  <c r="L101" i="1"/>
  <c r="K101" i="1"/>
  <c r="O100" i="1"/>
  <c r="N100" i="1"/>
  <c r="M100" i="1"/>
  <c r="L100" i="1"/>
  <c r="K100" i="1"/>
  <c r="O99" i="1"/>
  <c r="N99" i="1"/>
  <c r="M99" i="1"/>
  <c r="L99" i="1"/>
  <c r="K99" i="1"/>
  <c r="O98" i="1"/>
  <c r="N98" i="1"/>
  <c r="M98" i="1"/>
  <c r="L98" i="1"/>
  <c r="K98" i="1"/>
  <c r="O118" i="1"/>
  <c r="N118" i="1"/>
  <c r="M118" i="1"/>
  <c r="L118" i="1"/>
  <c r="K118" i="1"/>
  <c r="O96" i="1"/>
  <c r="N96" i="1"/>
  <c r="M96" i="1"/>
  <c r="L96" i="1"/>
  <c r="K96" i="1"/>
  <c r="O95" i="1"/>
  <c r="N95" i="1"/>
  <c r="M95" i="1"/>
  <c r="L95" i="1"/>
  <c r="K95" i="1"/>
  <c r="O94" i="1"/>
  <c r="N94" i="1"/>
  <c r="M94" i="1"/>
  <c r="L94" i="1"/>
  <c r="K94" i="1"/>
  <c r="O93" i="1"/>
  <c r="N93" i="1"/>
  <c r="M93" i="1"/>
  <c r="L93" i="1"/>
  <c r="K93" i="1"/>
  <c r="O84" i="1"/>
  <c r="N84" i="1"/>
  <c r="M84" i="1"/>
  <c r="L84" i="1"/>
  <c r="K84" i="1"/>
  <c r="O82" i="1"/>
  <c r="N82" i="1"/>
  <c r="M82" i="1"/>
  <c r="L82" i="1"/>
  <c r="K82" i="1"/>
  <c r="O81" i="1"/>
  <c r="N81" i="1"/>
  <c r="M81" i="1"/>
  <c r="L81" i="1"/>
  <c r="K81" i="1"/>
  <c r="O80" i="1"/>
  <c r="N80" i="1"/>
  <c r="M80" i="1"/>
  <c r="L80" i="1"/>
  <c r="K80" i="1"/>
  <c r="O87" i="1"/>
  <c r="N87" i="1"/>
  <c r="M87" i="1"/>
  <c r="L87" i="1"/>
  <c r="K87" i="1"/>
  <c r="O85" i="1"/>
  <c r="N85" i="1"/>
  <c r="M85" i="1"/>
  <c r="L85" i="1"/>
  <c r="K85" i="1"/>
  <c r="O88" i="1"/>
  <c r="N88" i="1"/>
  <c r="M88" i="1"/>
  <c r="L88" i="1"/>
  <c r="K88" i="1"/>
  <c r="O119" i="1"/>
  <c r="N119" i="1"/>
  <c r="M119" i="1"/>
  <c r="L119" i="1"/>
  <c r="K119" i="1"/>
  <c r="O89" i="1"/>
  <c r="N89" i="1"/>
  <c r="M89" i="1"/>
  <c r="L89" i="1"/>
  <c r="K89" i="1"/>
  <c r="O116" i="1"/>
  <c r="N116" i="1"/>
  <c r="M116" i="1"/>
  <c r="L116" i="1"/>
  <c r="K116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114" i="1"/>
  <c r="N114" i="1"/>
  <c r="M114" i="1"/>
  <c r="L114" i="1"/>
  <c r="K114" i="1"/>
  <c r="O32" i="1"/>
  <c r="N32" i="1"/>
  <c r="M32" i="1"/>
  <c r="L32" i="1"/>
  <c r="K32" i="1"/>
  <c r="O31" i="1"/>
  <c r="N31" i="1"/>
  <c r="M31" i="1"/>
  <c r="L31" i="1"/>
  <c r="K31" i="1"/>
  <c r="O29" i="1"/>
  <c r="N29" i="1"/>
  <c r="M29" i="1"/>
  <c r="L29" i="1"/>
  <c r="K29" i="1"/>
  <c r="O28" i="1"/>
  <c r="N28" i="1"/>
  <c r="M28" i="1"/>
  <c r="L28" i="1"/>
  <c r="K28" i="1"/>
  <c r="O39" i="1"/>
  <c r="N39" i="1"/>
  <c r="M39" i="1"/>
  <c r="L39" i="1"/>
  <c r="K39" i="1"/>
  <c r="O35" i="1"/>
  <c r="N35" i="1"/>
  <c r="M35" i="1"/>
  <c r="L35" i="1"/>
  <c r="K35" i="1"/>
  <c r="O40" i="1"/>
  <c r="N40" i="1"/>
  <c r="M40" i="1"/>
  <c r="L40" i="1"/>
  <c r="K40" i="1"/>
  <c r="O16" i="1"/>
  <c r="N16" i="1"/>
  <c r="M16" i="1"/>
  <c r="L16" i="1"/>
  <c r="K16" i="1"/>
  <c r="O18" i="1"/>
  <c r="N18" i="1"/>
  <c r="M18" i="1"/>
  <c r="L18" i="1"/>
  <c r="K18" i="1"/>
  <c r="O19" i="1"/>
  <c r="N19" i="1"/>
  <c r="M19" i="1"/>
  <c r="L19" i="1"/>
  <c r="K19" i="1"/>
  <c r="O61" i="1"/>
  <c r="N61" i="1"/>
  <c r="M61" i="1"/>
  <c r="L61" i="1"/>
  <c r="K61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5" i="1"/>
  <c r="N55" i="1"/>
  <c r="M55" i="1"/>
  <c r="L55" i="1"/>
  <c r="K55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O51" i="1"/>
  <c r="N51" i="1"/>
  <c r="M51" i="1"/>
  <c r="L51" i="1"/>
  <c r="K51" i="1"/>
  <c r="O50" i="1"/>
  <c r="N50" i="1"/>
  <c r="M50" i="1"/>
  <c r="L50" i="1"/>
  <c r="K50" i="1"/>
  <c r="O49" i="1"/>
  <c r="N49" i="1"/>
  <c r="M49" i="1"/>
  <c r="L49" i="1"/>
  <c r="K49" i="1"/>
  <c r="O48" i="1"/>
  <c r="N48" i="1"/>
  <c r="M48" i="1"/>
  <c r="L48" i="1"/>
  <c r="K48" i="1"/>
  <c r="O47" i="1"/>
  <c r="N47" i="1"/>
  <c r="M47" i="1"/>
  <c r="L47" i="1"/>
  <c r="K47" i="1"/>
  <c r="O46" i="1"/>
  <c r="N46" i="1"/>
  <c r="M46" i="1"/>
  <c r="L46" i="1"/>
  <c r="K46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120" i="1"/>
  <c r="N120" i="1"/>
  <c r="M120" i="1"/>
  <c r="L120" i="1"/>
  <c r="O3" i="1"/>
  <c r="N3" i="1"/>
  <c r="M3" i="1"/>
  <c r="L3" i="1"/>
  <c r="K3" i="1"/>
  <c r="O4" i="1"/>
  <c r="N4" i="1"/>
  <c r="M4" i="1"/>
  <c r="L4" i="1"/>
  <c r="K4" i="1"/>
  <c r="O113" i="1"/>
  <c r="N113" i="1"/>
  <c r="M113" i="1"/>
  <c r="L113" i="1"/>
  <c r="K113" i="1"/>
  <c r="O15" i="1"/>
  <c r="N15" i="1"/>
  <c r="M15" i="1"/>
  <c r="L15" i="1"/>
  <c r="K15" i="1"/>
  <c r="O112" i="1"/>
  <c r="N112" i="1"/>
  <c r="M112" i="1"/>
  <c r="L112" i="1"/>
  <c r="K112" i="1"/>
  <c r="O10" i="1"/>
  <c r="N10" i="1"/>
  <c r="M10" i="1"/>
  <c r="L10" i="1"/>
  <c r="K10" i="1"/>
  <c r="O9" i="1"/>
  <c r="N9" i="1"/>
  <c r="M9" i="1"/>
  <c r="L9" i="1"/>
  <c r="K9" i="1"/>
  <c r="O14" i="1"/>
  <c r="N14" i="1"/>
  <c r="M14" i="1"/>
  <c r="L14" i="1"/>
  <c r="K14" i="1"/>
  <c r="O13" i="1"/>
  <c r="N13" i="1"/>
  <c r="M13" i="1"/>
  <c r="L13" i="1"/>
  <c r="K13" i="1"/>
  <c r="O8" i="1"/>
  <c r="N8" i="1"/>
  <c r="M8" i="1"/>
  <c r="L8" i="1"/>
  <c r="K8" i="1"/>
  <c r="O7" i="1"/>
  <c r="N7" i="1"/>
  <c r="M7" i="1"/>
  <c r="L7" i="1"/>
  <c r="K7" i="1"/>
  <c r="M5" i="1"/>
  <c r="O5" i="1"/>
  <c r="N5" i="1"/>
  <c r="L5" i="1"/>
  <c r="K5" i="1"/>
  <c r="O78" i="1"/>
  <c r="N78" i="1"/>
  <c r="M78" i="1"/>
  <c r="L78" i="1"/>
  <c r="K78" i="1"/>
  <c r="O77" i="1"/>
  <c r="N77" i="1"/>
  <c r="M77" i="1"/>
  <c r="L77" i="1"/>
  <c r="K77" i="1"/>
  <c r="O76" i="1"/>
  <c r="N76" i="1"/>
  <c r="M76" i="1"/>
  <c r="L76" i="1"/>
  <c r="K76" i="1"/>
  <c r="O75" i="1"/>
  <c r="N75" i="1"/>
  <c r="M75" i="1"/>
  <c r="L75" i="1"/>
  <c r="K75" i="1"/>
  <c r="O74" i="1"/>
  <c r="N74" i="1"/>
  <c r="M74" i="1"/>
  <c r="L74" i="1"/>
  <c r="K74" i="1"/>
  <c r="O73" i="1"/>
  <c r="N73" i="1"/>
  <c r="M73" i="1"/>
  <c r="L73" i="1"/>
  <c r="K73" i="1"/>
  <c r="O72" i="1"/>
  <c r="N72" i="1"/>
  <c r="M72" i="1"/>
  <c r="L72" i="1"/>
  <c r="K72" i="1"/>
  <c r="O71" i="1"/>
  <c r="N71" i="1"/>
  <c r="M71" i="1"/>
  <c r="L71" i="1"/>
  <c r="K71" i="1"/>
  <c r="O66" i="1"/>
  <c r="N66" i="1"/>
  <c r="M66" i="1"/>
  <c r="L66" i="1"/>
  <c r="K66" i="1"/>
  <c r="O65" i="1"/>
  <c r="N65" i="1"/>
  <c r="M65" i="1"/>
  <c r="L65" i="1"/>
  <c r="K65" i="1"/>
  <c r="O64" i="1"/>
  <c r="N64" i="1"/>
  <c r="M64" i="1"/>
  <c r="L64" i="1"/>
  <c r="K64" i="1"/>
  <c r="O63" i="1"/>
  <c r="N63" i="1"/>
  <c r="M63" i="1"/>
  <c r="L63" i="1"/>
  <c r="K63" i="1"/>
  <c r="O92" i="1"/>
  <c r="N92" i="1"/>
  <c r="M92" i="1"/>
  <c r="L92" i="1"/>
  <c r="K92" i="1"/>
  <c r="O91" i="1"/>
  <c r="N91" i="1"/>
  <c r="M91" i="1"/>
  <c r="L91" i="1"/>
  <c r="K91" i="1"/>
  <c r="O90" i="1"/>
  <c r="N90" i="1"/>
  <c r="M90" i="1"/>
  <c r="L90" i="1"/>
  <c r="K90" i="1"/>
  <c r="O69" i="1"/>
  <c r="N69" i="1"/>
  <c r="M69" i="1"/>
  <c r="L69" i="1"/>
  <c r="K69" i="1"/>
  <c r="O70" i="1"/>
  <c r="N70" i="1"/>
  <c r="M70" i="1"/>
  <c r="L70" i="1"/>
  <c r="K70" i="1"/>
  <c r="O67" i="1"/>
  <c r="N67" i="1"/>
  <c r="M67" i="1"/>
  <c r="L67" i="1"/>
  <c r="K67" i="1"/>
  <c r="O68" i="1"/>
  <c r="N68" i="1"/>
  <c r="M68" i="1"/>
  <c r="L68" i="1"/>
  <c r="K68" i="1"/>
  <c r="X58" i="14" l="1"/>
  <c r="Y58" i="14" s="1"/>
  <c r="X202" i="14"/>
  <c r="Y202" i="14" s="1"/>
  <c r="X214" i="14"/>
  <c r="Y214" i="14" s="1"/>
  <c r="X375" i="12"/>
  <c r="Y375" i="12" s="1"/>
  <c r="I369" i="12"/>
  <c r="C369" i="12" s="1"/>
  <c r="X369" i="12"/>
  <c r="Y369" i="12" s="1"/>
  <c r="I365" i="12"/>
  <c r="C365" i="12" s="1"/>
  <c r="X365" i="12"/>
  <c r="Y365" i="12" s="1"/>
  <c r="X337" i="12"/>
  <c r="Y337" i="12" s="1"/>
  <c r="X308" i="12"/>
  <c r="Y308" i="12" s="1"/>
  <c r="X52" i="12"/>
  <c r="Y52" i="12" s="1"/>
  <c r="Q17" i="13"/>
  <c r="R17" i="13" s="1"/>
  <c r="X4" i="12"/>
  <c r="Y4" i="12" s="1"/>
  <c r="P17" i="1"/>
  <c r="Q17" i="1" s="1"/>
  <c r="I17" i="1" s="1"/>
  <c r="C17" i="1" s="1"/>
  <c r="P11" i="1"/>
  <c r="Q11" i="1" s="1"/>
  <c r="P109" i="1"/>
  <c r="Q109" i="1" s="1"/>
  <c r="I109" i="1" s="1"/>
  <c r="C109" i="1" s="1"/>
  <c r="P106" i="1"/>
  <c r="Q106" i="1" s="1"/>
  <c r="I106" i="1" s="1"/>
  <c r="C106" i="1" s="1"/>
  <c r="P107" i="1"/>
  <c r="Q107" i="1" s="1"/>
  <c r="I107" i="1" s="1"/>
  <c r="C107" i="1" s="1"/>
  <c r="P108" i="1"/>
  <c r="Q108" i="1" s="1"/>
  <c r="I108" i="1" s="1"/>
  <c r="C108" i="1" s="1"/>
  <c r="P110" i="1"/>
  <c r="Q110" i="1" s="1"/>
  <c r="I110" i="1" s="1"/>
  <c r="C110" i="1" s="1"/>
  <c r="P120" i="1"/>
  <c r="Q120" i="1" s="1"/>
  <c r="I120" i="1" s="1"/>
  <c r="C120" i="1" s="1"/>
  <c r="P117" i="1"/>
  <c r="Q117" i="1" s="1"/>
  <c r="I117" i="1" s="1"/>
  <c r="C117" i="1" s="1"/>
  <c r="P115" i="1"/>
  <c r="P121" i="1"/>
  <c r="Q121" i="1" s="1"/>
  <c r="I121" i="1" s="1"/>
  <c r="C121" i="1" s="1"/>
  <c r="P82" i="1"/>
  <c r="Q82" i="1" s="1"/>
  <c r="I82" i="1" s="1"/>
  <c r="C82" i="1" s="1"/>
  <c r="P84" i="1"/>
  <c r="Q84" i="1" s="1"/>
  <c r="I84" i="1" s="1"/>
  <c r="C84" i="1" s="1"/>
  <c r="P104" i="1"/>
  <c r="Q104" i="1" s="1"/>
  <c r="I104" i="1" s="1"/>
  <c r="C104" i="1" s="1"/>
  <c r="P102" i="1"/>
  <c r="Q102" i="1" s="1"/>
  <c r="I102" i="1" s="1"/>
  <c r="C102" i="1" s="1"/>
  <c r="P101" i="1"/>
  <c r="Q101" i="1" s="1"/>
  <c r="I101" i="1" s="1"/>
  <c r="C101" i="1" s="1"/>
  <c r="P100" i="1"/>
  <c r="Q100" i="1" s="1"/>
  <c r="I100" i="1" s="1"/>
  <c r="C100" i="1" s="1"/>
  <c r="P99" i="1"/>
  <c r="Q99" i="1" s="1"/>
  <c r="I99" i="1" s="1"/>
  <c r="C99" i="1" s="1"/>
  <c r="P98" i="1"/>
  <c r="Q98" i="1" s="1"/>
  <c r="I98" i="1" s="1"/>
  <c r="C98" i="1" s="1"/>
  <c r="P118" i="1"/>
  <c r="Q118" i="1" s="1"/>
  <c r="I118" i="1" s="1"/>
  <c r="C118" i="1" s="1"/>
  <c r="P96" i="1"/>
  <c r="Q96" i="1" s="1"/>
  <c r="I96" i="1" s="1"/>
  <c r="C96" i="1" s="1"/>
  <c r="P95" i="1"/>
  <c r="Q95" i="1" s="1"/>
  <c r="I95" i="1" s="1"/>
  <c r="C95" i="1" s="1"/>
  <c r="P94" i="1"/>
  <c r="Q94" i="1" s="1"/>
  <c r="I94" i="1" s="1"/>
  <c r="C94" i="1" s="1"/>
  <c r="P93" i="1"/>
  <c r="Q93" i="1" s="1"/>
  <c r="I93" i="1" s="1"/>
  <c r="C93" i="1" s="1"/>
  <c r="P81" i="1"/>
  <c r="Q81" i="1" s="1"/>
  <c r="I81" i="1" s="1"/>
  <c r="C81" i="1" s="1"/>
  <c r="P80" i="1"/>
  <c r="Q80" i="1" s="1"/>
  <c r="I80" i="1" s="1"/>
  <c r="C80" i="1" s="1"/>
  <c r="P119" i="1"/>
  <c r="Q119" i="1" s="1"/>
  <c r="I119" i="1" s="1"/>
  <c r="C119" i="1" s="1"/>
  <c r="P85" i="1"/>
  <c r="Q85" i="1" s="1"/>
  <c r="I85" i="1" s="1"/>
  <c r="C85" i="1" s="1"/>
  <c r="P89" i="1"/>
  <c r="Q89" i="1" s="1"/>
  <c r="I89" i="1" s="1"/>
  <c r="C89" i="1" s="1"/>
  <c r="P87" i="1"/>
  <c r="Q87" i="1" s="1"/>
  <c r="I87" i="1" s="1"/>
  <c r="C87" i="1" s="1"/>
  <c r="P88" i="1"/>
  <c r="Q88" i="1" s="1"/>
  <c r="I88" i="1" s="1"/>
  <c r="C88" i="1" s="1"/>
  <c r="P116" i="1"/>
  <c r="Q116" i="1" s="1"/>
  <c r="I116" i="1" s="1"/>
  <c r="C116" i="1" s="1"/>
  <c r="P29" i="1"/>
  <c r="Q29" i="1" s="1"/>
  <c r="I29" i="1" s="1"/>
  <c r="C29" i="1" s="1"/>
  <c r="P27" i="1"/>
  <c r="Q27" i="1" s="1"/>
  <c r="I27" i="1" s="1"/>
  <c r="C27" i="1" s="1"/>
  <c r="P26" i="1"/>
  <c r="Q26" i="1" s="1"/>
  <c r="I26" i="1" s="1"/>
  <c r="C26" i="1" s="1"/>
  <c r="P25" i="1"/>
  <c r="Q25" i="1" s="1"/>
  <c r="I25" i="1" s="1"/>
  <c r="C25" i="1" s="1"/>
  <c r="P22" i="1"/>
  <c r="Q22" i="1" s="1"/>
  <c r="I22" i="1" s="1"/>
  <c r="C22" i="1" s="1"/>
  <c r="P23" i="1"/>
  <c r="Q23" i="1" s="1"/>
  <c r="I23" i="1" s="1"/>
  <c r="C23" i="1" s="1"/>
  <c r="P24" i="1"/>
  <c r="Q24" i="1" s="1"/>
  <c r="I24" i="1" s="1"/>
  <c r="C24" i="1" s="1"/>
  <c r="P114" i="1"/>
  <c r="Q114" i="1" s="1"/>
  <c r="I114" i="1" s="1"/>
  <c r="C114" i="1" s="1"/>
  <c r="P21" i="1"/>
  <c r="Q21" i="1" s="1"/>
  <c r="I21" i="1" s="1"/>
  <c r="C21" i="1" s="1"/>
  <c r="P32" i="1"/>
  <c r="Q32" i="1" s="1"/>
  <c r="I32" i="1" s="1"/>
  <c r="C32" i="1" s="1"/>
  <c r="P28" i="1"/>
  <c r="Q28" i="1" s="1"/>
  <c r="I28" i="1" s="1"/>
  <c r="C28" i="1" s="1"/>
  <c r="P31" i="1"/>
  <c r="Q31" i="1" s="1"/>
  <c r="I31" i="1" s="1"/>
  <c r="C31" i="1" s="1"/>
  <c r="P35" i="1"/>
  <c r="Q35" i="1" s="1"/>
  <c r="I35" i="1" s="1"/>
  <c r="C35" i="1" s="1"/>
  <c r="P39" i="1"/>
  <c r="Q39" i="1" s="1"/>
  <c r="I39" i="1" s="1"/>
  <c r="C39" i="1" s="1"/>
  <c r="P40" i="1"/>
  <c r="Q40" i="1" s="1"/>
  <c r="I40" i="1" s="1"/>
  <c r="C40" i="1" s="1"/>
  <c r="P16" i="1"/>
  <c r="Q16" i="1" s="1"/>
  <c r="I16" i="1" s="1"/>
  <c r="C16" i="1" s="1"/>
  <c r="P18" i="1"/>
  <c r="Q18" i="1" s="1"/>
  <c r="I18" i="1" s="1"/>
  <c r="C18" i="1" s="1"/>
  <c r="P19" i="1"/>
  <c r="Q19" i="1" s="1"/>
  <c r="I19" i="1" s="1"/>
  <c r="C19" i="1" s="1"/>
  <c r="P61" i="1"/>
  <c r="Q61" i="1" s="1"/>
  <c r="I61" i="1" s="1"/>
  <c r="C61" i="1" s="1"/>
  <c r="P58" i="1"/>
  <c r="Q58" i="1" s="1"/>
  <c r="I58" i="1" s="1"/>
  <c r="C58" i="1" s="1"/>
  <c r="P57" i="1"/>
  <c r="Q57" i="1" s="1"/>
  <c r="I57" i="1" s="1"/>
  <c r="C57" i="1" s="1"/>
  <c r="P56" i="1"/>
  <c r="Q56" i="1" s="1"/>
  <c r="I56" i="1" s="1"/>
  <c r="C56" i="1" s="1"/>
  <c r="P54" i="1"/>
  <c r="Q54" i="1" s="1"/>
  <c r="I54" i="1" s="1"/>
  <c r="C54" i="1" s="1"/>
  <c r="P55" i="1"/>
  <c r="Q55" i="1" s="1"/>
  <c r="I55" i="1" s="1"/>
  <c r="C55" i="1" s="1"/>
  <c r="P53" i="1"/>
  <c r="Q53" i="1" s="1"/>
  <c r="I53" i="1" s="1"/>
  <c r="C53" i="1" s="1"/>
  <c r="P52" i="1"/>
  <c r="Q52" i="1" s="1"/>
  <c r="I52" i="1" s="1"/>
  <c r="C52" i="1" s="1"/>
  <c r="P49" i="1"/>
  <c r="Q49" i="1" s="1"/>
  <c r="I49" i="1" s="1"/>
  <c r="C49" i="1" s="1"/>
  <c r="P48" i="1"/>
  <c r="Q48" i="1" s="1"/>
  <c r="I48" i="1" s="1"/>
  <c r="C48" i="1" s="1"/>
  <c r="P51" i="1"/>
  <c r="Q51" i="1" s="1"/>
  <c r="I51" i="1" s="1"/>
  <c r="C51" i="1" s="1"/>
  <c r="P47" i="1"/>
  <c r="Q47" i="1" s="1"/>
  <c r="I47" i="1" s="1"/>
  <c r="C47" i="1" s="1"/>
  <c r="P46" i="1"/>
  <c r="Q46" i="1" s="1"/>
  <c r="I46" i="1" s="1"/>
  <c r="C46" i="1" s="1"/>
  <c r="P50" i="1"/>
  <c r="Q50" i="1" s="1"/>
  <c r="I50" i="1" s="1"/>
  <c r="C50" i="1" s="1"/>
  <c r="P44" i="1"/>
  <c r="Q44" i="1" s="1"/>
  <c r="I44" i="1" s="1"/>
  <c r="C44" i="1" s="1"/>
  <c r="P42" i="1"/>
  <c r="Q42" i="1" s="1"/>
  <c r="I42" i="1" s="1"/>
  <c r="C42" i="1" s="1"/>
  <c r="P43" i="1"/>
  <c r="Q43" i="1" s="1"/>
  <c r="I43" i="1" s="1"/>
  <c r="C43" i="1" s="1"/>
  <c r="P3" i="1"/>
  <c r="Q3" i="1" s="1"/>
  <c r="I3" i="1" s="1"/>
  <c r="C3" i="1" s="1"/>
  <c r="P4" i="1"/>
  <c r="Q4" i="1" s="1"/>
  <c r="I4" i="1" s="1"/>
  <c r="C4" i="1" s="1"/>
  <c r="P113" i="1"/>
  <c r="Q113" i="1" s="1"/>
  <c r="I113" i="1" s="1"/>
  <c r="C113" i="1" s="1"/>
  <c r="P15" i="1"/>
  <c r="Q15" i="1" s="1"/>
  <c r="I15" i="1" s="1"/>
  <c r="C15" i="1" s="1"/>
  <c r="P112" i="1"/>
  <c r="Q112" i="1" s="1"/>
  <c r="I112" i="1" s="1"/>
  <c r="C112" i="1" s="1"/>
  <c r="P10" i="1"/>
  <c r="Q10" i="1" s="1"/>
  <c r="I10" i="1" s="1"/>
  <c r="C10" i="1" s="1"/>
  <c r="P9" i="1"/>
  <c r="Q9" i="1" s="1"/>
  <c r="I9" i="1" s="1"/>
  <c r="C9" i="1" s="1"/>
  <c r="P14" i="1"/>
  <c r="Q14" i="1" s="1"/>
  <c r="I14" i="1" s="1"/>
  <c r="C14" i="1" s="1"/>
  <c r="P13" i="1"/>
  <c r="Q13" i="1" s="1"/>
  <c r="I13" i="1" s="1"/>
  <c r="C13" i="1" s="1"/>
  <c r="P8" i="1"/>
  <c r="Q8" i="1" s="1"/>
  <c r="P7" i="1"/>
  <c r="Q7" i="1" s="1"/>
  <c r="P64" i="1"/>
  <c r="Q64" i="1" s="1"/>
  <c r="I64" i="1" s="1"/>
  <c r="C64" i="1" s="1"/>
  <c r="P72" i="1"/>
  <c r="Q72" i="1" s="1"/>
  <c r="I72" i="1" s="1"/>
  <c r="C72" i="1" s="1"/>
  <c r="P5" i="1"/>
  <c r="Q5" i="1" s="1"/>
  <c r="C5" i="1" s="1"/>
  <c r="P91" i="1"/>
  <c r="Q91" i="1" s="1"/>
  <c r="I91" i="1" s="1"/>
  <c r="C91" i="1" s="1"/>
  <c r="P92" i="1"/>
  <c r="Q92" i="1" s="1"/>
  <c r="I92" i="1" s="1"/>
  <c r="C92" i="1" s="1"/>
  <c r="P69" i="1"/>
  <c r="Q69" i="1" s="1"/>
  <c r="I69" i="1" s="1"/>
  <c r="C69" i="1" s="1"/>
  <c r="P68" i="1"/>
  <c r="Q68" i="1" s="1"/>
  <c r="I68" i="1" s="1"/>
  <c r="C68" i="1" s="1"/>
  <c r="P90" i="1"/>
  <c r="Q90" i="1" s="1"/>
  <c r="I90" i="1" s="1"/>
  <c r="C90" i="1" s="1"/>
  <c r="P74" i="1"/>
  <c r="Q74" i="1" s="1"/>
  <c r="I74" i="1" s="1"/>
  <c r="C74" i="1" s="1"/>
  <c r="P78" i="1"/>
  <c r="Q78" i="1" s="1"/>
  <c r="I78" i="1" s="1"/>
  <c r="C78" i="1" s="1"/>
  <c r="P77" i="1"/>
  <c r="Q77" i="1" s="1"/>
  <c r="I77" i="1" s="1"/>
  <c r="C77" i="1" s="1"/>
  <c r="P76" i="1"/>
  <c r="Q76" i="1" s="1"/>
  <c r="I76" i="1" s="1"/>
  <c r="C76" i="1" s="1"/>
  <c r="P75" i="1"/>
  <c r="Q75" i="1" s="1"/>
  <c r="I75" i="1" s="1"/>
  <c r="C75" i="1" s="1"/>
  <c r="P73" i="1"/>
  <c r="Q73" i="1" s="1"/>
  <c r="I73" i="1" s="1"/>
  <c r="C73" i="1" s="1"/>
  <c r="P71" i="1"/>
  <c r="Q71" i="1" s="1"/>
  <c r="I71" i="1" s="1"/>
  <c r="C71" i="1" s="1"/>
  <c r="P66" i="1"/>
  <c r="Q66" i="1" s="1"/>
  <c r="I66" i="1" s="1"/>
  <c r="C66" i="1" s="1"/>
  <c r="P65" i="1"/>
  <c r="Q65" i="1" s="1"/>
  <c r="I65" i="1" s="1"/>
  <c r="C65" i="1" s="1"/>
  <c r="P63" i="1"/>
  <c r="Q63" i="1" s="1"/>
  <c r="I63" i="1" s="1"/>
  <c r="C63" i="1" s="1"/>
  <c r="P67" i="1"/>
  <c r="Q67" i="1" s="1"/>
  <c r="I67" i="1" s="1"/>
  <c r="C67" i="1" s="1"/>
  <c r="P70" i="1"/>
  <c r="Q70" i="1" s="1"/>
  <c r="I70" i="1" s="1"/>
  <c r="C70" i="1" s="1"/>
  <c r="I11" i="1" l="1"/>
  <c r="C11" i="1" s="1"/>
  <c r="Q115" i="1"/>
  <c r="I115" i="1" s="1"/>
  <c r="C115" i="1" s="1"/>
  <c r="I7" i="1"/>
  <c r="C7" i="1" s="1"/>
  <c r="I8" i="1"/>
  <c r="C8" i="1" s="1"/>
  <c r="I5" i="12"/>
  <c r="C5" i="12" l="1"/>
  <c r="X5" i="12"/>
  <c r="Y5" i="12" s="1"/>
  <c r="W343" i="12" l="1"/>
  <c r="P343" i="12" s="1"/>
  <c r="C34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tc={F512886E-9FF3-4D51-9173-978DDCCDD484}</author>
  </authors>
  <commentList>
    <comment ref="B32" authorId="0" shapeId="0" xr:uid="{F512886E-9FF3-4D51-9173-978DDCCDD48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Sunny (SU-U0150150)의 경우 15-150 x10이기 때문에 100- 1000까지 사용
</t>
      </text>
    </comment>
  </commentList>
</comments>
</file>

<file path=xl/sharedStrings.xml><?xml version="1.0" encoding="utf-8"?>
<sst xmlns="http://schemas.openxmlformats.org/spreadsheetml/2006/main" count="10784" uniqueCount="2366">
  <si>
    <r>
      <rPr>
        <b/>
        <sz val="10"/>
        <rFont val="Arial"/>
        <family val="2"/>
      </rPr>
      <t>Name</t>
    </r>
  </si>
  <si>
    <r>
      <rPr>
        <b/>
        <sz val="10"/>
        <rFont val="Arial"/>
        <family val="2"/>
      </rPr>
      <t>Address</t>
    </r>
  </si>
  <si>
    <r>
      <rPr>
        <b/>
        <sz val="10"/>
        <rFont val="Arial"/>
        <family val="2"/>
      </rPr>
      <t>Data Range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</si>
  <si>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</si>
  <si>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Description</t>
    </r>
  </si>
  <si>
    <r>
      <rPr>
        <b/>
        <sz val="10"/>
        <rFont val="Arial"/>
        <family val="2"/>
      </rPr>
      <t>Default</t>
    </r>
  </si>
  <si>
    <r>
      <rPr>
        <b/>
        <sz val="10"/>
        <rFont val="Arial"/>
        <family val="2"/>
      </rPr>
      <t>Remarks</t>
    </r>
  </si>
  <si>
    <t>Command</t>
    <phoneticPr fontId="1" type="noConversion"/>
  </si>
  <si>
    <t>Rev.2024.02.05</t>
    <phoneticPr fontId="1" type="noConversion"/>
  </si>
  <si>
    <t>FF</t>
    <phoneticPr fontId="1" type="noConversion"/>
  </si>
  <si>
    <t>OSD</t>
    <phoneticPr fontId="1" type="noConversion"/>
  </si>
  <si>
    <t>Left</t>
    <phoneticPr fontId="1" type="noConversion"/>
  </si>
  <si>
    <t>Right</t>
    <phoneticPr fontId="1" type="noConversion"/>
  </si>
  <si>
    <t>Up</t>
    <phoneticPr fontId="1" type="noConversion"/>
  </si>
  <si>
    <t>Down</t>
    <phoneticPr fontId="1" type="noConversion"/>
  </si>
  <si>
    <t>E0</t>
    <phoneticPr fontId="1" type="noConversion"/>
  </si>
  <si>
    <t>00</t>
    <phoneticPr fontId="1" type="noConversion"/>
  </si>
  <si>
    <t>02</t>
    <phoneticPr fontId="1" type="noConversion"/>
  </si>
  <si>
    <t>21</t>
    <phoneticPr fontId="1" type="noConversion"/>
  </si>
  <si>
    <t>Flip On</t>
    <phoneticPr fontId="1" type="noConversion"/>
  </si>
  <si>
    <t>Flip Off</t>
    <phoneticPr fontId="1" type="noConversion"/>
  </si>
  <si>
    <t>Mirror On</t>
    <phoneticPr fontId="1" type="noConversion"/>
  </si>
  <si>
    <t>Mirror Off</t>
    <phoneticPr fontId="1" type="noConversion"/>
  </si>
  <si>
    <t>A0</t>
    <phoneticPr fontId="1" type="noConversion"/>
  </si>
  <si>
    <t>01</t>
    <phoneticPr fontId="1" type="noConversion"/>
  </si>
  <si>
    <t>Gray</t>
    <phoneticPr fontId="1" type="noConversion"/>
  </si>
  <si>
    <t>Jet</t>
    <phoneticPr fontId="1" type="noConversion"/>
  </si>
  <si>
    <t>Plasma</t>
    <phoneticPr fontId="1" type="noConversion"/>
  </si>
  <si>
    <t>AF</t>
    <phoneticPr fontId="1" type="noConversion"/>
  </si>
  <si>
    <t>B2</t>
    <phoneticPr fontId="1" type="noConversion"/>
  </si>
  <si>
    <t>Zoom In</t>
    <phoneticPr fontId="1" type="noConversion"/>
  </si>
  <si>
    <t>Zoom Out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</si>
  <si>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</si>
  <si>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</si>
  <si>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</si>
  <si>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</si>
  <si>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</si>
  <si>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</si>
  <si>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B7(CHK)</t>
    <phoneticPr fontId="1" type="noConversion"/>
  </si>
  <si>
    <t>B7(CHK) 
DEC</t>
    <phoneticPr fontId="1" type="noConversion"/>
  </si>
  <si>
    <t>B7(CHK) 
HEX</t>
    <phoneticPr fontId="1" type="noConversion"/>
  </si>
  <si>
    <t>All Stop</t>
    <phoneticPr fontId="1" type="noConversion"/>
  </si>
  <si>
    <t>Far</t>
    <phoneticPr fontId="1" type="noConversion"/>
  </si>
  <si>
    <t>80</t>
    <phoneticPr fontId="1" type="noConversion"/>
  </si>
  <si>
    <t>Near</t>
    <phoneticPr fontId="1" type="noConversion"/>
  </si>
  <si>
    <t>DIS Off</t>
    <phoneticPr fontId="1" type="noConversion"/>
  </si>
  <si>
    <t>DIS On</t>
    <phoneticPr fontId="1" type="noConversion"/>
  </si>
  <si>
    <t>DNR On</t>
    <phoneticPr fontId="1" type="noConversion"/>
  </si>
  <si>
    <t>DNR Off</t>
    <phoneticPr fontId="1" type="noConversion"/>
  </si>
  <si>
    <t>22</t>
    <phoneticPr fontId="1" type="noConversion"/>
  </si>
  <si>
    <t>Freeze Off</t>
    <phoneticPr fontId="1" type="noConversion"/>
  </si>
  <si>
    <t>25</t>
    <phoneticPr fontId="1" type="noConversion"/>
  </si>
  <si>
    <t>Freeze On</t>
    <phoneticPr fontId="1" type="noConversion"/>
  </si>
  <si>
    <t>Dzoom Off</t>
    <phoneticPr fontId="1" type="noConversion"/>
  </si>
  <si>
    <t>Dzoom On</t>
    <phoneticPr fontId="1" type="noConversion"/>
  </si>
  <si>
    <t>26</t>
    <phoneticPr fontId="1" type="noConversion"/>
  </si>
  <si>
    <t>Dzoom 1x</t>
    <phoneticPr fontId="1" type="noConversion"/>
  </si>
  <si>
    <t>Dzoom 2x</t>
    <phoneticPr fontId="1" type="noConversion"/>
  </si>
  <si>
    <t>Dzoom 3x</t>
    <phoneticPr fontId="1" type="noConversion"/>
  </si>
  <si>
    <t>Dzoom 4x</t>
    <phoneticPr fontId="1" type="noConversion"/>
  </si>
  <si>
    <t>27</t>
    <phoneticPr fontId="1" type="noConversion"/>
  </si>
  <si>
    <t>0A</t>
    <phoneticPr fontId="1" type="noConversion"/>
  </si>
  <si>
    <t>14</t>
    <phoneticPr fontId="1" type="noConversion"/>
  </si>
  <si>
    <t>1E</t>
    <phoneticPr fontId="1" type="noConversion"/>
  </si>
  <si>
    <t>ScreenShot</t>
    <phoneticPr fontId="1" type="noConversion"/>
  </si>
  <si>
    <t>Zoom SPD x0</t>
    <phoneticPr fontId="1" type="noConversion"/>
  </si>
  <si>
    <t>Zoom SPD x4</t>
    <phoneticPr fontId="1" type="noConversion"/>
  </si>
  <si>
    <t>04</t>
    <phoneticPr fontId="1" type="noConversion"/>
  </si>
  <si>
    <t>Focus SPD x0</t>
    <phoneticPr fontId="1" type="noConversion"/>
  </si>
  <si>
    <t>Focus SPD x4</t>
    <phoneticPr fontId="1" type="noConversion"/>
  </si>
  <si>
    <t>4F</t>
    <phoneticPr fontId="1" type="noConversion"/>
  </si>
  <si>
    <t>Zoom Pos 0</t>
    <phoneticPr fontId="1" type="noConversion"/>
  </si>
  <si>
    <t>Zoom Pos 65535</t>
    <phoneticPr fontId="1" type="noConversion"/>
  </si>
  <si>
    <t>Zoom Query</t>
    <phoneticPr fontId="1" type="noConversion"/>
  </si>
  <si>
    <t>55</t>
    <phoneticPr fontId="1" type="noConversion"/>
  </si>
  <si>
    <t>Focus Query</t>
    <phoneticPr fontId="1" type="noConversion"/>
  </si>
  <si>
    <t>Reboot</t>
    <phoneticPr fontId="1" type="noConversion"/>
  </si>
  <si>
    <t>Reset Default</t>
    <phoneticPr fontId="1" type="noConversion"/>
  </si>
  <si>
    <t>0F</t>
    <phoneticPr fontId="1" type="noConversion"/>
  </si>
  <si>
    <t>29</t>
    <phoneticPr fontId="1" type="noConversion"/>
  </si>
  <si>
    <t>A1</t>
    <phoneticPr fontId="1" type="noConversion"/>
  </si>
  <si>
    <t>Mode RS-232</t>
    <phoneticPr fontId="1" type="noConversion"/>
  </si>
  <si>
    <t>Mode RS-485</t>
    <phoneticPr fontId="1" type="noConversion"/>
  </si>
  <si>
    <t>Address Pelco-D</t>
    <phoneticPr fontId="1" type="noConversion"/>
  </si>
  <si>
    <t>Address Pelco-P</t>
    <phoneticPr fontId="1" type="noConversion"/>
  </si>
  <si>
    <t>Baud-Rate 4800</t>
    <phoneticPr fontId="1" type="noConversion"/>
  </si>
  <si>
    <t>Baud-Rate 9600</t>
    <phoneticPr fontId="1" type="noConversion"/>
  </si>
  <si>
    <t>Baud-Rate 19200</t>
    <phoneticPr fontId="1" type="noConversion"/>
  </si>
  <si>
    <t>Baud-Rate 38400</t>
    <phoneticPr fontId="1" type="noConversion"/>
  </si>
  <si>
    <t>Baud-Rate 57600</t>
    <phoneticPr fontId="1" type="noConversion"/>
  </si>
  <si>
    <t>Baud-Rate 115200</t>
    <phoneticPr fontId="1" type="noConversion"/>
  </si>
  <si>
    <t>03</t>
    <phoneticPr fontId="1" type="noConversion"/>
  </si>
  <si>
    <t>05</t>
    <phoneticPr fontId="1" type="noConversion"/>
  </si>
  <si>
    <t>Word Length 8</t>
    <phoneticPr fontId="1" type="noConversion"/>
  </si>
  <si>
    <t>Word Length 9</t>
    <phoneticPr fontId="1" type="noConversion"/>
  </si>
  <si>
    <t>Stop Bits 1</t>
    <phoneticPr fontId="1" type="noConversion"/>
  </si>
  <si>
    <t>Stop Bits 2</t>
    <phoneticPr fontId="1" type="noConversion"/>
  </si>
  <si>
    <t>Parity None</t>
    <phoneticPr fontId="1" type="noConversion"/>
  </si>
  <si>
    <t>Parity Even</t>
    <phoneticPr fontId="1" type="noConversion"/>
  </si>
  <si>
    <t>Parity Odd</t>
    <phoneticPr fontId="1" type="noConversion"/>
  </si>
  <si>
    <t>06</t>
    <phoneticPr fontId="1" type="noConversion"/>
  </si>
  <si>
    <t>07</t>
    <phoneticPr fontId="1" type="noConversion"/>
  </si>
  <si>
    <t>AF On</t>
    <phoneticPr fontId="1" type="noConversion"/>
  </si>
  <si>
    <t>AF Off</t>
    <phoneticPr fontId="1" type="noConversion"/>
  </si>
  <si>
    <t>2B</t>
    <phoneticPr fontId="1" type="noConversion"/>
  </si>
  <si>
    <t>Focus Position 0</t>
    <phoneticPr fontId="1" type="noConversion"/>
  </si>
  <si>
    <t>Focus Position 65535</t>
    <phoneticPr fontId="1" type="noConversion"/>
  </si>
  <si>
    <t>Need Protocol</t>
    <phoneticPr fontId="1" type="noConversion"/>
  </si>
  <si>
    <t>Lens Query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</si>
  <si>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</si>
  <si>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</si>
  <si>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</si>
  <si>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Zoom SPD x0 (Lens)</t>
    <phoneticPr fontId="1" type="noConversion"/>
  </si>
  <si>
    <t>Zoom SPD x4 (Lens)</t>
    <phoneticPr fontId="1" type="noConversion"/>
  </si>
  <si>
    <t>Focus SPD x0(Lens)</t>
    <phoneticPr fontId="1" type="noConversion"/>
  </si>
  <si>
    <t>Focus SPD x4(Lens)</t>
    <phoneticPr fontId="1" type="noConversion"/>
  </si>
  <si>
    <t>13</t>
    <phoneticPr fontId="1" type="noConversion"/>
  </si>
  <si>
    <t>AF Trigger</t>
    <phoneticPr fontId="1" type="noConversion"/>
  </si>
  <si>
    <t>AF Mode Z-Trigger</t>
    <phoneticPr fontId="1" type="noConversion"/>
  </si>
  <si>
    <t>AF Mode Manual</t>
    <phoneticPr fontId="1" type="noConversion"/>
  </si>
  <si>
    <t>AF Mode Interval</t>
    <phoneticPr fontId="1" type="noConversion"/>
  </si>
  <si>
    <t>AF Interval 1</t>
    <phoneticPr fontId="1" type="noConversion"/>
  </si>
  <si>
    <t>AF Interval 180</t>
    <phoneticPr fontId="1" type="noConversion"/>
  </si>
  <si>
    <t>15</t>
    <phoneticPr fontId="1" type="noConversion"/>
  </si>
  <si>
    <t>B4</t>
    <phoneticPr fontId="1" type="noConversion"/>
  </si>
  <si>
    <t>FOV Pos 100</t>
    <phoneticPr fontId="1" type="noConversion"/>
  </si>
  <si>
    <t>FOV Pos 65535</t>
    <phoneticPr fontId="1" type="noConversion"/>
  </si>
  <si>
    <t>16</t>
    <phoneticPr fontId="1" type="noConversion"/>
  </si>
  <si>
    <t>64</t>
    <phoneticPr fontId="1" type="noConversion"/>
  </si>
  <si>
    <t>Query Mode Off</t>
    <phoneticPr fontId="1" type="noConversion"/>
  </si>
  <si>
    <t>Query Mode On</t>
    <phoneticPr fontId="1" type="noConversion"/>
  </si>
  <si>
    <t>17</t>
    <phoneticPr fontId="1" type="noConversion"/>
  </si>
  <si>
    <t>Iamge Query</t>
    <phoneticPr fontId="1" type="noConversion"/>
  </si>
  <si>
    <t>20</t>
    <phoneticPr fontId="1" type="noConversion"/>
  </si>
  <si>
    <t>Comm Query</t>
    <phoneticPr fontId="1" type="noConversion"/>
  </si>
  <si>
    <t>Sensor Query</t>
    <phoneticPr fontId="1" type="noConversion"/>
  </si>
  <si>
    <t>Histogram EQ His</t>
    <phoneticPr fontId="1" type="noConversion"/>
  </si>
  <si>
    <t>Histogram EQ Liner</t>
    <phoneticPr fontId="1" type="noConversion"/>
  </si>
  <si>
    <t>Brightness 0</t>
    <phoneticPr fontId="1" type="noConversion"/>
  </si>
  <si>
    <t>Brightness 40</t>
    <phoneticPr fontId="1" type="noConversion"/>
  </si>
  <si>
    <t>28</t>
    <phoneticPr fontId="1" type="noConversion"/>
  </si>
  <si>
    <t>Constrast 0</t>
    <phoneticPr fontId="1" type="noConversion"/>
  </si>
  <si>
    <t>Constrast 40</t>
    <phoneticPr fontId="1" type="noConversion"/>
  </si>
  <si>
    <t>White Hot</t>
    <phoneticPr fontId="1" type="noConversion"/>
  </si>
  <si>
    <t>Black Hot</t>
    <phoneticPr fontId="1" type="noConversion"/>
  </si>
  <si>
    <t>Edge Off</t>
    <phoneticPr fontId="1" type="noConversion"/>
  </si>
  <si>
    <t>Edge Op-1</t>
    <phoneticPr fontId="1" type="noConversion"/>
  </si>
  <si>
    <t>Edge Op-2</t>
    <phoneticPr fontId="1" type="noConversion"/>
  </si>
  <si>
    <t>Edge Op-3</t>
    <phoneticPr fontId="1" type="noConversion"/>
  </si>
  <si>
    <t>Cali. Quiery</t>
    <phoneticPr fontId="1" type="noConversion"/>
  </si>
  <si>
    <t>Cali. Trigger</t>
    <phoneticPr fontId="1" type="noConversion"/>
  </si>
  <si>
    <t>Cali. Auto</t>
    <phoneticPr fontId="1" type="noConversion"/>
  </si>
  <si>
    <t>Cali. Manual</t>
    <phoneticPr fontId="1" type="noConversion"/>
  </si>
  <si>
    <t>Cali. Interval</t>
    <phoneticPr fontId="1" type="noConversion"/>
  </si>
  <si>
    <t>Cali. Interval 1</t>
    <phoneticPr fontId="1" type="noConversion"/>
  </si>
  <si>
    <t>Cali. Interval 180</t>
    <phoneticPr fontId="1" type="noConversion"/>
  </si>
  <si>
    <t>Image Query</t>
    <phoneticPr fontId="1" type="noConversion"/>
  </si>
  <si>
    <t>Cali. Query</t>
    <phoneticPr fontId="1" type="noConversion"/>
  </si>
  <si>
    <t>ETC Query</t>
    <phoneticPr fontId="1" type="noConversion"/>
  </si>
  <si>
    <t>Status Query</t>
    <phoneticPr fontId="1" type="noConversion"/>
  </si>
  <si>
    <t>Version Query</t>
    <phoneticPr fontId="1" type="noConversion"/>
  </si>
  <si>
    <t>E1</t>
    <phoneticPr fontId="1" type="noConversion"/>
  </si>
  <si>
    <t>50</t>
    <phoneticPr fontId="1" type="noConversion"/>
  </si>
  <si>
    <t>Save</t>
    <phoneticPr fontId="1" type="noConversion"/>
  </si>
  <si>
    <t>CVBS NTSC</t>
    <phoneticPr fontId="1" type="noConversion"/>
  </si>
  <si>
    <t>CVBS PAL</t>
    <phoneticPr fontId="1" type="noConversion"/>
  </si>
  <si>
    <t>51</t>
    <phoneticPr fontId="1" type="noConversion"/>
  </si>
  <si>
    <t>52</t>
    <phoneticPr fontId="1" type="noConversion"/>
  </si>
  <si>
    <t>53</t>
    <phoneticPr fontId="1" type="noConversion"/>
  </si>
  <si>
    <t>Display Info Off</t>
    <phoneticPr fontId="1" type="noConversion"/>
  </si>
  <si>
    <t>Display Info On</t>
    <phoneticPr fontId="1" type="noConversion"/>
  </si>
  <si>
    <t>Encoder Query</t>
    <phoneticPr fontId="1" type="noConversion"/>
  </si>
  <si>
    <t>30</t>
    <phoneticPr fontId="1" type="noConversion"/>
  </si>
  <si>
    <t>2A</t>
    <phoneticPr fontId="1" type="noConversion"/>
  </si>
  <si>
    <t>Zoom Position 10900</t>
    <phoneticPr fontId="1" type="noConversion"/>
  </si>
  <si>
    <t>94</t>
    <phoneticPr fontId="1" type="noConversion"/>
  </si>
  <si>
    <t>FF01004F000050</t>
  </si>
  <si>
    <t>FF01014FFFFF4F</t>
  </si>
  <si>
    <t>Command</t>
  </si>
  <si>
    <t>FF01000F000010</t>
  </si>
  <si>
    <t>FF01002900002A</t>
  </si>
  <si>
    <t>FF010000000000</t>
  </si>
  <si>
    <t>FF010025000026</t>
  </si>
  <si>
    <t>FF01002500042A</t>
  </si>
  <si>
    <t>FF01004FFFFF4E</t>
  </si>
  <si>
    <t>FF01004F2A940E</t>
  </si>
  <si>
    <t>FF010055000056</t>
  </si>
  <si>
    <t>FF010027000028</t>
  </si>
  <si>
    <t>FF01002700042C</t>
  </si>
  <si>
    <t>FF01014F000051</t>
  </si>
  <si>
    <t>FF010155000057</t>
  </si>
  <si>
    <t>FF01002B00002C</t>
  </si>
  <si>
    <t>FF01002B00012D</t>
  </si>
  <si>
    <t>FF01A1100000B2</t>
  </si>
  <si>
    <t>FF01A0110000B2</t>
  </si>
  <si>
    <t>FF01A0120000B3</t>
  </si>
  <si>
    <t>FF01A0120004B7</t>
  </si>
  <si>
    <t>FF01A0130000B4</t>
  </si>
  <si>
    <t>FF01A0130004B8</t>
  </si>
  <si>
    <t>FF01A0140000B5</t>
  </si>
  <si>
    <t>FF01A0140001B6</t>
  </si>
  <si>
    <t>FF01A0140002B7</t>
  </si>
  <si>
    <t>FF01A0150001B7</t>
  </si>
  <si>
    <t>FF01A01500B46A</t>
  </si>
  <si>
    <t>FF01A01600641B</t>
  </si>
  <si>
    <t>FF01A016FFFFB5</t>
  </si>
  <si>
    <t>FF01A0170000B8</t>
  </si>
  <si>
    <t>FF01A0170001B9</t>
  </si>
  <si>
    <t>FF01A1000000A2</t>
  </si>
  <si>
    <t>FF01A0010000A2</t>
  </si>
  <si>
    <t>FF01A0010001A3</t>
  </si>
  <si>
    <t>FF01A0020000A3</t>
  </si>
  <si>
    <t>FF01A0020001A4</t>
  </si>
  <si>
    <t>FF01A0030000A4</t>
  </si>
  <si>
    <t>FF01A0030001A5</t>
  </si>
  <si>
    <t>FF01A0030002A6</t>
  </si>
  <si>
    <t>FF01A0030003A7</t>
  </si>
  <si>
    <t>FF01A0030004A8</t>
  </si>
  <si>
    <t>FF01A0030005A9</t>
  </si>
  <si>
    <t>FF01A0040000A5</t>
  </si>
  <si>
    <t>FF01A0040001A6</t>
  </si>
  <si>
    <t>FF01A0050000A6</t>
  </si>
  <si>
    <t>FF01A0050001A7</t>
  </si>
  <si>
    <t>FF01A0060000A7</t>
  </si>
  <si>
    <t>FF01A0060001A8</t>
  </si>
  <si>
    <t>FF01A0060002A9</t>
  </si>
  <si>
    <t>FF01A0070004AC</t>
  </si>
  <si>
    <t>FF01A1200000C2</t>
  </si>
  <si>
    <t>FF01A0210000C2</t>
  </si>
  <si>
    <t>FF01A0210001C3</t>
  </si>
  <si>
    <t>FF01A0220000C3</t>
  </si>
  <si>
    <t>FF01A0220001C4</t>
  </si>
  <si>
    <t>FF01A0230001C5</t>
  </si>
  <si>
    <t>FF01A0230000C4</t>
  </si>
  <si>
    <t>FF01A0240001C6</t>
  </si>
  <si>
    <t>FF01A0240000C5</t>
  </si>
  <si>
    <t>FF01A0250000C6</t>
  </si>
  <si>
    <t>FF01A0250001C7</t>
  </si>
  <si>
    <t>FF01A0260000C7</t>
  </si>
  <si>
    <t>FF01A0260001C8</t>
  </si>
  <si>
    <t>FF01A0270000C8</t>
  </si>
  <si>
    <t>FF01A027000AD2</t>
  </si>
  <si>
    <t>FF01A0270014DC</t>
  </si>
  <si>
    <t>FF01A027001EE6</t>
  </si>
  <si>
    <t>FF01A1300000D2</t>
  </si>
  <si>
    <t>FF01A0310000D2</t>
  </si>
  <si>
    <t>FF01A0310001D3</t>
  </si>
  <si>
    <t>FF01A0320000D3</t>
  </si>
  <si>
    <t>FF01A0320028FB</t>
  </si>
  <si>
    <t>FF01A0330000D4</t>
  </si>
  <si>
    <t>FF01A0330028FC</t>
  </si>
  <si>
    <t>FF01A0340000D5</t>
  </si>
  <si>
    <t>FF01A0340001D6</t>
  </si>
  <si>
    <t>FF01A0350000D6</t>
  </si>
  <si>
    <t>FF01A0350001D7</t>
  </si>
  <si>
    <t>FF01A0350002D8</t>
  </si>
  <si>
    <t>FF01A0360000D7</t>
  </si>
  <si>
    <t>FF01A0360001D8</t>
  </si>
  <si>
    <t>FF01A0360002D9</t>
  </si>
  <si>
    <t>FF01A0360003DA</t>
  </si>
  <si>
    <t>FF01A1400000E2</t>
  </si>
  <si>
    <t>FF01A0410000E2</t>
  </si>
  <si>
    <t>FF01A0420000E3</t>
  </si>
  <si>
    <t>FF01A0420001E4</t>
  </si>
  <si>
    <t>FF01A0420002E5</t>
  </si>
  <si>
    <t>FF01A0430001E5</t>
  </si>
  <si>
    <t>FF01A04300B498</t>
  </si>
  <si>
    <t>FF01A1500000F2</t>
  </si>
  <si>
    <t>FF01A0520000F3</t>
  </si>
  <si>
    <t>FF01A0520001F4</t>
  </si>
  <si>
    <t>FF01A0530000F4</t>
  </si>
  <si>
    <t>FF01A0530001F5</t>
  </si>
  <si>
    <t>FF01E1100000F2</t>
  </si>
  <si>
    <t>NYX.GET#netw_name</t>
    <phoneticPr fontId="1" type="noConversion"/>
  </si>
  <si>
    <t>Rev.2024.07.19</t>
    <phoneticPr fontId="1" type="noConversion"/>
  </si>
  <si>
    <t>NYX.GET#netw_tcpp</t>
    <phoneticPr fontId="1" type="noConversion"/>
  </si>
  <si>
    <t>NYX.GET#netw_udpp</t>
    <phoneticPr fontId="1" type="noConversion"/>
  </si>
  <si>
    <t>NYX.GET#netw_http</t>
    <phoneticPr fontId="1" type="noConversion"/>
  </si>
  <si>
    <t>NYX.GET#netw_gyrp</t>
    <phoneticPr fontId="1" type="noConversion"/>
  </si>
  <si>
    <t>NYX.GET#netw_rtsp</t>
    <phoneticPr fontId="1" type="noConversion"/>
  </si>
  <si>
    <t>NYX.GET#boot_perc</t>
    <phoneticPr fontId="1" type="noConversion"/>
  </si>
  <si>
    <t>NYX.GET#cool_type</t>
    <phoneticPr fontId="1" type="noConversion"/>
  </si>
  <si>
    <t>NYX.GET#cool_time</t>
    <phoneticPr fontId="1" type="noConversion"/>
  </si>
  <si>
    <t>NYX.GET#modl_type</t>
    <phoneticPr fontId="1" type="noConversion"/>
  </si>
  <si>
    <t>NYX.GET#syst_vers</t>
    <phoneticPr fontId="1" type="noConversion"/>
  </si>
  <si>
    <t>NYX.GET#syst_stat</t>
    <phoneticPr fontId="1" type="noConversion"/>
  </si>
  <si>
    <t>NYX.GET#syst_temp</t>
    <phoneticPr fontId="1" type="noConversion"/>
  </si>
  <si>
    <t>NYX.GET#fan0_stat</t>
    <phoneticPr fontId="1" type="noConversion"/>
  </si>
  <si>
    <t>NYX.GET#alm0_opcl</t>
    <phoneticPr fontId="1" type="noConversion"/>
  </si>
  <si>
    <t>NYX.GET#lens_type</t>
    <phoneticPr fontId="1" type="noConversion"/>
  </si>
  <si>
    <t>NYX.GET#lens_stat</t>
    <phoneticPr fontId="1" type="noConversion"/>
  </si>
  <si>
    <t>NYX.GET#lens_temp</t>
    <phoneticPr fontId="1" type="noConversion"/>
  </si>
  <si>
    <t>NYX.GET#lens_fnum</t>
    <phoneticPr fontId="1" type="noConversion"/>
  </si>
  <si>
    <t>NYX.GET#lens_wnmm</t>
    <phoneticPr fontId="1" type="noConversion"/>
  </si>
  <si>
    <t>NYX.GET#lens_wnen</t>
    <phoneticPr fontId="1" type="noConversion"/>
  </si>
  <si>
    <t>NYX.GET#lens_fnen</t>
    <phoneticPr fontId="1" type="noConversion"/>
  </si>
  <si>
    <t>NYX.GET#lens_afov</t>
    <phoneticPr fontId="1" type="noConversion"/>
  </si>
  <si>
    <t>NYX.GET#lens_zpos</t>
    <phoneticPr fontId="1" type="noConversion"/>
  </si>
  <si>
    <t>NYX.GET#lens_fpos</t>
    <phoneticPr fontId="1" type="noConversion"/>
  </si>
  <si>
    <t>NYX.GET#lens_cfov</t>
    <phoneticPr fontId="1" type="noConversion"/>
  </si>
  <si>
    <t>NYX.GET#infr_stat</t>
    <phoneticPr fontId="1" type="noConversion"/>
  </si>
  <si>
    <t>NYX.GET#infr_fnum</t>
    <phoneticPr fontId="1" type="noConversion"/>
  </si>
  <si>
    <t>NYX.GET#infr_time</t>
    <phoneticPr fontId="1" type="noConversion"/>
  </si>
  <si>
    <t>NYX.GET#infr_size</t>
    <phoneticPr fontId="1" type="noConversion"/>
  </si>
  <si>
    <t>NYX.GET#infr_fpak</t>
    <phoneticPr fontId="1" type="noConversion"/>
  </si>
  <si>
    <t>NYX.GET#isp0_vers</t>
    <phoneticPr fontId="1" type="noConversion"/>
  </si>
  <si>
    <t>NYX.GET#isp0_stat</t>
    <phoneticPr fontId="1" type="noConversion"/>
  </si>
  <si>
    <t>Type</t>
    <phoneticPr fontId="1" type="noConversion"/>
  </si>
  <si>
    <t>Get</t>
    <phoneticPr fontId="1" type="noConversion"/>
  </si>
  <si>
    <t>R Type</t>
    <phoneticPr fontId="1" type="noConversion"/>
  </si>
  <si>
    <t>NYX.SET#syst_exec=initialize</t>
    <phoneticPr fontId="1" type="noConversion"/>
  </si>
  <si>
    <t>NYX.SET#isp0_cosp=gray</t>
    <phoneticPr fontId="1" type="noConversion"/>
  </si>
  <si>
    <t>NYX.SET#isp0_cosp=iron</t>
    <phoneticPr fontId="1" type="noConversion"/>
  </si>
  <si>
    <t>Post</t>
    <phoneticPr fontId="1" type="noConversion"/>
  </si>
  <si>
    <t>X</t>
  </si>
  <si>
    <t>Factory, Initialization과 관계 없이 해당 값을 유지한다.</t>
  </si>
  <si>
    <t>Init, Factory</t>
  </si>
  <si>
    <t>Factory, Initialization 시 해당 값이 기본 값으로 변경된다.</t>
  </si>
  <si>
    <t>Factory</t>
  </si>
  <si>
    <t>Factory Default 시에만 해당 값이 기본 값으로 변경된다.</t>
  </si>
  <si>
    <t>Remark</t>
    <phoneticPr fontId="1" type="noConversion"/>
  </si>
  <si>
    <t>NYX.SET#syst_upgr=execute</t>
    <phoneticPr fontId="1" type="noConversion"/>
  </si>
  <si>
    <t>NYX.SET#syst_exec=factory</t>
    <phoneticPr fontId="1" type="noConversion"/>
  </si>
  <si>
    <t>NYX.SET#syst_exec=save</t>
    <phoneticPr fontId="1" type="noConversion"/>
  </si>
  <si>
    <t>NYX.SET#syst_exec=reboot</t>
    <phoneticPr fontId="1" type="noConversion"/>
  </si>
  <si>
    <t>NYX.SET#extc_baud=9600</t>
    <phoneticPr fontId="1" type="noConversion"/>
  </si>
  <si>
    <t>NYX.SET#extc_baud=19200</t>
    <phoneticPr fontId="1" type="noConversion"/>
  </si>
  <si>
    <t>NYX.SET#extc_baud=38400</t>
    <phoneticPr fontId="1" type="noConversion"/>
  </si>
  <si>
    <t>NYX.SET#extc_baud=57600</t>
    <phoneticPr fontId="1" type="noConversion"/>
  </si>
  <si>
    <t>NYX.SET#extc_baud=115200</t>
    <phoneticPr fontId="1" type="noConversion"/>
  </si>
  <si>
    <t>NYX.SET#alm0_nonc=open</t>
    <phoneticPr fontId="1" type="noConversion"/>
  </si>
  <si>
    <t>NYX.SET#alm0_nonc=close</t>
    <phoneticPr fontId="1" type="noConversion"/>
  </si>
  <si>
    <t>NYX.SET#aux0_nonc=open</t>
    <phoneticPr fontId="1" type="noConversion"/>
  </si>
  <si>
    <t>NYX.SET#aux0_nonc=close</t>
    <phoneticPr fontId="1" type="noConversion"/>
  </si>
  <si>
    <t>NYX.SET#aux0_opcl=open</t>
    <phoneticPr fontId="1" type="noConversion"/>
  </si>
  <si>
    <t>NYX.SET#aux0_opcl=close</t>
    <phoneticPr fontId="1" type="noConversion"/>
  </si>
  <si>
    <t>NYX.SET#lens_zspd=1</t>
    <phoneticPr fontId="1" type="noConversion"/>
  </si>
  <si>
    <t>NYX.SET#lens_zspd=2</t>
    <phoneticPr fontId="1" type="noConversion"/>
  </si>
  <si>
    <t>NYX.SET#lens_zspd=3</t>
    <phoneticPr fontId="1" type="noConversion"/>
  </si>
  <si>
    <t>NYX.SET#lens_zspd=4</t>
    <phoneticPr fontId="1" type="noConversion"/>
  </si>
  <si>
    <t>NYX.SET#lens_zspd=5</t>
    <phoneticPr fontId="1" type="noConversion"/>
  </si>
  <si>
    <t>NYX.SET#lens_fspd=1</t>
    <phoneticPr fontId="1" type="noConversion"/>
  </si>
  <si>
    <t>NYX.SET#lens_fspd=2</t>
    <phoneticPr fontId="1" type="noConversion"/>
  </si>
  <si>
    <t>NYX.SET#lens_fspd=3</t>
    <phoneticPr fontId="1" type="noConversion"/>
  </si>
  <si>
    <t>NYX.SET#lens_fspd=4</t>
    <phoneticPr fontId="1" type="noConversion"/>
  </si>
  <si>
    <t>NYX.SET#lens_fspd=5</t>
    <phoneticPr fontId="1" type="noConversion"/>
  </si>
  <si>
    <t>NYX.SET#lens_zctl=stop</t>
    <phoneticPr fontId="1" type="noConversion"/>
  </si>
  <si>
    <t>NYX.SET#lens_zctl=wide</t>
    <phoneticPr fontId="1" type="noConversion"/>
  </si>
  <si>
    <t>NYX.SET#lens_zctl=narrow</t>
    <phoneticPr fontId="1" type="noConversion"/>
  </si>
  <si>
    <t>NYX.SET#lens_zdir=24853</t>
    <phoneticPr fontId="1" type="noConversion"/>
  </si>
  <si>
    <t>NYX.SET#lens_fctl=stop</t>
    <phoneticPr fontId="1" type="noConversion"/>
  </si>
  <si>
    <t>NYX.SET#lens_fctl=far</t>
    <phoneticPr fontId="1" type="noConversion"/>
  </si>
  <si>
    <t>NYX.SET#lens_fctl=near</t>
    <phoneticPr fontId="1" type="noConversion"/>
  </si>
  <si>
    <t>NYX.SET#lens_fdir=-17000</t>
    <phoneticPr fontId="1" type="noConversion"/>
  </si>
  <si>
    <t>NYX.SET#lens_afex=stop</t>
    <phoneticPr fontId="1" type="noConversion"/>
  </si>
  <si>
    <t>NYX.SET#lens_afex=execute</t>
    <phoneticPr fontId="1" type="noConversion"/>
  </si>
  <si>
    <t>NYX.SET#lens_afro=full</t>
    <phoneticPr fontId="1" type="noConversion"/>
  </si>
  <si>
    <t>NYX.SET#lens_afro=3/4</t>
    <phoneticPr fontId="1" type="noConversion"/>
  </si>
  <si>
    <t>NYX.SET#lens_afro=2/4</t>
    <phoneticPr fontId="1" type="noConversion"/>
  </si>
  <si>
    <t>NYX.SET#lens_afro=1/4</t>
    <phoneticPr fontId="1" type="noConversion"/>
  </si>
  <si>
    <t>NYX.SET#lens_afmd=manual</t>
    <phoneticPr fontId="1" type="noConversion"/>
  </si>
  <si>
    <t>NYX.SET#lens_afmd=interval</t>
    <phoneticPr fontId="1" type="noConversion"/>
  </si>
  <si>
    <t>NYX.SET#lens_afmd=zoom-trigger</t>
    <phoneticPr fontId="1" type="noConversion"/>
  </si>
  <si>
    <t>NYX.SET#lens_afit=1</t>
    <phoneticPr fontId="1" type="noConversion"/>
  </si>
  <si>
    <t>NYX.SET#lens_afit=36</t>
    <phoneticPr fontId="1" type="noConversion"/>
  </si>
  <si>
    <t>NYX.SET#infr_outm=nuc</t>
    <phoneticPr fontId="1" type="noConversion"/>
  </si>
  <si>
    <t>NYX.SET#infr_outm=raw</t>
    <phoneticPr fontId="1" type="noConversion"/>
  </si>
  <si>
    <t>NYX.SET#infr_ofps=30</t>
    <phoneticPr fontId="1" type="noConversion"/>
  </si>
  <si>
    <t>NYX.SET#infr_cale=stop</t>
    <phoneticPr fontId="1" type="noConversion"/>
  </si>
  <si>
    <t>NYX.SET#infr_cale=execute</t>
    <phoneticPr fontId="1" type="noConversion"/>
  </si>
  <si>
    <t>NYX.SET#infr_calm=manual</t>
    <phoneticPr fontId="1" type="noConversion"/>
  </si>
  <si>
    <t>NYX.SET#infr_calm=interval</t>
    <phoneticPr fontId="1" type="noConversion"/>
  </si>
  <si>
    <t>NYX.SET#infr_cali=1</t>
    <phoneticPr fontId="1" type="noConversion"/>
  </si>
  <si>
    <t>NYX.SET#infr_cali=18</t>
    <phoneticPr fontId="1" type="noConversion"/>
  </si>
  <si>
    <t>NYX.SET#infr_cali=36</t>
    <phoneticPr fontId="1" type="noConversion"/>
  </si>
  <si>
    <t>NYX.SET#infr_bprs=set</t>
    <phoneticPr fontId="1" type="noConversion"/>
  </si>
  <si>
    <t>NYX.SET#infr_bprs=update</t>
    <phoneticPr fontId="1" type="noConversion"/>
  </si>
  <si>
    <t>NYX.SET#infr_bprp=</t>
    <phoneticPr fontId="1" type="noConversion"/>
  </si>
  <si>
    <t>NYX.SET#infr_nucs=low_gain</t>
    <phoneticPr fontId="1" type="noConversion"/>
  </si>
  <si>
    <t>NYX.SET#infr_nucs=high_gain</t>
    <phoneticPr fontId="1" type="noConversion"/>
  </si>
  <si>
    <t>NYX.SET#infr_nucs=calc_gain</t>
    <phoneticPr fontId="1" type="noConversion"/>
  </si>
  <si>
    <t>NYX.SET#infr_nucs=low_offset</t>
    <phoneticPr fontId="1" type="noConversion"/>
  </si>
  <si>
    <t>NYX.SET#infr_nucs=high_offset</t>
    <phoneticPr fontId="1" type="noConversion"/>
  </si>
  <si>
    <t>NYX.SET#infr_nucs=calc_offset</t>
    <phoneticPr fontId="1" type="noConversion"/>
  </si>
  <si>
    <t>NYX.SET#infr_nucs=update</t>
    <phoneticPr fontId="1" type="noConversion"/>
  </si>
  <si>
    <t>NYX.SET#infr_intt=3000</t>
    <phoneticPr fontId="1" type="noConversion"/>
  </si>
  <si>
    <t>NYX.SET#infr_intt=6000</t>
    <phoneticPr fontId="1" type="noConversion"/>
  </si>
  <si>
    <t>NYX.SET#infr_intt=9000</t>
    <phoneticPr fontId="1" type="noConversion"/>
  </si>
  <si>
    <t>NYX.SET#infr_intt=12000</t>
    <phoneticPr fontId="1" type="noConversion"/>
  </si>
  <si>
    <t>NYX.SET#infr_intt=15000</t>
    <phoneticPr fontId="1" type="noConversion"/>
  </si>
  <si>
    <t>NYX.SET#infr_intt=20000</t>
    <phoneticPr fontId="1" type="noConversion"/>
  </si>
  <si>
    <t>NYX.SET#isp0_guie=off</t>
    <phoneticPr fontId="1" type="noConversion"/>
  </si>
  <si>
    <t>NYX.SET#isp0_guie=on</t>
    <phoneticPr fontId="1" type="noConversion"/>
  </si>
  <si>
    <t>NYX.SET#isp0_guic=set</t>
    <phoneticPr fontId="1" type="noConversion"/>
  </si>
  <si>
    <t>NYX.SET#isp0_guic=up</t>
    <phoneticPr fontId="1" type="noConversion"/>
  </si>
  <si>
    <t>NYX.SET#isp0_guic=down</t>
    <phoneticPr fontId="1" type="noConversion"/>
  </si>
  <si>
    <t>NYX.SET#isp0_guic=left</t>
    <phoneticPr fontId="1" type="noConversion"/>
  </si>
  <si>
    <t>NYX.SET#isp0_guic=right</t>
    <phoneticPr fontId="1" type="noConversion"/>
  </si>
  <si>
    <t>NYX.SET#isp0_vres=720x576</t>
    <phoneticPr fontId="1" type="noConversion"/>
  </si>
  <si>
    <t>NYX.SET#isp0_vres=1280x720</t>
    <phoneticPr fontId="1" type="noConversion"/>
  </si>
  <si>
    <t>NYX.SET#isp0_vres=1280x1024</t>
    <phoneticPr fontId="1" type="noConversion"/>
  </si>
  <si>
    <t>NYX.SET#isp0_vres=1920x1080</t>
    <phoneticPr fontId="1" type="noConversion"/>
  </si>
  <si>
    <t>NYX.SET#isp0_vmod=window_box</t>
    <phoneticPr fontId="1" type="noConversion"/>
  </si>
  <si>
    <t>NYX.SET#isp0_vmod=window_box_lefttop</t>
    <phoneticPr fontId="1" type="noConversion"/>
  </si>
  <si>
    <t>NYX.SET#isp0_vmod=pillar_box</t>
    <phoneticPr fontId="1" type="noConversion"/>
  </si>
  <si>
    <t>NYX.SET#isp0_vmod=scale</t>
    <phoneticPr fontId="1" type="noConversion"/>
  </si>
  <si>
    <t>NYX.SET#isp0_vmod=crop</t>
    <phoneticPr fontId="1" type="noConversion"/>
  </si>
  <si>
    <t>NYX.SET#isp0_osdi=on</t>
    <phoneticPr fontId="1" type="noConversion"/>
  </si>
  <si>
    <t>NYX.SET#isp0_osdi=off</t>
    <phoneticPr fontId="1" type="noConversion"/>
  </si>
  <si>
    <t>NYX.SET#isp0_cenm=off</t>
    <phoneticPr fontId="1" type="noConversion"/>
  </si>
  <si>
    <t>NYX.SET#isp0_cenm=cross</t>
    <phoneticPr fontId="1" type="noConversion"/>
  </si>
  <si>
    <t>NYX.SET#isp0_cenm=circle_cross</t>
    <phoneticPr fontId="1" type="noConversion"/>
  </si>
  <si>
    <t>NYX.SET#isp0_cenm=grid_4x4</t>
    <phoneticPr fontId="1" type="noConversion"/>
  </si>
  <si>
    <t>NYX.SET#isp0_cenc=red</t>
    <phoneticPr fontId="1" type="noConversion"/>
  </si>
  <si>
    <t>NYX.SET#isp0_cenc=green</t>
    <phoneticPr fontId="1" type="noConversion"/>
  </si>
  <si>
    <t>NYX.SET#isp0_cenc=blue</t>
    <phoneticPr fontId="1" type="noConversion"/>
  </si>
  <si>
    <t>NYX.SET#isp0_cenc=yellow</t>
    <phoneticPr fontId="1" type="noConversion"/>
  </si>
  <si>
    <t>NYX.SET#isp0_3dnr=0</t>
    <phoneticPr fontId="1" type="noConversion"/>
  </si>
  <si>
    <t>NYX.SET#isp0_3dnr=50</t>
    <phoneticPr fontId="1" type="noConversion"/>
  </si>
  <si>
    <t>NYX.SET#isp0_dnrl=0</t>
    <phoneticPr fontId="1" type="noConversion"/>
  </si>
  <si>
    <t>NYX.SET#isp0_dnrl=5</t>
    <phoneticPr fontId="1" type="noConversion"/>
  </si>
  <si>
    <t>NYX.SET#isp0_dnrl=10</t>
    <phoneticPr fontId="1" type="noConversion"/>
  </si>
  <si>
    <t>NYX.SET#isp0_ddel=0</t>
    <phoneticPr fontId="1" type="noConversion"/>
  </si>
  <si>
    <t>NYX.SET#isp0_ddel=5</t>
    <phoneticPr fontId="1" type="noConversion"/>
  </si>
  <si>
    <t>NYX.SET#isp0_ddel=10</t>
    <phoneticPr fontId="1" type="noConversion"/>
  </si>
  <si>
    <t>NYX.SET#isp0_shrp=0</t>
    <phoneticPr fontId="1" type="noConversion"/>
  </si>
  <si>
    <t>NYX.SET#isp0_shrp=10</t>
    <phoneticPr fontId="1" type="noConversion"/>
  </si>
  <si>
    <t>NYX.SET#isp0_liwe=0</t>
    <phoneticPr fontId="1" type="noConversion"/>
  </si>
  <si>
    <t>NYX.SET#isp0_liwe=10</t>
    <phoneticPr fontId="1" type="noConversion"/>
  </si>
  <si>
    <t>NYX.SET#isp0_heqc=on</t>
    <phoneticPr fontId="1" type="noConversion"/>
  </si>
  <si>
    <t>NYX.SET#isp0_heqc=off</t>
    <phoneticPr fontId="1" type="noConversion"/>
  </si>
  <si>
    <t>NYX.SET#isp0_heql=0</t>
    <phoneticPr fontId="1" type="noConversion"/>
  </si>
  <si>
    <t>NYX.SET#isp0_laee=on</t>
    <phoneticPr fontId="1" type="noConversion"/>
  </si>
  <si>
    <t>NYX.SET#isp0_laee=off</t>
    <phoneticPr fontId="1" type="noConversion"/>
  </si>
  <si>
    <t>NYX.SET#isp0_gamm=0</t>
    <phoneticPr fontId="1" type="noConversion"/>
  </si>
  <si>
    <t>NYX.SET#isp0_gamm=5</t>
    <phoneticPr fontId="1" type="noConversion"/>
  </si>
  <si>
    <t>NYX.SET#isp0_gamm=10</t>
    <phoneticPr fontId="1" type="noConversion"/>
  </si>
  <si>
    <t>NYX.SET#isp0_damp=0</t>
    <phoneticPr fontId="1" type="noConversion"/>
  </si>
  <si>
    <t>NYX.SET#isp0_damp=10</t>
    <phoneticPr fontId="1" type="noConversion"/>
  </si>
  <si>
    <t>NYX.SET#isp0_cosp=plazma</t>
    <phoneticPr fontId="1" type="noConversion"/>
  </si>
  <si>
    <t>NYX.SET#isp0_cosp=rainbow</t>
    <phoneticPr fontId="1" type="noConversion"/>
  </si>
  <si>
    <t>NYX.SET#isp0_cosp=twilight</t>
    <phoneticPr fontId="1" type="noConversion"/>
  </si>
  <si>
    <t>NYX.SET#isp0_cosp=turbo</t>
    <phoneticPr fontId="1" type="noConversion"/>
  </si>
  <si>
    <t>NYX.SET#isp0_coiv=white_hot</t>
    <phoneticPr fontId="1" type="noConversion"/>
  </si>
  <si>
    <t>NYX.SET#isp0_coiv=black_hot</t>
    <phoneticPr fontId="1" type="noConversion"/>
  </si>
  <si>
    <t>NYX.SET#isp0_mirr=on</t>
    <phoneticPr fontId="1" type="noConversion"/>
  </si>
  <si>
    <t>NYX.SET#isp0_mirr=off</t>
    <phoneticPr fontId="1" type="noConversion"/>
  </si>
  <si>
    <t>NYX.SET#isp0_flip=on</t>
    <phoneticPr fontId="1" type="noConversion"/>
  </si>
  <si>
    <t>NYX.SET#isp0_flip=off</t>
    <phoneticPr fontId="1" type="noConversion"/>
  </si>
  <si>
    <t>NYX.SET#isp0_dzen=on</t>
    <phoneticPr fontId="1" type="noConversion"/>
  </si>
  <si>
    <t>NYX.SET#isp0_dzen=off</t>
    <phoneticPr fontId="1" type="noConversion"/>
  </si>
  <si>
    <t>NYX.SET#isp0_dzra=1</t>
    <phoneticPr fontId="1" type="noConversion"/>
  </si>
  <si>
    <t>NYX.SET#isp0_dzra=2</t>
    <phoneticPr fontId="1" type="noConversion"/>
  </si>
  <si>
    <t>NYX.SET#isp0_dzra=2.5</t>
    <phoneticPr fontId="1" type="noConversion"/>
  </si>
  <si>
    <t>NYX.SET#isp0_dzra=4</t>
    <phoneticPr fontId="1" type="noConversion"/>
  </si>
  <si>
    <t>NYX.SET#isp0_frob=on</t>
    <phoneticPr fontId="1" type="noConversion"/>
  </si>
  <si>
    <t>NYX.SET#isp0_frob=off</t>
    <phoneticPr fontId="1" type="noConversion"/>
  </si>
  <si>
    <t>NYX.SET#isp0_from=off</t>
    <phoneticPr fontId="1" type="noConversion"/>
  </si>
  <si>
    <t>NYX.SET#isp0_from=left</t>
    <phoneticPr fontId="1" type="noConversion"/>
  </si>
  <si>
    <t>NYX.SET#isp0_from=right</t>
    <phoneticPr fontId="1" type="noConversion"/>
  </si>
  <si>
    <t>NYX.SET#isp0_from=up</t>
    <phoneticPr fontId="1" type="noConversion"/>
  </si>
  <si>
    <t>NYX.SET#isp0_from=down</t>
    <phoneticPr fontId="1" type="noConversion"/>
  </si>
  <si>
    <t>NYX.SET#isp0_from=custom</t>
    <phoneticPr fontId="1" type="noConversion"/>
  </si>
  <si>
    <t>NYX.SET#isp0_frox=0</t>
    <phoneticPr fontId="1" type="noConversion"/>
  </si>
  <si>
    <t>NYX.SET#isp0_froy=0</t>
    <phoneticPr fontId="1" type="noConversion"/>
  </si>
  <si>
    <t>NYX.SET#isp0_frsx=1</t>
    <phoneticPr fontId="1" type="noConversion"/>
  </si>
  <si>
    <t>NYX.SET#isp0_frsx=10</t>
    <phoneticPr fontId="1" type="noConversion"/>
  </si>
  <si>
    <t>NYX.SET#isp0_frsy=1</t>
    <phoneticPr fontId="1" type="noConversion"/>
  </si>
  <si>
    <t>NYX.SET#isp0_frsy=16</t>
    <phoneticPr fontId="1" type="noConversion"/>
  </si>
  <si>
    <t>NYX.SET#isp0_frsy=32</t>
    <phoneticPr fontId="1" type="noConversion"/>
  </si>
  <si>
    <t>NYX.SET#isp0_hstd=on</t>
    <phoneticPr fontId="1" type="noConversion"/>
  </si>
  <si>
    <t>NYX.SET#isp0_hstd=off</t>
    <phoneticPr fontId="1" type="noConversion"/>
  </si>
  <si>
    <t>NYX.SET#isp0_aint=on</t>
    <phoneticPr fontId="1" type="noConversion"/>
  </si>
  <si>
    <t>NYX.SET#isp0_aint=off</t>
    <phoneticPr fontId="1" type="noConversion"/>
  </si>
  <si>
    <t>NYX.SET#isp0_aheq=off</t>
    <phoneticPr fontId="1" type="noConversion"/>
  </si>
  <si>
    <t>NYX.SET#isp0_aheq=mode1</t>
    <phoneticPr fontId="1" type="noConversion"/>
  </si>
  <si>
    <t>NYX.SET#isp0_aheq=mode2</t>
    <phoneticPr fontId="1" type="noConversion"/>
  </si>
  <si>
    <t>NYX.SET#isp0_agcm=default</t>
    <phoneticPr fontId="1" type="noConversion"/>
  </si>
  <si>
    <t>NYX.SET#isp0_agcm=non_linear_agc</t>
    <phoneticPr fontId="1" type="noConversion"/>
  </si>
  <si>
    <t>NYX.SET#isp0_agcm=linear_agc</t>
    <phoneticPr fontId="1" type="noConversion"/>
  </si>
  <si>
    <t>NYX.SET#isp0_agcm=custom_agc</t>
    <phoneticPr fontId="1" type="noConversion"/>
  </si>
  <si>
    <t>NYX.SET#isp0_agcm=legacy_agc</t>
    <phoneticPr fontId="1" type="noConversion"/>
  </si>
  <si>
    <t>NYX.SET#isp0_agcl=1</t>
    <phoneticPr fontId="1" type="noConversion"/>
  </si>
  <si>
    <t>NYX.SET#isp0_agcl=15</t>
    <phoneticPr fontId="1" type="noConversion"/>
  </si>
  <si>
    <t>NYX.SET#isp0_agcl=30</t>
    <phoneticPr fontId="1" type="noConversion"/>
  </si>
  <si>
    <t>NYX.SET#isp0_fgui=on</t>
    <phoneticPr fontId="1" type="noConversion"/>
  </si>
  <si>
    <t>NYX.SET#isp0_fgui=off</t>
    <phoneticPr fontId="1" type="noConversion"/>
  </si>
  <si>
    <t>NYX.SET#isp0_bprh=on</t>
    <phoneticPr fontId="1" type="noConversion"/>
  </si>
  <si>
    <t>NYX.SET#isp0_bprh=off</t>
    <phoneticPr fontId="1" type="noConversion"/>
  </si>
  <si>
    <t>NYX.SET#isp0_nucs=on</t>
    <phoneticPr fontId="1" type="noConversion"/>
  </si>
  <si>
    <t>NYX.SET#isp0_nucs=off</t>
    <phoneticPr fontId="1" type="noConversion"/>
  </si>
  <si>
    <t>NYX.SET#isp0_bprt=1</t>
    <phoneticPr fontId="1" type="noConversion"/>
  </si>
  <si>
    <t>NYX.SET#isp0_bprt=50</t>
    <phoneticPr fontId="1" type="noConversion"/>
  </si>
  <si>
    <t>NYX.SET#isp0_bprc=1</t>
    <phoneticPr fontId="1" type="noConversion"/>
  </si>
  <si>
    <t>NYX.SET#isp0_bprc=20</t>
    <phoneticPr fontId="1" type="noConversion"/>
  </si>
  <si>
    <t>NYX.SET#infr_inta=100</t>
    <phoneticPr fontId="1" type="noConversion"/>
  </si>
  <si>
    <t>OSD Off</t>
    <phoneticPr fontId="1" type="noConversion"/>
  </si>
  <si>
    <t>OSD On</t>
    <phoneticPr fontId="1" type="noConversion"/>
  </si>
  <si>
    <t>AGC -&gt; Liner Weight</t>
    <phoneticPr fontId="1" type="noConversion"/>
  </si>
  <si>
    <t>AGC -&gt; Custom -&gt; HEQ Compress</t>
    <phoneticPr fontId="1" type="noConversion"/>
  </si>
  <si>
    <t>AGC -&gt; Custom -&gt; HEQ Limit</t>
    <phoneticPr fontId="1" type="noConversion"/>
  </si>
  <si>
    <t>AGC -&gt; Custom -&gt; LAE</t>
    <phoneticPr fontId="1" type="noConversion"/>
  </si>
  <si>
    <t>AGC -&gt; Custom -&gt; Gamma</t>
    <phoneticPr fontId="1" type="noConversion"/>
  </si>
  <si>
    <t>AGC -&gt; Custom -&gt; Damping</t>
    <phoneticPr fontId="1" type="noConversion"/>
  </si>
  <si>
    <t>D-Zoom Ratio</t>
    <phoneticPr fontId="1" type="noConversion"/>
  </si>
  <si>
    <t>Image -&gt; FIlter ROI Draw</t>
    <phoneticPr fontId="1" type="noConversion"/>
  </si>
  <si>
    <t>Image -&gt; FIlter ROI</t>
    <phoneticPr fontId="1" type="noConversion"/>
  </si>
  <si>
    <t>Filter ROI Offset x</t>
    <phoneticPr fontId="1" type="noConversion"/>
  </si>
  <si>
    <t>Setting -&gt; Histogram Draw</t>
    <phoneticPr fontId="1" type="noConversion"/>
  </si>
  <si>
    <t>Setting -&gt; Auto Int Time</t>
    <phoneticPr fontId="1" type="noConversion"/>
  </si>
  <si>
    <t>AGC -&gt; Custom -&gt; Adaptive HEQ</t>
    <phoneticPr fontId="1" type="noConversion"/>
  </si>
  <si>
    <t>AGC -&gt; AGC Mode</t>
    <phoneticPr fontId="1" type="noConversion"/>
  </si>
  <si>
    <t>AGC -&gt; Legacy -&gt; Legacy Limit</t>
    <phoneticPr fontId="1" type="noConversion"/>
  </si>
  <si>
    <t>Factory Menu</t>
    <phoneticPr fontId="1" type="noConversion"/>
  </si>
  <si>
    <t>BPR -&gt; Show Bad Pixel</t>
    <phoneticPr fontId="1" type="noConversion"/>
  </si>
  <si>
    <t>NUC -&gt; NUC Cut Enable</t>
    <phoneticPr fontId="1" type="noConversion"/>
  </si>
  <si>
    <t>BPR -&gt; BPR Threshold</t>
    <phoneticPr fontId="1" type="noConversion"/>
  </si>
  <si>
    <t>BPR -&gt; BPR Count</t>
    <phoneticPr fontId="1" type="noConversion"/>
  </si>
  <si>
    <t>NUC -&gt; Integral Time</t>
    <phoneticPr fontId="1" type="noConversion"/>
  </si>
  <si>
    <t>alm0_opcl</t>
    <phoneticPr fontId="1" type="noConversion"/>
  </si>
  <si>
    <t>alm0_nonc=open</t>
    <phoneticPr fontId="1" type="noConversion"/>
  </si>
  <si>
    <t>alm0_nonc=close</t>
    <phoneticPr fontId="1" type="noConversion"/>
  </si>
  <si>
    <t>aux0_nonc=open</t>
    <phoneticPr fontId="1" type="noConversion"/>
  </si>
  <si>
    <t>aux0_nonc=close</t>
    <phoneticPr fontId="1" type="noConversion"/>
  </si>
  <si>
    <t>aux0_opcl=open</t>
    <phoneticPr fontId="1" type="noConversion"/>
  </si>
  <si>
    <t>aux0_opcl=close</t>
    <phoneticPr fontId="1" type="noConversion"/>
  </si>
  <si>
    <t>infr_nucs=low_gain</t>
    <phoneticPr fontId="1" type="noConversion"/>
  </si>
  <si>
    <t>infr_nucs=high_gain</t>
    <phoneticPr fontId="1" type="noConversion"/>
  </si>
  <si>
    <t>infr_nucs=calc_gain</t>
    <phoneticPr fontId="1" type="noConversion"/>
  </si>
  <si>
    <t>infr_nucs=low_offset</t>
    <phoneticPr fontId="1" type="noConversion"/>
  </si>
  <si>
    <t>infr_nucs=high_offset</t>
    <phoneticPr fontId="1" type="noConversion"/>
  </si>
  <si>
    <t>infr_nucs=calc_offset</t>
    <phoneticPr fontId="1" type="noConversion"/>
  </si>
  <si>
    <t>infr_nucs=update</t>
    <phoneticPr fontId="1" type="noConversion"/>
  </si>
  <si>
    <t>NYX.SET#isp0_cosp=twilight_shifted</t>
    <phoneticPr fontId="1" type="noConversion"/>
  </si>
  <si>
    <t>NYX.SET#isp0_dzra=8</t>
    <phoneticPr fontId="1" type="noConversion"/>
  </si>
  <si>
    <t>Rev.2024.02.05</t>
  </si>
  <si>
    <t>FF01E021000002</t>
  </si>
  <si>
    <t>FF01E022000003</t>
  </si>
  <si>
    <t>FF01E023000004</t>
  </si>
  <si>
    <t>FF01E024000005</t>
  </si>
  <si>
    <t>FF01E025000006</t>
  </si>
  <si>
    <t>FF010000000001</t>
  </si>
  <si>
    <t>FF010040000041</t>
  </si>
  <si>
    <t>FF010020000021</t>
  </si>
  <si>
    <t>FF010080000081</t>
  </si>
  <si>
    <t>FF010100000002</t>
  </si>
  <si>
    <t>FF01015500045B</t>
  </si>
  <si>
    <t>FF01A100000000</t>
  </si>
  <si>
    <t>name</t>
    <phoneticPr fontId="1" type="noConversion"/>
  </si>
  <si>
    <t>udp port</t>
    <phoneticPr fontId="1" type="noConversion"/>
  </si>
  <si>
    <t>tcp port</t>
    <phoneticPr fontId="1" type="noConversion"/>
  </si>
  <si>
    <t>gyro port</t>
    <phoneticPr fontId="1" type="noConversion"/>
  </si>
  <si>
    <t>rtsp add</t>
    <phoneticPr fontId="1" type="noConversion"/>
  </si>
  <si>
    <t>boot percent</t>
    <phoneticPr fontId="1" type="noConversion"/>
  </si>
  <si>
    <t>detect type</t>
    <phoneticPr fontId="1" type="noConversion"/>
  </si>
  <si>
    <t>cool run time</t>
    <phoneticPr fontId="1" type="noConversion"/>
  </si>
  <si>
    <t>response is minute</t>
    <phoneticPr fontId="1" type="noConversion"/>
  </si>
  <si>
    <t>model type</t>
    <phoneticPr fontId="1" type="noConversion"/>
  </si>
  <si>
    <t>system version</t>
    <phoneticPr fontId="1" type="noConversion"/>
  </si>
  <si>
    <t>system status</t>
    <phoneticPr fontId="1" type="noConversion"/>
  </si>
  <si>
    <t>system temperature</t>
    <phoneticPr fontId="1" type="noConversion"/>
  </si>
  <si>
    <t>fan0 status</t>
    <phoneticPr fontId="1" type="noConversion"/>
  </si>
  <si>
    <t>initialize</t>
    <phoneticPr fontId="1" type="noConversion"/>
  </si>
  <si>
    <t>factory</t>
    <phoneticPr fontId="1" type="noConversion"/>
  </si>
  <si>
    <t>save</t>
    <phoneticPr fontId="1" type="noConversion"/>
  </si>
  <si>
    <t>reboot</t>
    <phoneticPr fontId="1" type="noConversion"/>
  </si>
  <si>
    <t>fan1 status</t>
    <phoneticPr fontId="1" type="noConversion"/>
  </si>
  <si>
    <t>NYX.GET#fan1_stat</t>
    <phoneticPr fontId="1" type="noConversion"/>
  </si>
  <si>
    <t>baud=9600</t>
    <phoneticPr fontId="1" type="noConversion"/>
  </si>
  <si>
    <t>baud=19200</t>
    <phoneticPr fontId="1" type="noConversion"/>
  </si>
  <si>
    <t>baud=38400</t>
    <phoneticPr fontId="1" type="noConversion"/>
  </si>
  <si>
    <t>baud=57600</t>
    <phoneticPr fontId="1" type="noConversion"/>
  </si>
  <si>
    <t>baud=115200</t>
    <phoneticPr fontId="1" type="noConversion"/>
  </si>
  <si>
    <t>Default</t>
    <phoneticPr fontId="1" type="noConversion"/>
  </si>
  <si>
    <t>lens type</t>
    <phoneticPr fontId="1" type="noConversion"/>
  </si>
  <si>
    <t>Bad/Ready</t>
    <phoneticPr fontId="1" type="noConversion"/>
  </si>
  <si>
    <t>lens temperature</t>
    <phoneticPr fontId="1" type="noConversion"/>
  </si>
  <si>
    <t>lens status</t>
    <phoneticPr fontId="1" type="noConversion"/>
  </si>
  <si>
    <t>lens fnum</t>
    <phoneticPr fontId="1" type="noConversion"/>
  </si>
  <si>
    <t>lens wide/tele mm</t>
    <phoneticPr fontId="1" type="noConversion"/>
  </si>
  <si>
    <t>lens wide/tele encoder</t>
    <phoneticPr fontId="1" type="noConversion"/>
  </si>
  <si>
    <t>lens fov</t>
    <phoneticPr fontId="1" type="noConversion"/>
  </si>
  <si>
    <t>lens current fov</t>
    <phoneticPr fontId="1" type="noConversion"/>
  </si>
  <si>
    <t>infr stat</t>
    <phoneticPr fontId="1" type="noConversion"/>
  </si>
  <si>
    <t>infr f number</t>
    <phoneticPr fontId="1" type="noConversion"/>
  </si>
  <si>
    <t>infr run time</t>
    <phoneticPr fontId="1" type="noConversion"/>
  </si>
  <si>
    <t>infr array size</t>
    <phoneticPr fontId="1" type="noConversion"/>
  </si>
  <si>
    <t>640/512</t>
    <phoneticPr fontId="1" type="noConversion"/>
  </si>
  <si>
    <t>infr temperature K</t>
    <phoneticPr fontId="1" type="noConversion"/>
  </si>
  <si>
    <t>NYX.SET#infr_ofps=25</t>
    <phoneticPr fontId="1" type="noConversion"/>
  </si>
  <si>
    <t>NYX.SET#infr_bprm=off</t>
    <phoneticPr fontId="1" type="noConversion"/>
  </si>
  <si>
    <t>NYX.SET#infr_bprm=on</t>
    <phoneticPr fontId="1" type="noConversion"/>
  </si>
  <si>
    <t>NYX.SET#infr_bprf=set</t>
    <phoneticPr fontId="1" type="noConversion"/>
  </si>
  <si>
    <t>NYX.SET#infr_bprf=clear</t>
    <phoneticPr fontId="1" type="noConversion"/>
  </si>
  <si>
    <t>non iCP Detector</t>
    <phoneticPr fontId="1" type="noConversion"/>
  </si>
  <si>
    <t>NYX.SET#infr_bprf=update</t>
    <phoneticPr fontId="1" type="noConversion"/>
  </si>
  <si>
    <t>NYX.SET#infr_bprf=clear all</t>
    <phoneticPr fontId="1" type="noConversion"/>
  </si>
  <si>
    <t>NYX.SET#infr_bprf=auto1</t>
    <phoneticPr fontId="1" type="noConversion"/>
  </si>
  <si>
    <t>NYX.SET#infr_bprf=auto2</t>
    <phoneticPr fontId="1" type="noConversion"/>
  </si>
  <si>
    <t xml:space="preserve">bad pixel position x, y </t>
    <phoneticPr fontId="1" type="noConversion"/>
  </si>
  <si>
    <t>NYX.GET#infr_nucm=mode1</t>
    <phoneticPr fontId="1" type="noConversion"/>
  </si>
  <si>
    <t>NYX.GET#infr_nucm=mode2</t>
  </si>
  <si>
    <t>NYX.GET#infr_nucm=mode3</t>
  </si>
  <si>
    <t>NYX.GET#infr_nucm=mode4</t>
  </si>
  <si>
    <t>NYX.SET#infr_inta=6000</t>
    <phoneticPr fontId="1" type="noConversion"/>
  </si>
  <si>
    <t>NYX.SET#infr_inta=25000</t>
    <phoneticPr fontId="1" type="noConversion"/>
  </si>
  <si>
    <t>isp0 version</t>
    <phoneticPr fontId="1" type="noConversion"/>
  </si>
  <si>
    <t>isp0 Status</t>
    <phoneticPr fontId="1" type="noConversion"/>
  </si>
  <si>
    <t>osd off</t>
    <phoneticPr fontId="1" type="noConversion"/>
  </si>
  <si>
    <t>osd on</t>
    <phoneticPr fontId="1" type="noConversion"/>
  </si>
  <si>
    <t>osd set</t>
    <phoneticPr fontId="1" type="noConversion"/>
  </si>
  <si>
    <t>osd up</t>
    <phoneticPr fontId="1" type="noConversion"/>
  </si>
  <si>
    <t>osd down</t>
    <phoneticPr fontId="1" type="noConversion"/>
  </si>
  <si>
    <t>osd left</t>
    <phoneticPr fontId="1" type="noConversion"/>
  </si>
  <si>
    <t>osd right</t>
    <phoneticPr fontId="1" type="noConversion"/>
  </si>
  <si>
    <t>osd information on</t>
    <phoneticPr fontId="1" type="noConversion"/>
  </si>
  <si>
    <t>osd information off</t>
    <phoneticPr fontId="1" type="noConversion"/>
  </si>
  <si>
    <t>center mark off</t>
    <phoneticPr fontId="1" type="noConversion"/>
  </si>
  <si>
    <t>center mark cross</t>
    <phoneticPr fontId="1" type="noConversion"/>
  </si>
  <si>
    <t>center mark circle cross</t>
    <phoneticPr fontId="1" type="noConversion"/>
  </si>
  <si>
    <t>center mark grid_4x4</t>
    <phoneticPr fontId="1" type="noConversion"/>
  </si>
  <si>
    <t>center mark color red</t>
    <phoneticPr fontId="1" type="noConversion"/>
  </si>
  <si>
    <t>center mark color green</t>
    <phoneticPr fontId="1" type="noConversion"/>
  </si>
  <si>
    <t>center mark color blue</t>
    <phoneticPr fontId="1" type="noConversion"/>
  </si>
  <si>
    <t>center mark color yellow</t>
    <phoneticPr fontId="1" type="noConversion"/>
  </si>
  <si>
    <t>3dnr 0</t>
    <phoneticPr fontId="1" type="noConversion"/>
  </si>
  <si>
    <t>3dnr 5</t>
    <phoneticPr fontId="1" type="noConversion"/>
  </si>
  <si>
    <t>3dnr 50</t>
    <phoneticPr fontId="1" type="noConversion"/>
  </si>
  <si>
    <t>NYX.SET#isp0_3dnr=5</t>
    <phoneticPr fontId="1" type="noConversion"/>
  </si>
  <si>
    <t>dnr 0</t>
    <phoneticPr fontId="1" type="noConversion"/>
  </si>
  <si>
    <t>dnr 5</t>
    <phoneticPr fontId="1" type="noConversion"/>
  </si>
  <si>
    <t>dnr 10</t>
    <phoneticPr fontId="1" type="noConversion"/>
  </si>
  <si>
    <t>dde 0</t>
    <phoneticPr fontId="1" type="noConversion"/>
  </si>
  <si>
    <t>dde 5</t>
    <phoneticPr fontId="1" type="noConversion"/>
  </si>
  <si>
    <t>dde 10</t>
    <phoneticPr fontId="1" type="noConversion"/>
  </si>
  <si>
    <t>sharpness 0</t>
    <phoneticPr fontId="1" type="noConversion"/>
  </si>
  <si>
    <t>sharpness 10</t>
    <phoneticPr fontId="1" type="noConversion"/>
  </si>
  <si>
    <t>sharpness 3</t>
    <phoneticPr fontId="1" type="noConversion"/>
  </si>
  <si>
    <t>NYX.SET#isp0_shrp=3</t>
    <phoneticPr fontId="1" type="noConversion"/>
  </si>
  <si>
    <t>NYX.SET#isp0_liwe=2</t>
    <phoneticPr fontId="1" type="noConversion"/>
  </si>
  <si>
    <t>NYX.SET#isp0_heql=25</t>
    <phoneticPr fontId="1" type="noConversion"/>
  </si>
  <si>
    <t>NYX.SET#isp0_heql=45</t>
    <phoneticPr fontId="1" type="noConversion"/>
  </si>
  <si>
    <t>NYX.SET#isp0_damp=2</t>
    <phoneticPr fontId="1" type="noConversion"/>
  </si>
  <si>
    <t>Image -&gt; Color Space
Default</t>
    <phoneticPr fontId="1" type="noConversion"/>
  </si>
  <si>
    <t>mirror on</t>
    <phoneticPr fontId="1" type="noConversion"/>
  </si>
  <si>
    <t>mirror off</t>
    <phoneticPr fontId="1" type="noConversion"/>
  </si>
  <si>
    <t>flip on</t>
    <phoneticPr fontId="1" type="noConversion"/>
  </si>
  <si>
    <t>flip off</t>
    <phoneticPr fontId="1" type="noConversion"/>
  </si>
  <si>
    <t>d-zoom on</t>
    <phoneticPr fontId="1" type="noConversion"/>
  </si>
  <si>
    <t>d-zoom off</t>
    <phoneticPr fontId="1" type="noConversion"/>
  </si>
  <si>
    <t>d-zoom x1</t>
    <phoneticPr fontId="1" type="noConversion"/>
  </si>
  <si>
    <t>d-zoom x2</t>
    <phoneticPr fontId="1" type="noConversion"/>
  </si>
  <si>
    <t>d-zoom x2.5</t>
    <phoneticPr fontId="1" type="noConversion"/>
  </si>
  <si>
    <t>d-zoom x4</t>
    <phoneticPr fontId="1" type="noConversion"/>
  </si>
  <si>
    <t>d-zoom x8</t>
    <phoneticPr fontId="1" type="noConversion"/>
  </si>
  <si>
    <t>D-Zoom on/off</t>
    <phoneticPr fontId="1" type="noConversion"/>
  </si>
  <si>
    <t>NYX.SET#isp0_frox=1</t>
    <phoneticPr fontId="1" type="noConversion"/>
  </si>
  <si>
    <t>NYX.SET#isp0_frox=20</t>
    <phoneticPr fontId="1" type="noConversion"/>
  </si>
  <si>
    <t>NYX.SET#isp0_frox=10</t>
    <phoneticPr fontId="1" type="noConversion"/>
  </si>
  <si>
    <t>1280 only</t>
    <phoneticPr fontId="1" type="noConversion"/>
  </si>
  <si>
    <t>NYX.SET#isp0_froy=8</t>
    <phoneticPr fontId="1" type="noConversion"/>
  </si>
  <si>
    <t>NYX.SET#isp0_froy=32</t>
    <phoneticPr fontId="1" type="noConversion"/>
  </si>
  <si>
    <t>NYX.SET#isp0_froy=64</t>
    <phoneticPr fontId="1" type="noConversion"/>
  </si>
  <si>
    <t>NYX.SET#isp0_frsx=8</t>
    <phoneticPr fontId="1" type="noConversion"/>
  </si>
  <si>
    <t>histogram draw on</t>
    <phoneticPr fontId="1" type="noConversion"/>
  </si>
  <si>
    <t>histogram draw off</t>
    <phoneticPr fontId="1" type="noConversion"/>
  </si>
  <si>
    <t>NYX.SET#isp0_logo=on</t>
    <phoneticPr fontId="1" type="noConversion"/>
  </si>
  <si>
    <t>NYX.SET#isp0_logo=off</t>
    <phoneticPr fontId="1" type="noConversion"/>
  </si>
  <si>
    <t>logo on</t>
    <phoneticPr fontId="1" type="noConversion"/>
  </si>
  <si>
    <t>logo off</t>
    <phoneticPr fontId="1" type="noConversion"/>
  </si>
  <si>
    <t>auto integral time off</t>
    <phoneticPr fontId="1" type="noConversion"/>
  </si>
  <si>
    <t>adaptive HEQ mode mode1</t>
    <phoneticPr fontId="1" type="noConversion"/>
  </si>
  <si>
    <t>adaptive HEQ mode mode2</t>
    <phoneticPr fontId="1" type="noConversion"/>
  </si>
  <si>
    <t>agc mode non_linear_agc</t>
    <phoneticPr fontId="1" type="noConversion"/>
  </si>
  <si>
    <t>agc mode linear_agc</t>
    <phoneticPr fontId="1" type="noConversion"/>
  </si>
  <si>
    <t>agc mode custom_agc</t>
    <phoneticPr fontId="1" type="noConversion"/>
  </si>
  <si>
    <t>agc mode legacy_agc</t>
    <phoneticPr fontId="1" type="noConversion"/>
  </si>
  <si>
    <t>agc legacy limit 15</t>
    <phoneticPr fontId="1" type="noConversion"/>
  </si>
  <si>
    <t>agc legacy limit 30</t>
    <phoneticPr fontId="1" type="noConversion"/>
  </si>
  <si>
    <t>factory menu on</t>
    <phoneticPr fontId="1" type="noConversion"/>
  </si>
  <si>
    <t>factory menu off</t>
    <phoneticPr fontId="1" type="noConversion"/>
  </si>
  <si>
    <t>bad pixel highlight off</t>
    <phoneticPr fontId="1" type="noConversion"/>
  </si>
  <si>
    <t>auto bad pixel threshold 30</t>
    <phoneticPr fontId="1" type="noConversion"/>
  </si>
  <si>
    <t>auto bad pixel threshold 50</t>
    <phoneticPr fontId="1" type="noConversion"/>
  </si>
  <si>
    <t>NYX.SET#isp0_bprt=30</t>
    <phoneticPr fontId="1" type="noConversion"/>
  </si>
  <si>
    <t>auto bad pixel same count 5</t>
    <phoneticPr fontId="1" type="noConversion"/>
  </si>
  <si>
    <t>auto bad pixel same count 20</t>
    <phoneticPr fontId="1" type="noConversion"/>
  </si>
  <si>
    <t>NYX.SET#isp0_bprc=5</t>
    <phoneticPr fontId="1" type="noConversion"/>
  </si>
  <si>
    <t>nuc saturation cut off</t>
    <phoneticPr fontId="1" type="noConversion"/>
  </si>
  <si>
    <t>lens zoom position</t>
    <phoneticPr fontId="1" type="noConversion"/>
  </si>
  <si>
    <t>lens focus position</t>
    <phoneticPr fontId="1" type="noConversion"/>
  </si>
  <si>
    <t>system upgrade</t>
    <phoneticPr fontId="1" type="noConversion"/>
  </si>
  <si>
    <t>not use</t>
    <phoneticPr fontId="1" type="noConversion"/>
  </si>
  <si>
    <t>NYX.SET#lens_zdir=17703</t>
    <phoneticPr fontId="1" type="noConversion"/>
  </si>
  <si>
    <t>NYX.SET#lens_zdir=33190</t>
    <phoneticPr fontId="1" type="noConversion"/>
  </si>
  <si>
    <t>NYX.SET#lens_zdir=16003</t>
    <phoneticPr fontId="1" type="noConversion"/>
  </si>
  <si>
    <t>NYX.SET#lens_zdir=33704</t>
    <phoneticPr fontId="1" type="noConversion"/>
  </si>
  <si>
    <t>C-OPF50200275SD</t>
    <phoneticPr fontId="1" type="noConversion"/>
  </si>
  <si>
    <t>NYX.SET#lens_zdir=19691</t>
    <phoneticPr fontId="1" type="noConversion"/>
  </si>
  <si>
    <t>C-OPF50300385SD</t>
    <phoneticPr fontId="1" type="noConversion"/>
  </si>
  <si>
    <t>0~639, 0~511</t>
    <phoneticPr fontId="1" type="noConversion"/>
  </si>
  <si>
    <t>Name</t>
  </si>
  <si>
    <t>http port</t>
    <phoneticPr fontId="1" type="noConversion"/>
  </si>
  <si>
    <t>lens focus encoder</t>
    <phoneticPr fontId="1" type="noConversion"/>
  </si>
  <si>
    <t>Get/Post</t>
    <phoneticPr fontId="1" type="noConversion"/>
  </si>
  <si>
    <t>zoom spd=1</t>
    <phoneticPr fontId="1" type="noConversion"/>
  </si>
  <si>
    <t>zoom spd=2</t>
    <phoneticPr fontId="1" type="noConversion"/>
  </si>
  <si>
    <t xml:space="preserve"> zoom spd=3</t>
  </si>
  <si>
    <t xml:space="preserve"> zoom spd=4</t>
  </si>
  <si>
    <t xml:space="preserve"> zoom spd=5</t>
  </si>
  <si>
    <t xml:space="preserve"> focus spd=1</t>
  </si>
  <si>
    <t xml:space="preserve"> focus spd=2</t>
  </si>
  <si>
    <t xml:space="preserve"> focus spd=3</t>
  </si>
  <si>
    <t xml:space="preserve"> focus spd=4</t>
  </si>
  <si>
    <t xml:space="preserve"> focus spd=5</t>
  </si>
  <si>
    <t xml:space="preserve"> focus far</t>
  </si>
  <si>
    <t xml:space="preserve"> focus near</t>
  </si>
  <si>
    <t xml:space="preserve"> af stop</t>
  </si>
  <si>
    <t xml:space="preserve"> af execute</t>
  </si>
  <si>
    <t xml:space="preserve"> af roi full</t>
  </si>
  <si>
    <t xml:space="preserve"> af roi 3/4</t>
  </si>
  <si>
    <t xml:space="preserve"> af roi 2/4</t>
  </si>
  <si>
    <t xml:space="preserve"> af roi 1/4</t>
  </si>
  <si>
    <t xml:space="preserve"> af interval 10 m</t>
  </si>
  <si>
    <t xml:space="preserve"> af interval 360 m</t>
  </si>
  <si>
    <t xml:space="preserve"> output mode nuc</t>
  </si>
  <si>
    <t xml:space="preserve"> output mode raw</t>
  </si>
  <si>
    <t xml:space="preserve"> calibration stop</t>
  </si>
  <si>
    <t xml:space="preserve"> calibration exe</t>
  </si>
  <si>
    <t xml:space="preserve"> integral time 3000</t>
  </si>
  <si>
    <t xml:space="preserve"> integral time 6000</t>
  </si>
  <si>
    <t xml:space="preserve"> integral time 9000</t>
  </si>
  <si>
    <t xml:space="preserve"> integral time 12000</t>
  </si>
  <si>
    <t xml:space="preserve"> integral time 15000</t>
  </si>
  <si>
    <t xml:space="preserve"> integral time 20000</t>
  </si>
  <si>
    <t xml:space="preserve"> integral time fine control 6000</t>
  </si>
  <si>
    <t xml:space="preserve"> integral time fine control 25000</t>
  </si>
  <si>
    <t xml:space="preserve"> 720x576</t>
  </si>
  <si>
    <t xml:space="preserve"> 1280x720</t>
  </si>
  <si>
    <t xml:space="preserve"> 1280x1024</t>
  </si>
  <si>
    <t xml:space="preserve"> 1920x1080</t>
  </si>
  <si>
    <t xml:space="preserve"> window_box</t>
  </si>
  <si>
    <t xml:space="preserve"> window_box_lefttop</t>
  </si>
  <si>
    <t xml:space="preserve"> pillar_box</t>
  </si>
  <si>
    <t xml:space="preserve"> scale</t>
  </si>
  <si>
    <t xml:space="preserve"> crop</t>
  </si>
  <si>
    <t xml:space="preserve"> linear percent 0</t>
  </si>
  <si>
    <t xml:space="preserve"> linear percent 2</t>
  </si>
  <si>
    <t xml:space="preserve"> linear percent 10</t>
  </si>
  <si>
    <t xml:space="preserve"> heq compress on</t>
  </si>
  <si>
    <t xml:space="preserve"> heq compress off</t>
  </si>
  <si>
    <t xml:space="preserve"> heq limit percent 0</t>
  </si>
  <si>
    <t xml:space="preserve"> heq limit percent 25</t>
  </si>
  <si>
    <t xml:space="preserve"> heq limit percent 45</t>
  </si>
  <si>
    <t>gamma 0</t>
    <phoneticPr fontId="1" type="noConversion"/>
  </si>
  <si>
    <t>gamma 5</t>
    <phoneticPr fontId="1" type="noConversion"/>
  </si>
  <si>
    <t>gamma 10</t>
    <phoneticPr fontId="1" type="noConversion"/>
  </si>
  <si>
    <t>damping 0</t>
    <phoneticPr fontId="1" type="noConversion"/>
  </si>
  <si>
    <t>damping 2</t>
    <phoneticPr fontId="1" type="noConversion"/>
  </si>
  <si>
    <t>damping 10</t>
    <phoneticPr fontId="1" type="noConversion"/>
  </si>
  <si>
    <t>gray</t>
  </si>
  <si>
    <t>iron</t>
  </si>
  <si>
    <t>plazma</t>
  </si>
  <si>
    <t>rainbow</t>
  </si>
  <si>
    <t>twilight</t>
  </si>
  <si>
    <t>turbo</t>
  </si>
  <si>
    <t>white hot</t>
    <phoneticPr fontId="1" type="noConversion"/>
  </si>
  <si>
    <t>black hot</t>
    <phoneticPr fontId="1" type="noConversion"/>
  </si>
  <si>
    <t>roi box on</t>
  </si>
  <si>
    <t>roi box off</t>
  </si>
  <si>
    <t>roi mode off</t>
  </si>
  <si>
    <t>roi mode left</t>
  </si>
  <si>
    <t>roi mode right</t>
  </si>
  <si>
    <t>roi mode up</t>
  </si>
  <si>
    <t>roi mode down</t>
  </si>
  <si>
    <t>roi mode custom</t>
  </si>
  <si>
    <t>roi custom mode x 0</t>
  </si>
  <si>
    <t>roi custom mode x 1</t>
  </si>
  <si>
    <t>roi custom mode x 10</t>
  </si>
  <si>
    <t>roi custom mode x 20</t>
  </si>
  <si>
    <t>roi custom mode y 0</t>
  </si>
  <si>
    <t>roi custom mode y 8</t>
  </si>
  <si>
    <t>roi custom mode y 32</t>
  </si>
  <si>
    <t>roi custom mode y 64</t>
  </si>
  <si>
    <t>roi custom mode x size1</t>
  </si>
  <si>
    <t>roi custom mode x size8</t>
  </si>
  <si>
    <t>roi custom mode x size10</t>
  </si>
  <si>
    <t>roi custom mode x size20</t>
  </si>
  <si>
    <t>roi custom mode y size1</t>
  </si>
  <si>
    <t>roi custom mode y size16</t>
  </si>
  <si>
    <t>roi custom mode y size 32</t>
  </si>
  <si>
    <t>roi custom mode y size 64</t>
  </si>
  <si>
    <t>auto integral time on</t>
    <phoneticPr fontId="1" type="noConversion"/>
  </si>
  <si>
    <t>adaptive HEQ mode off</t>
    <phoneticPr fontId="1" type="noConversion"/>
  </si>
  <si>
    <t>agc mode default</t>
    <phoneticPr fontId="1" type="noConversion"/>
  </si>
  <si>
    <t>agc legacy limit 1</t>
    <phoneticPr fontId="1" type="noConversion"/>
  </si>
  <si>
    <t>bad pixel highlight on</t>
    <phoneticPr fontId="1" type="noConversion"/>
  </si>
  <si>
    <t>auto bad pixel threshold 1</t>
    <phoneticPr fontId="1" type="noConversion"/>
  </si>
  <si>
    <t>auto bad pixel same count 1</t>
    <phoneticPr fontId="1" type="noConversion"/>
  </si>
  <si>
    <t>nuc saturation cut on</t>
    <phoneticPr fontId="1" type="noConversion"/>
  </si>
  <si>
    <t>lae on</t>
    <phoneticPr fontId="1" type="noConversion"/>
  </si>
  <si>
    <t>lae off</t>
    <phoneticPr fontId="1" type="noConversion"/>
  </si>
  <si>
    <t>twilight shifted</t>
    <phoneticPr fontId="1" type="noConversion"/>
  </si>
  <si>
    <t xml:space="preserve"> integral time fine control 100</t>
    <phoneticPr fontId="1" type="noConversion"/>
  </si>
  <si>
    <t>nuc mode 1</t>
    <phoneticPr fontId="1" type="noConversion"/>
  </si>
  <si>
    <t>nuc mode 2</t>
    <phoneticPr fontId="1" type="noConversion"/>
  </si>
  <si>
    <t>nuc mode 3</t>
    <phoneticPr fontId="1" type="noConversion"/>
  </si>
  <si>
    <t>nuc mode 4</t>
    <phoneticPr fontId="1" type="noConversion"/>
  </si>
  <si>
    <t>bpr set</t>
    <phoneticPr fontId="1" type="noConversion"/>
  </si>
  <si>
    <t>bpr update</t>
    <phoneticPr fontId="1" type="noConversion"/>
  </si>
  <si>
    <t>bpr factory set</t>
    <phoneticPr fontId="1" type="noConversion"/>
  </si>
  <si>
    <t>bpr factory clear</t>
    <phoneticPr fontId="1" type="noConversion"/>
  </si>
  <si>
    <t>bpr factory update</t>
    <phoneticPr fontId="1" type="noConversion"/>
  </si>
  <si>
    <t>bpr factory clear all</t>
    <phoneticPr fontId="1" type="noConversion"/>
  </si>
  <si>
    <t>bpr factory auto 1</t>
    <phoneticPr fontId="1" type="noConversion"/>
  </si>
  <si>
    <t>bpr factory auto 2</t>
    <phoneticPr fontId="1" type="noConversion"/>
  </si>
  <si>
    <t xml:space="preserve"> cali. manual</t>
    <phoneticPr fontId="1" type="noConversion"/>
  </si>
  <si>
    <t xml:space="preserve"> cali. interval</t>
    <phoneticPr fontId="1" type="noConversion"/>
  </si>
  <si>
    <t xml:space="preserve"> cali. interval 10</t>
    <phoneticPr fontId="1" type="noConversion"/>
  </si>
  <si>
    <t xml:space="preserve"> cali. interval 180</t>
    <phoneticPr fontId="1" type="noConversion"/>
  </si>
  <si>
    <t xml:space="preserve"> cali. interval 360</t>
    <phoneticPr fontId="1" type="noConversion"/>
  </si>
  <si>
    <t>bpr mode off</t>
    <phoneticPr fontId="1" type="noConversion"/>
  </si>
  <si>
    <t>bpr mode on</t>
    <phoneticPr fontId="1" type="noConversion"/>
  </si>
  <si>
    <t>fps 30</t>
    <phoneticPr fontId="1" type="noConversion"/>
  </si>
  <si>
    <t>fps 25</t>
    <phoneticPr fontId="1" type="noConversion"/>
  </si>
  <si>
    <t xml:space="preserve"> af manual</t>
    <phoneticPr fontId="1" type="noConversion"/>
  </si>
  <si>
    <t xml:space="preserve"> af interval</t>
    <phoneticPr fontId="1" type="noConversion"/>
  </si>
  <si>
    <t xml:space="preserve"> af zoom-trigger</t>
    <phoneticPr fontId="1" type="noConversion"/>
  </si>
  <si>
    <t>zoom narrow</t>
    <phoneticPr fontId="1" type="noConversion"/>
  </si>
  <si>
    <t>zoom wide</t>
    <phoneticPr fontId="1" type="noConversion"/>
  </si>
  <si>
    <t>zoom stop</t>
    <phoneticPr fontId="1" type="noConversion"/>
  </si>
  <si>
    <t>zoom dir=16003</t>
    <phoneticPr fontId="1" type="noConversion"/>
  </si>
  <si>
    <t>zoom dir=33704</t>
    <phoneticPr fontId="1" type="noConversion"/>
  </si>
  <si>
    <t>zoom dir=17703</t>
    <phoneticPr fontId="1" type="noConversion"/>
  </si>
  <si>
    <t>zoom dir=24853</t>
    <phoneticPr fontId="1" type="noConversion"/>
  </si>
  <si>
    <t>zoom dir=33190</t>
    <phoneticPr fontId="1" type="noConversion"/>
  </si>
  <si>
    <t>zoom dir=19691</t>
    <phoneticPr fontId="1" type="noConversion"/>
  </si>
  <si>
    <t>zoom dir=35178</t>
    <phoneticPr fontId="1" type="noConversion"/>
  </si>
  <si>
    <t>focus stop</t>
    <phoneticPr fontId="1" type="noConversion"/>
  </si>
  <si>
    <t>Address</t>
  </si>
  <si>
    <t>Data Range</t>
  </si>
  <si>
    <t>Unit</t>
  </si>
  <si>
    <t>Description</t>
  </si>
  <si>
    <t>Default</t>
  </si>
  <si>
    <t>Remarks</t>
  </si>
  <si>
    <t>Header+Add</t>
    <phoneticPr fontId="1" type="noConversion"/>
  </si>
  <si>
    <t>Delete 0x</t>
    <phoneticPr fontId="1" type="noConversion"/>
  </si>
  <si>
    <t>MSB</t>
    <phoneticPr fontId="1" type="noConversion"/>
  </si>
  <si>
    <t>LSB</t>
    <phoneticPr fontId="1" type="noConversion"/>
  </si>
  <si>
    <t>Decimal</t>
    <phoneticPr fontId="1" type="noConversion"/>
  </si>
  <si>
    <t>Option</t>
    <phoneticPr fontId="1" type="noConversion"/>
  </si>
  <si>
    <t>Op MSB</t>
    <phoneticPr fontId="1" type="noConversion"/>
  </si>
  <si>
    <t>Op LSB</t>
    <phoneticPr fontId="1" type="noConversion"/>
  </si>
  <si>
    <t>CHK</t>
    <phoneticPr fontId="1" type="noConversion"/>
  </si>
  <si>
    <t>Normal</t>
    <phoneticPr fontId="1" type="noConversion"/>
  </si>
  <si>
    <t>0x2012</t>
    <phoneticPr fontId="11" type="noConversion"/>
  </si>
  <si>
    <t>0~1</t>
    <phoneticPr fontId="11" type="noConversion"/>
  </si>
  <si>
    <t>-</t>
  </si>
  <si>
    <t>0x0:Normal, 0x1:High</t>
  </si>
  <si>
    <t>High mode Optional</t>
  </si>
  <si>
    <t>FF00</t>
    <phoneticPr fontId="1" type="noConversion"/>
  </si>
  <si>
    <t>0000</t>
    <phoneticPr fontId="1" type="noConversion"/>
  </si>
  <si>
    <t>High</t>
    <phoneticPr fontId="1" type="noConversion"/>
  </si>
  <si>
    <t>0001</t>
    <phoneticPr fontId="1" type="noConversion"/>
  </si>
  <si>
    <t xml:space="preserve"> Mirror Off</t>
  </si>
  <si>
    <t>0x2022</t>
  </si>
  <si>
    <t>0~1</t>
  </si>
  <si>
    <t>0x0:Disable, 0x1:Enable</t>
  </si>
  <si>
    <t xml:space="preserve"> Mirror On</t>
  </si>
  <si>
    <t xml:space="preserve"> Flip Off</t>
  </si>
  <si>
    <t>0x2023</t>
  </si>
  <si>
    <r>
      <rPr>
        <sz val="10"/>
        <color rgb="FF0D0D0D"/>
        <rFont val="맑은 고딕"/>
        <family val="3"/>
        <charset val="129"/>
        <scheme val="minor"/>
      </rPr>
      <t>Only SL- 640CA</t>
    </r>
  </si>
  <si>
    <t xml:space="preserve"> Flip On</t>
  </si>
  <si>
    <t xml:space="preserve"> Invert Off</t>
  </si>
  <si>
    <t>0x2024</t>
  </si>
  <si>
    <t xml:space="preserve"> Invert On</t>
  </si>
  <si>
    <t>Cali Execute Shutter</t>
  </si>
  <si>
    <r>
      <rPr>
        <sz val="10"/>
        <color rgb="FF0D0D0D"/>
        <rFont val="맑은 고딕"/>
        <family val="3"/>
        <charset val="129"/>
        <scheme val="minor"/>
      </rPr>
      <t>0x2030</t>
    </r>
  </si>
  <si>
    <r>
      <rPr>
        <sz val="10"/>
        <color rgb="FF0D0D0D"/>
        <rFont val="맑은 고딕"/>
        <family val="3"/>
        <charset val="129"/>
        <scheme val="minor"/>
      </rPr>
      <t>0~1</t>
    </r>
  </si>
  <si>
    <r>
      <rPr>
        <sz val="10"/>
        <color rgb="FF0D0D0D"/>
        <rFont val="맑은 고딕"/>
        <family val="3"/>
        <charset val="129"/>
        <scheme val="minor"/>
      </rPr>
      <t>-</t>
    </r>
  </si>
  <si>
    <r>
      <rPr>
        <sz val="10"/>
        <color rgb="FF0D0D0D"/>
        <rFont val="맑은 고딕"/>
        <family val="3"/>
        <charset val="129"/>
        <scheme val="minor"/>
      </rPr>
      <t>0:Shutter, 1:OutScene</t>
    </r>
  </si>
  <si>
    <t>Cali Execute OutScene</t>
  </si>
  <si>
    <t>Cali Manual</t>
  </si>
  <si>
    <t>0x2031</t>
    <phoneticPr fontId="1" type="noConversion"/>
  </si>
  <si>
    <t>0~3</t>
  </si>
  <si>
    <t>0:Manual, 1:Auto, 2:Interval</t>
    <phoneticPr fontId="1" type="noConversion"/>
  </si>
  <si>
    <t>Cali Auto</t>
  </si>
  <si>
    <t>Cali Interval</t>
  </si>
  <si>
    <t>0002</t>
    <phoneticPr fontId="1" type="noConversion"/>
  </si>
  <si>
    <t>Cali Interval 10</t>
  </si>
  <si>
    <t>0x2032</t>
    <phoneticPr fontId="1" type="noConversion"/>
  </si>
  <si>
    <t>Cali Interval 600</t>
  </si>
  <si>
    <t>Param Save None</t>
  </si>
  <si>
    <t>0x21B0</t>
  </si>
  <si>
    <t>0~2</t>
  </si>
  <si>
    <t>0x0:None, 0x1:Init, 0x2:Update</t>
  </si>
  <si>
    <t>Param Save Init</t>
  </si>
  <si>
    <t>Param Save Update</t>
  </si>
  <si>
    <t>AGC MGC</t>
    <phoneticPr fontId="1" type="noConversion"/>
  </si>
  <si>
    <t>0x2100</t>
  </si>
  <si>
    <t>0x0:MGC Mode, 0x1:AGC#1(Low Range), 0x2:AGC#2(Middle Range), 0x3:AGC#3(High Range)</t>
  </si>
  <si>
    <t>AGC Low</t>
    <phoneticPr fontId="1" type="noConversion"/>
  </si>
  <si>
    <t>AGC Mid</t>
    <phoneticPr fontId="1" type="noConversion"/>
  </si>
  <si>
    <t>AGC High</t>
    <phoneticPr fontId="1" type="noConversion"/>
  </si>
  <si>
    <t>0003</t>
    <phoneticPr fontId="1" type="noConversion"/>
  </si>
  <si>
    <t>AGC Frame 5</t>
    <phoneticPr fontId="1" type="noConversion"/>
  </si>
  <si>
    <t>0x2101</t>
    <phoneticPr fontId="1" type="noConversion"/>
  </si>
  <si>
    <t>5-60</t>
    <phoneticPr fontId="1" type="noConversion"/>
  </si>
  <si>
    <t>0005</t>
    <phoneticPr fontId="1" type="noConversion"/>
  </si>
  <si>
    <t>AGC Frame 60</t>
    <phoneticPr fontId="1" type="noConversion"/>
  </si>
  <si>
    <t>AGC Min Temp -32767</t>
    <phoneticPr fontId="1" type="noConversion"/>
  </si>
  <si>
    <t>0x2102</t>
    <phoneticPr fontId="1" type="noConversion"/>
  </si>
  <si>
    <t>AGC Min Temp 32767</t>
    <phoneticPr fontId="1" type="noConversion"/>
  </si>
  <si>
    <t>AGC Max Temp -32767</t>
    <phoneticPr fontId="1" type="noConversion"/>
  </si>
  <si>
    <t>0x2103</t>
    <phoneticPr fontId="1" type="noConversion"/>
  </si>
  <si>
    <t>AGC Max Temp 32767</t>
    <phoneticPr fontId="1" type="noConversion"/>
  </si>
  <si>
    <t>AGC Contrast Lvl -50</t>
    <phoneticPr fontId="1" type="noConversion"/>
  </si>
  <si>
    <t>0x2104</t>
    <phoneticPr fontId="1" type="noConversion"/>
  </si>
  <si>
    <t>AGC Contrast Lvl 50</t>
    <phoneticPr fontId="1" type="noConversion"/>
  </si>
  <si>
    <t>IDE 0</t>
    <phoneticPr fontId="1" type="noConversion"/>
  </si>
  <si>
    <t>0x2110</t>
    <phoneticPr fontId="1" type="noConversion"/>
  </si>
  <si>
    <t>IDE 30</t>
    <phoneticPr fontId="1" type="noConversion"/>
  </si>
  <si>
    <t>Gamma Filter 0</t>
    <phoneticPr fontId="1" type="noConversion"/>
  </si>
  <si>
    <t>0x2112</t>
    <phoneticPr fontId="1" type="noConversion"/>
  </si>
  <si>
    <t>Gamma Filter 7</t>
    <phoneticPr fontId="1" type="noConversion"/>
  </si>
  <si>
    <t>0007</t>
    <phoneticPr fontId="1" type="noConversion"/>
  </si>
  <si>
    <t>Gray</t>
  </si>
  <si>
    <t>0x2113</t>
  </si>
  <si>
    <t>0~10</t>
  </si>
  <si>
    <t>0x0:Gray, 0x1:Rainbow, 0x2:Iron, 0x3:Jet, 0x4:Thermal, 0x5:BlueOrangeICB, 0x6:Smart, 0x7:Cool, 0x8:Gray+Rainbow, 0x9:Gray+Jet, 0xA:Gray+Iron</t>
    <phoneticPr fontId="1" type="noConversion"/>
  </si>
  <si>
    <t>Rainbow</t>
  </si>
  <si>
    <t>0001</t>
  </si>
  <si>
    <t>Iron</t>
  </si>
  <si>
    <t>0002</t>
  </si>
  <si>
    <t>Jet</t>
  </si>
  <si>
    <t>0003</t>
  </si>
  <si>
    <t>Thermal</t>
  </si>
  <si>
    <t>0004</t>
  </si>
  <si>
    <t>0005</t>
  </si>
  <si>
    <t>Smart</t>
  </si>
  <si>
    <t>0006</t>
  </si>
  <si>
    <t>Cool</t>
  </si>
  <si>
    <t>0007</t>
  </si>
  <si>
    <t>Gray+Rain</t>
  </si>
  <si>
    <t>0008</t>
  </si>
  <si>
    <t>Gr+Jet</t>
  </si>
  <si>
    <t>0009</t>
  </si>
  <si>
    <t>Gr+Ir</t>
  </si>
  <si>
    <t>Cali Mark Off</t>
    <phoneticPr fontId="1" type="noConversion"/>
  </si>
  <si>
    <t>0x2117</t>
    <phoneticPr fontId="1" type="noConversion"/>
  </si>
  <si>
    <t>Cali Mark On</t>
    <phoneticPr fontId="1" type="noConversion"/>
  </si>
  <si>
    <t>Histogram ROI 90%</t>
    <phoneticPr fontId="1" type="noConversion"/>
  </si>
  <si>
    <t>0x211A</t>
    <phoneticPr fontId="1" type="noConversion"/>
  </si>
  <si>
    <t>Histogram ROI 39%</t>
    <phoneticPr fontId="1" type="noConversion"/>
  </si>
  <si>
    <t>0006</t>
    <phoneticPr fontId="1" type="noConversion"/>
  </si>
  <si>
    <t>Edge Enhancement 0</t>
    <phoneticPr fontId="1" type="noConversion"/>
  </si>
  <si>
    <t>0x211B</t>
    <phoneticPr fontId="1" type="noConversion"/>
  </si>
  <si>
    <t>Edge Enhancement 5</t>
    <phoneticPr fontId="1" type="noConversion"/>
  </si>
  <si>
    <t>D-Zoom x1</t>
    <phoneticPr fontId="1" type="noConversion"/>
  </si>
  <si>
    <t>0x2120</t>
    <phoneticPr fontId="1" type="noConversion"/>
  </si>
  <si>
    <t>D-Zoom x2</t>
    <phoneticPr fontId="1" type="noConversion"/>
  </si>
  <si>
    <t>D-Zoom x4</t>
    <phoneticPr fontId="1" type="noConversion"/>
  </si>
  <si>
    <t>0004</t>
    <phoneticPr fontId="1" type="noConversion"/>
  </si>
  <si>
    <t>YCbCr</t>
    <phoneticPr fontId="1" type="noConversion"/>
  </si>
  <si>
    <t>0x216C</t>
    <phoneticPr fontId="1" type="noConversion"/>
  </si>
  <si>
    <t>YCbCrY</t>
    <phoneticPr fontId="1" type="noConversion"/>
  </si>
  <si>
    <t>Lens Min Set</t>
    <phoneticPr fontId="1" type="noConversion"/>
  </si>
  <si>
    <t>0x2172</t>
    <phoneticPr fontId="1" type="noConversion"/>
  </si>
  <si>
    <t>확인 필요</t>
    <phoneticPr fontId="1" type="noConversion"/>
  </si>
  <si>
    <t>AF Focus Step</t>
    <phoneticPr fontId="1" type="noConversion"/>
  </si>
  <si>
    <t>0x2175</t>
    <phoneticPr fontId="1" type="noConversion"/>
  </si>
  <si>
    <t xml:space="preserve">A/F Full Range </t>
    <phoneticPr fontId="1" type="noConversion"/>
  </si>
  <si>
    <t>0x2180</t>
    <phoneticPr fontId="1" type="noConversion"/>
  </si>
  <si>
    <t xml:space="preserve">A/F Focus Min Value </t>
    <phoneticPr fontId="1" type="noConversion"/>
  </si>
  <si>
    <t>0x2181</t>
  </si>
  <si>
    <t>-</t>
    <phoneticPr fontId="1" type="noConversion"/>
  </si>
  <si>
    <t>A/F Focus Max Value</t>
    <phoneticPr fontId="1" type="noConversion"/>
  </si>
  <si>
    <t>0x2182</t>
  </si>
  <si>
    <t xml:space="preserve">A/F Full Range Init </t>
    <phoneticPr fontId="1" type="noConversion"/>
  </si>
  <si>
    <t>0x2183</t>
  </si>
  <si>
    <t>Zoom No Change</t>
    <phoneticPr fontId="1" type="noConversion"/>
  </si>
  <si>
    <t>0x2200</t>
    <phoneticPr fontId="1" type="noConversion"/>
  </si>
  <si>
    <t>Zoom FOV None</t>
    <phoneticPr fontId="1" type="noConversion"/>
  </si>
  <si>
    <t>0x2201</t>
    <phoneticPr fontId="1" type="noConversion"/>
  </si>
  <si>
    <t>Zoom WFOV</t>
    <phoneticPr fontId="1" type="noConversion"/>
  </si>
  <si>
    <t>Zoom MFOV</t>
    <phoneticPr fontId="1" type="noConversion"/>
  </si>
  <si>
    <t>Zoom NFOV</t>
    <phoneticPr fontId="1" type="noConversion"/>
  </si>
  <si>
    <t>0x2203</t>
    <phoneticPr fontId="1" type="noConversion"/>
  </si>
  <si>
    <t>Zoom Stop</t>
    <phoneticPr fontId="1" type="noConversion"/>
  </si>
  <si>
    <t>0x2205</t>
    <phoneticPr fontId="1" type="noConversion"/>
  </si>
  <si>
    <t>Focus Far/Near None</t>
    <phoneticPr fontId="1" type="noConversion"/>
  </si>
  <si>
    <t>0x2210</t>
    <phoneticPr fontId="1" type="noConversion"/>
  </si>
  <si>
    <t>0x2212</t>
    <phoneticPr fontId="1" type="noConversion"/>
  </si>
  <si>
    <t>Focus Stop</t>
    <phoneticPr fontId="1" type="noConversion"/>
  </si>
  <si>
    <t>0x2213</t>
    <phoneticPr fontId="1" type="noConversion"/>
  </si>
  <si>
    <t>0x2220</t>
    <phoneticPr fontId="1" type="noConversion"/>
  </si>
  <si>
    <t>AF Offset -32767</t>
    <phoneticPr fontId="1" type="noConversion"/>
  </si>
  <si>
    <t>0x2221</t>
    <phoneticPr fontId="1" type="noConversion"/>
  </si>
  <si>
    <t>AF Offset 32767</t>
    <phoneticPr fontId="1" type="noConversion"/>
  </si>
  <si>
    <t>AF Init Pos</t>
    <phoneticPr fontId="1" type="noConversion"/>
  </si>
  <si>
    <t>0x2222</t>
    <phoneticPr fontId="1" type="noConversion"/>
  </si>
  <si>
    <t>Temp Info Off</t>
    <phoneticPr fontId="1" type="noConversion"/>
  </si>
  <si>
    <t>0x2300</t>
    <phoneticPr fontId="1" type="noConversion"/>
  </si>
  <si>
    <t>Temp Info On</t>
    <phoneticPr fontId="1" type="noConversion"/>
  </si>
  <si>
    <t>Colorbar Off, Other On</t>
    <phoneticPr fontId="1" type="noConversion"/>
  </si>
  <si>
    <t>Colorbar On</t>
    <phoneticPr fontId="1" type="noConversion"/>
  </si>
  <si>
    <t>0010</t>
    <phoneticPr fontId="1" type="noConversion"/>
  </si>
  <si>
    <t>Center Off, Other On</t>
    <phoneticPr fontId="1" type="noConversion"/>
  </si>
  <si>
    <t>Center Mark On</t>
    <phoneticPr fontId="1" type="noConversion"/>
  </si>
  <si>
    <t>Min/Max Off, Other On</t>
    <phoneticPr fontId="1" type="noConversion"/>
  </si>
  <si>
    <t>Min/Max On</t>
    <phoneticPr fontId="1" type="noConversion"/>
  </si>
  <si>
    <t>Temp User Offset Min</t>
    <phoneticPr fontId="1" type="noConversion"/>
  </si>
  <si>
    <t>0x2301</t>
    <phoneticPr fontId="1" type="noConversion"/>
  </si>
  <si>
    <t>Temp User Offset Max</t>
    <phoneticPr fontId="1" type="noConversion"/>
  </si>
  <si>
    <t>Emissivity 10</t>
    <phoneticPr fontId="1" type="noConversion"/>
  </si>
  <si>
    <t>0x2302</t>
    <phoneticPr fontId="1" type="noConversion"/>
  </si>
  <si>
    <t>Emissivity 100</t>
    <phoneticPr fontId="1" type="noConversion"/>
  </si>
  <si>
    <t>Data Tx Mode None</t>
    <phoneticPr fontId="1" type="noConversion"/>
  </si>
  <si>
    <t>0x2304</t>
    <phoneticPr fontId="1" type="noConversion"/>
  </si>
  <si>
    <t>0x0:None, 0x1:Enable
**0x10:Area0 Position, 0x11:Area1 Position,…
0x19:Area9 Position
0x1A:Mask0 Position, 0x1B:Mask1 Position,
0x1C:Mask2 Position</t>
    <phoneticPr fontId="1" type="noConversion"/>
  </si>
  <si>
    <t>Data Tx Mode On</t>
    <phoneticPr fontId="1" type="noConversion"/>
  </si>
  <si>
    <t>Area 0 Off</t>
    <phoneticPr fontId="1" type="noConversion"/>
  </si>
  <si>
    <t>0x2310</t>
    <phoneticPr fontId="1" type="noConversion"/>
  </si>
  <si>
    <t>Area 0 On</t>
    <phoneticPr fontId="1" type="noConversion"/>
  </si>
  <si>
    <t>Area 4 Off</t>
    <phoneticPr fontId="1" type="noConversion"/>
  </si>
  <si>
    <t>Area 4 On</t>
    <phoneticPr fontId="1" type="noConversion"/>
  </si>
  <si>
    <t>Area 9 Off</t>
    <phoneticPr fontId="1" type="noConversion"/>
  </si>
  <si>
    <t>Area 9 On</t>
    <phoneticPr fontId="1" type="noConversion"/>
  </si>
  <si>
    <t>Mask 0 Off</t>
    <phoneticPr fontId="1" type="noConversion"/>
  </si>
  <si>
    <t>0x2311</t>
    <phoneticPr fontId="1" type="noConversion"/>
  </si>
  <si>
    <t>Mask 0 On</t>
    <phoneticPr fontId="1" type="noConversion"/>
  </si>
  <si>
    <t>Mask 1 Off</t>
    <phoneticPr fontId="1" type="noConversion"/>
  </si>
  <si>
    <t>Mask 2 On</t>
    <phoneticPr fontId="1" type="noConversion"/>
  </si>
  <si>
    <t>Area 0 Start X 10</t>
    <phoneticPr fontId="1" type="noConversion"/>
  </si>
  <si>
    <t>0x2320</t>
    <phoneticPr fontId="1" type="noConversion"/>
  </si>
  <si>
    <t>Area 0 Start Y 10</t>
    <phoneticPr fontId="1" type="noConversion"/>
  </si>
  <si>
    <t>0x2321</t>
    <phoneticPr fontId="1" type="noConversion"/>
  </si>
  <si>
    <t>Area 0 End X 629</t>
    <phoneticPr fontId="1" type="noConversion"/>
  </si>
  <si>
    <t>0x2322</t>
    <phoneticPr fontId="1" type="noConversion"/>
  </si>
  <si>
    <t>Area 0 End Y 469</t>
    <phoneticPr fontId="1" type="noConversion"/>
  </si>
  <si>
    <t>0x2323</t>
    <phoneticPr fontId="1" type="noConversion"/>
  </si>
  <si>
    <t>Area 0 Temp Threshold -32767</t>
    <phoneticPr fontId="1" type="noConversion"/>
  </si>
  <si>
    <t>0x2324</t>
    <phoneticPr fontId="1" type="noConversion"/>
  </si>
  <si>
    <t>Area 0 Temp Threshold 32767</t>
    <phoneticPr fontId="1" type="noConversion"/>
  </si>
  <si>
    <t>Area 0 Condi None</t>
    <phoneticPr fontId="1" type="noConversion"/>
  </si>
  <si>
    <t>0x2325</t>
    <phoneticPr fontId="1" type="noConversion"/>
  </si>
  <si>
    <t>Area 0 Condi Over</t>
    <phoneticPr fontId="1" type="noConversion"/>
  </si>
  <si>
    <t>Area 0 Condi Under</t>
    <phoneticPr fontId="1" type="noConversion"/>
  </si>
  <si>
    <t>Area 0 Color 0</t>
    <phoneticPr fontId="1" type="noConversion"/>
  </si>
  <si>
    <t>0x2326</t>
    <phoneticPr fontId="1" type="noConversion"/>
  </si>
  <si>
    <t>Area 0 Color 10</t>
    <phoneticPr fontId="1" type="noConversion"/>
  </si>
  <si>
    <t>Area 9 Start X 10</t>
  </si>
  <si>
    <t>0x23B0</t>
    <phoneticPr fontId="1" type="noConversion"/>
  </si>
  <si>
    <t>Area 9 Start Y 10</t>
  </si>
  <si>
    <t>0x23B1</t>
  </si>
  <si>
    <t>Area 9 End X 629</t>
  </si>
  <si>
    <t>0x23B2</t>
  </si>
  <si>
    <t>Area 9 End Y 469</t>
  </si>
  <si>
    <t>0x23B3</t>
  </si>
  <si>
    <t>Area 9 Temp Threshold -32767</t>
  </si>
  <si>
    <t>0x23B4</t>
  </si>
  <si>
    <t>Area 9 Temp Threshold 32767</t>
  </si>
  <si>
    <t>Area 9 Condi None</t>
  </si>
  <si>
    <t>0x23B5</t>
  </si>
  <si>
    <t>Area 9 Condi Over</t>
  </si>
  <si>
    <t>Area 9 Condi Under</t>
  </si>
  <si>
    <t>Area 9 Color 0</t>
    <phoneticPr fontId="1" type="noConversion"/>
  </si>
  <si>
    <t>0x23B6</t>
  </si>
  <si>
    <t>Area 9 Color 10</t>
    <phoneticPr fontId="1" type="noConversion"/>
  </si>
  <si>
    <t>Mask 0 Start X 10</t>
    <phoneticPr fontId="1" type="noConversion"/>
  </si>
  <si>
    <t>0x23C0</t>
    <phoneticPr fontId="1" type="noConversion"/>
  </si>
  <si>
    <t>Mask 0 Start Y 10</t>
    <phoneticPr fontId="1" type="noConversion"/>
  </si>
  <si>
    <t>0x23C1</t>
  </si>
  <si>
    <t>Mask 0 End X 629</t>
    <phoneticPr fontId="1" type="noConversion"/>
  </si>
  <si>
    <t>0x23C2</t>
  </si>
  <si>
    <t>Mask 0 End Y 469</t>
    <phoneticPr fontId="1" type="noConversion"/>
  </si>
  <si>
    <t>0x23C3</t>
  </si>
  <si>
    <t>Mask 1 Start X 10</t>
    <phoneticPr fontId="1" type="noConversion"/>
  </si>
  <si>
    <t>0x23D0</t>
    <phoneticPr fontId="1" type="noConversion"/>
  </si>
  <si>
    <t>Mask 1 Start Y 10</t>
    <phoneticPr fontId="1" type="noConversion"/>
  </si>
  <si>
    <t>0x23D1</t>
  </si>
  <si>
    <t>Mask 1 End X 629</t>
    <phoneticPr fontId="1" type="noConversion"/>
  </si>
  <si>
    <t>0x23D2</t>
  </si>
  <si>
    <t>Mask 1 End Y 469</t>
    <phoneticPr fontId="1" type="noConversion"/>
  </si>
  <si>
    <t>0x23D3</t>
  </si>
  <si>
    <t>Mask 2 Start X 10</t>
  </si>
  <si>
    <t>0x23E0</t>
    <phoneticPr fontId="1" type="noConversion"/>
  </si>
  <si>
    <t>Mask 2 Start Y 10</t>
  </si>
  <si>
    <t>0x23E1</t>
  </si>
  <si>
    <t>Mask 2 End X 629</t>
  </si>
  <si>
    <t>0x23E2</t>
  </si>
  <si>
    <t>Mask 2 End Y 469</t>
  </si>
  <si>
    <t>0x23E3</t>
  </si>
  <si>
    <t>Blue Orange</t>
    <phoneticPr fontId="1" type="noConversion"/>
  </si>
  <si>
    <t>0008</t>
    <phoneticPr fontId="1" type="noConversion"/>
  </si>
  <si>
    <t>D-Zoom x8</t>
    <phoneticPr fontId="1" type="noConversion"/>
  </si>
  <si>
    <t>IDE 10</t>
    <phoneticPr fontId="1" type="noConversion"/>
  </si>
  <si>
    <t>Temp User Offset 0</t>
    <phoneticPr fontId="1" type="noConversion"/>
  </si>
  <si>
    <t>Emissivity 98</t>
    <phoneticPr fontId="1" type="noConversion"/>
  </si>
  <si>
    <t>AGC Brightness Lvl -50</t>
    <phoneticPr fontId="1" type="noConversion"/>
  </si>
  <si>
    <t>AGC Brightness Lvl 50</t>
    <phoneticPr fontId="1" type="noConversion"/>
  </si>
  <si>
    <t>0x2105</t>
    <phoneticPr fontId="1" type="noConversion"/>
  </si>
  <si>
    <t>AGC Contrast Lvl 0</t>
    <phoneticPr fontId="1" type="noConversion"/>
  </si>
  <si>
    <t>AGC Brightness Lvl 0</t>
    <phoneticPr fontId="1" type="noConversion"/>
  </si>
  <si>
    <t>AGC Frame 50</t>
    <phoneticPr fontId="1" type="noConversion"/>
  </si>
  <si>
    <t>000A</t>
    <phoneticPr fontId="1" type="noConversion"/>
  </si>
  <si>
    <t>Gamma Filter 3</t>
    <phoneticPr fontId="1" type="noConversion"/>
  </si>
  <si>
    <t>Rev.2024.09.26</t>
    <phoneticPr fontId="1" type="noConversion"/>
  </si>
  <si>
    <t>Parameter</t>
    <phoneticPr fontId="1" type="noConversion"/>
  </si>
  <si>
    <t>Value</t>
    <phoneticPr fontId="1" type="noConversion"/>
  </si>
  <si>
    <t>move</t>
    <phoneticPr fontId="1" type="noConversion"/>
  </si>
  <si>
    <t>focus</t>
    <phoneticPr fontId="1" type="noConversion"/>
  </si>
  <si>
    <t>BaseURL</t>
    <phoneticPr fontId="1" type="noConversion"/>
  </si>
  <si>
    <t>set</t>
    <phoneticPr fontId="1" type="noConversion"/>
  </si>
  <si>
    <t>stop</t>
    <phoneticPr fontId="1" type="noConversion"/>
  </si>
  <si>
    <t>pspd</t>
    <phoneticPr fontId="1" type="noConversion"/>
  </si>
  <si>
    <t>Pan Spd 1</t>
    <phoneticPr fontId="1" type="noConversion"/>
  </si>
  <si>
    <t>Pan Spd 63</t>
    <phoneticPr fontId="1" type="noConversion"/>
  </si>
  <si>
    <t>tspd</t>
    <phoneticPr fontId="1" type="noConversion"/>
  </si>
  <si>
    <t>Tilt Spd 1</t>
    <phoneticPr fontId="1" type="noConversion"/>
  </si>
  <si>
    <t>Tilt Spd 63</t>
    <phoneticPr fontId="1" type="noConversion"/>
  </si>
  <si>
    <t>zspd</t>
    <phoneticPr fontId="1" type="noConversion"/>
  </si>
  <si>
    <t>max 63</t>
    <phoneticPr fontId="1" type="noConversion"/>
  </si>
  <si>
    <t>max 8</t>
    <phoneticPr fontId="1" type="noConversion"/>
  </si>
  <si>
    <t>Zoom Spd 1</t>
    <phoneticPr fontId="1" type="noConversion"/>
  </si>
  <si>
    <t>Zoom Spd 8</t>
    <phoneticPr fontId="1" type="noConversion"/>
  </si>
  <si>
    <t>zoom</t>
    <phoneticPr fontId="1" type="noConversion"/>
  </si>
  <si>
    <t>Zoom Tele Step 1</t>
    <phoneticPr fontId="1" type="noConversion"/>
  </si>
  <si>
    <t>Zoom Wide Step 1</t>
    <phoneticPr fontId="1" type="noConversion"/>
  </si>
  <si>
    <t>near</t>
    <phoneticPr fontId="1" type="noConversion"/>
  </si>
  <si>
    <t>far</t>
    <phoneticPr fontId="1" type="noConversion"/>
  </si>
  <si>
    <t>Focus Near</t>
    <phoneticPr fontId="1" type="noConversion"/>
  </si>
  <si>
    <t>Focus Far</t>
    <phoneticPr fontId="1" type="noConversion"/>
  </si>
  <si>
    <t>Focus Far Step 1</t>
    <phoneticPr fontId="1" type="noConversion"/>
  </si>
  <si>
    <t>Focus Near Step 1</t>
    <phoneticPr fontId="1" type="noConversion"/>
  </si>
  <si>
    <t>PTZ Stop</t>
    <phoneticPr fontId="1" type="noConversion"/>
  </si>
  <si>
    <t>preset</t>
    <phoneticPr fontId="1" type="noConversion"/>
  </si>
  <si>
    <t>Preset 1</t>
    <phoneticPr fontId="1" type="noConversion"/>
  </si>
  <si>
    <t>Pre+71 Wiper Run</t>
    <phoneticPr fontId="1" type="noConversion"/>
  </si>
  <si>
    <t>Pre+77 Day</t>
    <phoneticPr fontId="1" type="noConversion"/>
  </si>
  <si>
    <t>Pre+76 Night</t>
    <phoneticPr fontId="1" type="noConversion"/>
  </si>
  <si>
    <t>Pre+87 Reverse</t>
    <phoneticPr fontId="1" type="noConversion"/>
  </si>
  <si>
    <t>Pre+88 Normal</t>
    <phoneticPr fontId="1" type="noConversion"/>
  </si>
  <si>
    <t>Preset 8</t>
    <phoneticPr fontId="1" type="noConversion"/>
  </si>
  <si>
    <t>Focus Auto</t>
    <phoneticPr fontId="1" type="noConversion"/>
  </si>
  <si>
    <t>Focus Manual</t>
    <phoneticPr fontId="1" type="noConversion"/>
  </si>
  <si>
    <t>group,app,flip</t>
    <phoneticPr fontId="1" type="noConversion"/>
  </si>
  <si>
    <t>basic,set,enable</t>
    <phoneticPr fontId="1" type="noConversion"/>
  </si>
  <si>
    <t>basic,set,1</t>
    <phoneticPr fontId="1" type="noConversion"/>
  </si>
  <si>
    <t>af,set,auto</t>
    <phoneticPr fontId="1" type="noConversion"/>
  </si>
  <si>
    <t>af,set,manual</t>
    <phoneticPr fontId="1" type="noConversion"/>
  </si>
  <si>
    <t>group,app,mirror</t>
    <phoneticPr fontId="1" type="noConversion"/>
  </si>
  <si>
    <t>/cgi-bin/ptz/control.php</t>
  </si>
  <si>
    <t>/setup/video/image.php</t>
  </si>
  <si>
    <t>NTSC</t>
    <phoneticPr fontId="1" type="noConversion"/>
  </si>
  <si>
    <t>app,video_mode</t>
    <phoneticPr fontId="1" type="noConversion"/>
  </si>
  <si>
    <t>set,NTSC</t>
    <phoneticPr fontId="1" type="noConversion"/>
  </si>
  <si>
    <t>PAL</t>
    <phoneticPr fontId="1" type="noConversion"/>
  </si>
  <si>
    <t>set,PAL</t>
    <phoneticPr fontId="1" type="noConversion"/>
  </si>
  <si>
    <t>/setup/video/source.php</t>
    <phoneticPr fontId="1" type="noConversion"/>
  </si>
  <si>
    <t>set,1920x1080_30fps</t>
    <phoneticPr fontId="1" type="noConversion"/>
  </si>
  <si>
    <t>set,1920x1080_60fps</t>
    <phoneticPr fontId="1" type="noConversion"/>
  </si>
  <si>
    <t>Source 1920x1080 30fps</t>
    <phoneticPr fontId="1" type="noConversion"/>
  </si>
  <si>
    <t>Source 1920x1080 60fps</t>
    <phoneticPr fontId="1" type="noConversion"/>
  </si>
  <si>
    <t>app,video_src</t>
    <phoneticPr fontId="1" type="noConversion"/>
  </si>
  <si>
    <t>/setup/video/stream.php</t>
    <phoneticPr fontId="1" type="noConversion"/>
  </si>
  <si>
    <t>set,H265MP</t>
    <phoneticPr fontId="1" type="noConversion"/>
  </si>
  <si>
    <t>H.265 Main Profile</t>
    <phoneticPr fontId="1" type="noConversion"/>
  </si>
  <si>
    <t>H.264 Main Profile</t>
    <phoneticPr fontId="1" type="noConversion"/>
  </si>
  <si>
    <t>set,H264MP</t>
    <phoneticPr fontId="1" type="noConversion"/>
  </si>
  <si>
    <t>app,video_enc#_codec</t>
    <phoneticPr fontId="1" type="noConversion"/>
  </si>
  <si>
    <t>MJPEG</t>
    <phoneticPr fontId="1" type="noConversion"/>
  </si>
  <si>
    <t>set,MJPEG</t>
    <phoneticPr fontId="1" type="noConversion"/>
  </si>
  <si>
    <t>app,video_enc#_fps</t>
    <phoneticPr fontId="1" type="noConversion"/>
  </si>
  <si>
    <t>set,1</t>
    <phoneticPr fontId="1" type="noConversion"/>
  </si>
  <si>
    <t>set,30</t>
    <phoneticPr fontId="1" type="noConversion"/>
  </si>
  <si>
    <t>set,60</t>
    <phoneticPr fontId="1" type="noConversion"/>
  </si>
  <si>
    <t>1 fps</t>
    <phoneticPr fontId="1" type="noConversion"/>
  </si>
  <si>
    <t>30 fps</t>
    <phoneticPr fontId="1" type="noConversion"/>
  </si>
  <si>
    <t>60 fps</t>
    <phoneticPr fontId="1" type="noConversion"/>
  </si>
  <si>
    <t>Focus PushAF</t>
    <phoneticPr fontId="1" type="noConversion"/>
  </si>
  <si>
    <t>af,set,pushaf</t>
    <phoneticPr fontId="1" type="noConversion"/>
  </si>
  <si>
    <t>group,app,focus_mode</t>
    <phoneticPr fontId="1" type="noConversion"/>
  </si>
  <si>
    <t>group,app,focus_speed</t>
    <phoneticPr fontId="1" type="noConversion"/>
  </si>
  <si>
    <t>af,set,1</t>
    <phoneticPr fontId="1" type="noConversion"/>
  </si>
  <si>
    <t>af,set,8</t>
    <phoneticPr fontId="1" type="noConversion"/>
  </si>
  <si>
    <t>focus spd 1</t>
    <phoneticPr fontId="1" type="noConversion"/>
  </si>
  <si>
    <t>focus spd 8</t>
    <phoneticPr fontId="1" type="noConversion"/>
  </si>
  <si>
    <t>group,app,dnn_mode</t>
    <phoneticPr fontId="1" type="noConversion"/>
  </si>
  <si>
    <t>dnn,set,auto</t>
    <phoneticPr fontId="1" type="noConversion"/>
  </si>
  <si>
    <t>D/N Auto</t>
    <phoneticPr fontId="1" type="noConversion"/>
  </si>
  <si>
    <t>D/N Day</t>
    <phoneticPr fontId="1" type="noConversion"/>
  </si>
  <si>
    <t>D/N Night</t>
    <phoneticPr fontId="1" type="noConversion"/>
  </si>
  <si>
    <t>D/N Ext</t>
    <phoneticPr fontId="1" type="noConversion"/>
  </si>
  <si>
    <t>dnn,set,day</t>
    <phoneticPr fontId="1" type="noConversion"/>
  </si>
  <si>
    <t>dnn,set,night</t>
    <phoneticPr fontId="1" type="noConversion"/>
  </si>
  <si>
    <t>dnn,set,ext</t>
    <phoneticPr fontId="1" type="noConversion"/>
  </si>
  <si>
    <t>WDR On</t>
    <phoneticPr fontId="1" type="noConversion"/>
  </si>
  <si>
    <t>WDR Off</t>
    <phoneticPr fontId="1" type="noConversion"/>
  </si>
  <si>
    <t>Defog On</t>
    <phoneticPr fontId="1" type="noConversion"/>
  </si>
  <si>
    <t>Defog Off</t>
    <phoneticPr fontId="1" type="noConversion"/>
  </si>
  <si>
    <t>group,app,wdr_mode</t>
    <phoneticPr fontId="1" type="noConversion"/>
  </si>
  <si>
    <t>wdr,set,on</t>
    <phoneticPr fontId="1" type="noConversion"/>
  </si>
  <si>
    <t>wdr,set,off</t>
    <phoneticPr fontId="1" type="noConversion"/>
  </si>
  <si>
    <t>group,app,defog_mode</t>
    <phoneticPr fontId="1" type="noConversion"/>
  </si>
  <si>
    <t>blc,set,off</t>
    <phoneticPr fontId="1" type="noConversion"/>
  </si>
  <si>
    <t>blc,set,on</t>
    <phoneticPr fontId="1" type="noConversion"/>
  </si>
  <si>
    <t>group,app,blc_mode</t>
    <phoneticPr fontId="1" type="noConversion"/>
  </si>
  <si>
    <t>BLC On</t>
    <phoneticPr fontId="1" type="noConversion"/>
  </si>
  <si>
    <t>BLC Off</t>
    <phoneticPr fontId="1" type="noConversion"/>
  </si>
  <si>
    <t>HLC On</t>
    <phoneticPr fontId="1" type="noConversion"/>
  </si>
  <si>
    <t>HLC Off</t>
    <phoneticPr fontId="1" type="noConversion"/>
  </si>
  <si>
    <t>group,app,hlc_mode</t>
    <phoneticPr fontId="1" type="noConversion"/>
  </si>
  <si>
    <t>/setup/video/digital_zoom.php</t>
    <phoneticPr fontId="1" type="noConversion"/>
  </si>
  <si>
    <t>set,0</t>
    <phoneticPr fontId="1" type="noConversion"/>
  </si>
  <si>
    <t>app,dz_enable</t>
    <phoneticPr fontId="1" type="noConversion"/>
  </si>
  <si>
    <t>D-Zoom Off</t>
    <phoneticPr fontId="1" type="noConversion"/>
  </si>
  <si>
    <t>D-Zoom On</t>
    <phoneticPr fontId="1" type="noConversion"/>
  </si>
  <si>
    <t>set,100</t>
    <phoneticPr fontId="1" type="noConversion"/>
  </si>
  <si>
    <t>set,200</t>
    <phoneticPr fontId="1" type="noConversion"/>
  </si>
  <si>
    <t>set,400</t>
    <phoneticPr fontId="1" type="noConversion"/>
  </si>
  <si>
    <t>set,800</t>
    <phoneticPr fontId="1" type="noConversion"/>
  </si>
  <si>
    <t>app,dz_level</t>
    <phoneticPr fontId="1" type="noConversion"/>
  </si>
  <si>
    <t>Restart</t>
    <phoneticPr fontId="1" type="noConversion"/>
  </si>
  <si>
    <t>/setup/system/restart.php</t>
    <phoneticPr fontId="1" type="noConversion"/>
  </si>
  <si>
    <t>app</t>
    <phoneticPr fontId="1" type="noConversion"/>
  </si>
  <si>
    <t>Reset</t>
    <phoneticPr fontId="1" type="noConversion"/>
  </si>
  <si>
    <t>Except IP</t>
    <phoneticPr fontId="1" type="noConversion"/>
  </si>
  <si>
    <t>Include IP</t>
    <phoneticPr fontId="1" type="noConversion"/>
  </si>
  <si>
    <t>/setup/system/reset.php</t>
    <phoneticPr fontId="1" type="noConversion"/>
  </si>
  <si>
    <t>/setup/system/default.php</t>
    <phoneticPr fontId="1" type="noConversion"/>
  </si>
  <si>
    <t>app,video_enc1_fps</t>
    <phoneticPr fontId="1" type="noConversion"/>
  </si>
  <si>
    <t>app,video_enc1_codec</t>
    <phoneticPr fontId="1" type="noConversion"/>
  </si>
  <si>
    <t>/cgi-bin/ptz/control.php</t>
    <phoneticPr fontId="1" type="noConversion"/>
  </si>
  <si>
    <t>app,restart</t>
    <phoneticPr fontId="1" type="noConversion"/>
  </si>
  <si>
    <t>app,reset</t>
    <phoneticPr fontId="1" type="noConversion"/>
  </si>
  <si>
    <t>app,default</t>
    <phoneticPr fontId="1" type="noConversion"/>
  </si>
  <si>
    <t>FOV Pos 1000</t>
    <phoneticPr fontId="1" type="noConversion"/>
  </si>
  <si>
    <t>E8</t>
    <phoneticPr fontId="1" type="noConversion"/>
  </si>
  <si>
    <t>Focus Position 10700</t>
    <phoneticPr fontId="1" type="noConversion"/>
  </si>
  <si>
    <t>CC</t>
    <phoneticPr fontId="1" type="noConversion"/>
  </si>
  <si>
    <t>Brightness 20</t>
    <phoneticPr fontId="1" type="noConversion"/>
  </si>
  <si>
    <t>Constrast 20</t>
    <phoneticPr fontId="1" type="noConversion"/>
  </si>
  <si>
    <t>Cali. Interval 30</t>
    <phoneticPr fontId="1" type="noConversion"/>
  </si>
  <si>
    <t>Address 1</t>
    <phoneticPr fontId="1" type="noConversion"/>
  </si>
  <si>
    <t>Address 200</t>
    <phoneticPr fontId="1" type="noConversion"/>
  </si>
  <si>
    <t>C8</t>
    <phoneticPr fontId="1" type="noConversion"/>
  </si>
  <si>
    <t>Protocol Auto</t>
    <phoneticPr fontId="1" type="noConversion"/>
  </si>
  <si>
    <t>Protocol Pelco-D</t>
    <phoneticPr fontId="1" type="noConversion"/>
  </si>
  <si>
    <t>Protocol Pelco-P</t>
    <phoneticPr fontId="1" type="noConversion"/>
  </si>
  <si>
    <t>AF Interval 30</t>
    <phoneticPr fontId="1" type="noConversion"/>
  </si>
  <si>
    <t>Infinity Calibration</t>
    <phoneticPr fontId="1" type="noConversion"/>
  </si>
  <si>
    <t>18</t>
    <phoneticPr fontId="1" type="noConversion"/>
  </si>
  <si>
    <t>ScreenShot</t>
  </si>
  <si>
    <t>0x2204</t>
    <phoneticPr fontId="1" type="noConversion"/>
  </si>
  <si>
    <t>Zoom Move_AF Disable</t>
    <phoneticPr fontId="1" type="noConversion"/>
  </si>
  <si>
    <t>Zoom Move_AF Enable</t>
    <phoneticPr fontId="1" type="noConversion"/>
  </si>
  <si>
    <t>Zoom Pos Min( 0 )</t>
    <phoneticPr fontId="1" type="noConversion"/>
  </si>
  <si>
    <t>Zoom Pos Max (10900)</t>
    <phoneticPr fontId="1" type="noConversion"/>
  </si>
  <si>
    <t>Focus Pos Min ( 0 )</t>
    <phoneticPr fontId="1" type="noConversion"/>
  </si>
  <si>
    <t>Focus Pos Max (10800)</t>
    <phoneticPr fontId="1" type="noConversion"/>
  </si>
  <si>
    <t>Wiper On</t>
    <phoneticPr fontId="1" type="noConversion"/>
  </si>
  <si>
    <t>Night_Preset</t>
    <phoneticPr fontId="1" type="noConversion"/>
  </si>
  <si>
    <t>Day_Preset</t>
    <phoneticPr fontId="1" type="noConversion"/>
  </si>
  <si>
    <t>Reverse On</t>
    <phoneticPr fontId="1" type="noConversion"/>
  </si>
  <si>
    <t>Reverse Off</t>
    <phoneticPr fontId="1" type="noConversion"/>
  </si>
  <si>
    <t>Stop</t>
    <phoneticPr fontId="1" type="noConversion"/>
  </si>
  <si>
    <t>08</t>
  </si>
  <si>
    <t>08</t>
    <phoneticPr fontId="1" type="noConversion"/>
  </si>
  <si>
    <t>04</t>
  </si>
  <si>
    <t>02</t>
  </si>
  <si>
    <t>B6(CHK)</t>
    <phoneticPr fontId="1" type="noConversion"/>
  </si>
  <si>
    <t>BF</t>
    <phoneticPr fontId="1" type="noConversion"/>
  </si>
  <si>
    <t>BA</t>
    <phoneticPr fontId="1" type="noConversion"/>
  </si>
  <si>
    <t>BB</t>
    <phoneticPr fontId="1" type="noConversion"/>
  </si>
  <si>
    <t>B0</t>
    <phoneticPr fontId="1" type="noConversion"/>
  </si>
  <si>
    <t>C0</t>
    <phoneticPr fontId="1" type="noConversion"/>
  </si>
  <si>
    <t>03</t>
  </si>
  <si>
    <t>05</t>
  </si>
  <si>
    <t>06</t>
  </si>
  <si>
    <t>07</t>
  </si>
  <si>
    <t>IR D-Zoom x2</t>
  </si>
  <si>
    <t>IR D-Zoom x3</t>
  </si>
  <si>
    <t>IR D-Zoom x4</t>
  </si>
  <si>
    <t>IR D-Zoom x5</t>
  </si>
  <si>
    <t>IR D-Zoom x6</t>
  </si>
  <si>
    <t>IR D-Zoom x7</t>
  </si>
  <si>
    <t>IR D-Zoom x8</t>
  </si>
  <si>
    <t>IR D-Zoom x1</t>
    <phoneticPr fontId="1" type="noConversion"/>
  </si>
  <si>
    <t>EO D-Zoom On</t>
    <phoneticPr fontId="1" type="noConversion"/>
  </si>
  <si>
    <t>EO D-Zoom Off</t>
    <phoneticPr fontId="1" type="noConversion"/>
  </si>
  <si>
    <t>FF00000800FF07</t>
  </si>
  <si>
    <t>FF00001000FF0F</t>
  </si>
  <si>
    <t>FF000004FF0003</t>
  </si>
  <si>
    <t>FF000002FF0001</t>
  </si>
  <si>
    <t>FF000000000000</t>
  </si>
  <si>
    <t>FF00BA000010CA</t>
  </si>
  <si>
    <t>FF00BA000020DA</t>
  </si>
  <si>
    <t>FF00BA000000BA</t>
  </si>
  <si>
    <t>FF00BF000000BF</t>
  </si>
  <si>
    <t>FF00BB000010CB</t>
  </si>
  <si>
    <t>FF00BB000020DB</t>
  </si>
  <si>
    <t>FF00BB000000BB</t>
  </si>
  <si>
    <t>FF00B0000001B1</t>
  </si>
  <si>
    <t>FF00B0000000B0</t>
  </si>
  <si>
    <t>FF00C0000001C1</t>
  </si>
  <si>
    <t>FF00C0000002C2</t>
  </si>
  <si>
    <t>FF00C0000003C3</t>
  </si>
  <si>
    <t>FF00C0000004C4</t>
  </si>
  <si>
    <t>FF00C0000005C5</t>
  </si>
  <si>
    <t>FF00C0000006C6</t>
  </si>
  <si>
    <t>FF00C0000007C7</t>
  </si>
  <si>
    <t>FF00C0000008C8</t>
  </si>
  <si>
    <t>Follow On</t>
    <phoneticPr fontId="1" type="noConversion"/>
  </si>
  <si>
    <t>Normal On</t>
    <phoneticPr fontId="1" type="noConversion"/>
  </si>
  <si>
    <t>F1</t>
    <phoneticPr fontId="1" type="noConversion"/>
  </si>
  <si>
    <t>FB</t>
    <phoneticPr fontId="1" type="noConversion"/>
  </si>
  <si>
    <t>Foll. Dead Band 0</t>
    <phoneticPr fontId="1" type="noConversion"/>
  </si>
  <si>
    <t>Foll. Dead Band 50</t>
    <phoneticPr fontId="1" type="noConversion"/>
  </si>
  <si>
    <t>Foll. Dead Band 255</t>
    <phoneticPr fontId="1" type="noConversion"/>
  </si>
  <si>
    <t>Foll. Spd 1</t>
    <phoneticPr fontId="1" type="noConversion"/>
  </si>
  <si>
    <t>Foll. Spd 20</t>
    <phoneticPr fontId="1" type="noConversion"/>
  </si>
  <si>
    <t>Foll. Spd 60</t>
    <phoneticPr fontId="1" type="noConversion"/>
  </si>
  <si>
    <t>FC</t>
    <phoneticPr fontId="1" type="noConversion"/>
  </si>
  <si>
    <t>01</t>
    <phoneticPr fontId="1" type="noConversion"/>
  </si>
  <si>
    <t>3C</t>
    <phoneticPr fontId="1" type="noConversion"/>
  </si>
  <si>
    <t xml:space="preserve">Exponential Cur. 100 </t>
    <phoneticPr fontId="1" type="noConversion"/>
  </si>
  <si>
    <t>Exponential Cur. 0</t>
    <phoneticPr fontId="1" type="noConversion"/>
  </si>
  <si>
    <t>Exponential Cur. 50</t>
    <phoneticPr fontId="1" type="noConversion"/>
  </si>
  <si>
    <t>FD</t>
    <phoneticPr fontId="1" type="noConversion"/>
  </si>
  <si>
    <t>32</t>
    <phoneticPr fontId="1" type="noConversion"/>
  </si>
  <si>
    <t>Foll. Range 0</t>
    <phoneticPr fontId="1" type="noConversion"/>
  </si>
  <si>
    <t>Foll. Range 60</t>
    <phoneticPr fontId="1" type="noConversion"/>
  </si>
  <si>
    <t>Foll. Range 150</t>
    <phoneticPr fontId="1" type="noConversion"/>
  </si>
  <si>
    <t>FE</t>
    <phoneticPr fontId="1" type="noConversion"/>
  </si>
  <si>
    <t>96</t>
    <phoneticPr fontId="1" type="noConversion"/>
  </si>
  <si>
    <t>Foll. Axis Yaw Only</t>
    <phoneticPr fontId="1" type="noConversion"/>
  </si>
  <si>
    <t>Foll. Axis Yaw+Pitch</t>
    <phoneticPr fontId="1" type="noConversion"/>
  </si>
  <si>
    <t>F6</t>
    <phoneticPr fontId="1" type="noConversion"/>
  </si>
  <si>
    <t>F5</t>
    <phoneticPr fontId="1" type="noConversion"/>
  </si>
  <si>
    <t>2C</t>
    <phoneticPr fontId="1" type="noConversion"/>
  </si>
  <si>
    <t>Driff Offset 0</t>
    <phoneticPr fontId="1" type="noConversion"/>
  </si>
  <si>
    <t>Driff Offset 150</t>
    <phoneticPr fontId="1" type="noConversion"/>
  </si>
  <si>
    <t>Driff Offset 300</t>
    <phoneticPr fontId="1" type="noConversion"/>
  </si>
  <si>
    <t>WDR On</t>
    <phoneticPr fontId="1" type="noConversion"/>
  </si>
  <si>
    <t>BLC On</t>
    <phoneticPr fontId="1" type="noConversion"/>
  </si>
  <si>
    <t>BLC Off</t>
    <phoneticPr fontId="1" type="noConversion"/>
  </si>
  <si>
    <t>B3</t>
    <phoneticPr fontId="1" type="noConversion"/>
  </si>
  <si>
    <t>DIS On</t>
    <phoneticPr fontId="1" type="noConversion"/>
  </si>
  <si>
    <t>DIS Off</t>
    <phoneticPr fontId="1" type="noConversion"/>
  </si>
  <si>
    <t>DN Day</t>
    <phoneticPr fontId="1" type="noConversion"/>
  </si>
  <si>
    <t>DN Night</t>
    <phoneticPr fontId="1" type="noConversion"/>
  </si>
  <si>
    <t>DN Auto</t>
    <phoneticPr fontId="1" type="noConversion"/>
  </si>
  <si>
    <t>Brighteness 0</t>
    <phoneticPr fontId="1" type="noConversion"/>
  </si>
  <si>
    <t>Brighteness 5</t>
    <phoneticPr fontId="1" type="noConversion"/>
  </si>
  <si>
    <t>Brighteness 10</t>
    <phoneticPr fontId="1" type="noConversion"/>
  </si>
  <si>
    <t>B5</t>
    <phoneticPr fontId="1" type="noConversion"/>
  </si>
  <si>
    <t>Sharpness 0</t>
    <phoneticPr fontId="1" type="noConversion"/>
  </si>
  <si>
    <t>Sharpness 5</t>
    <phoneticPr fontId="1" type="noConversion"/>
  </si>
  <si>
    <t>Sharpness 10</t>
    <phoneticPr fontId="1" type="noConversion"/>
  </si>
  <si>
    <t>B7</t>
    <phoneticPr fontId="1" type="noConversion"/>
  </si>
  <si>
    <t>Defog On</t>
    <phoneticPr fontId="1" type="noConversion"/>
  </si>
  <si>
    <t>Defog Off</t>
    <phoneticPr fontId="1" type="noConversion"/>
  </si>
  <si>
    <t>B8</t>
    <phoneticPr fontId="1" type="noConversion"/>
  </si>
  <si>
    <t>White</t>
    <phoneticPr fontId="1" type="noConversion"/>
  </si>
  <si>
    <t>Black</t>
    <phoneticPr fontId="1" type="noConversion"/>
  </si>
  <si>
    <t>Rainbow</t>
    <phoneticPr fontId="1" type="noConversion"/>
  </si>
  <si>
    <t>Rainbow HC</t>
    <phoneticPr fontId="1" type="noConversion"/>
  </si>
  <si>
    <t>Iron</t>
    <phoneticPr fontId="1" type="noConversion"/>
  </si>
  <si>
    <t>Lava</t>
    <phoneticPr fontId="1" type="noConversion"/>
  </si>
  <si>
    <t>Sky</t>
    <phoneticPr fontId="1" type="noConversion"/>
  </si>
  <si>
    <t>Medium Gray</t>
    <phoneticPr fontId="1" type="noConversion"/>
  </si>
  <si>
    <t>Gray-Red</t>
    <phoneticPr fontId="1" type="noConversion"/>
  </si>
  <si>
    <t>Purple Orange</t>
    <phoneticPr fontId="1" type="noConversion"/>
  </si>
  <si>
    <t>C1</t>
    <phoneticPr fontId="1" type="noConversion"/>
  </si>
  <si>
    <t>09</t>
  </si>
  <si>
    <t>AGC Auto 1</t>
    <phoneticPr fontId="1" type="noConversion"/>
  </si>
  <si>
    <t>AGC Auto 2</t>
    <phoneticPr fontId="1" type="noConversion"/>
  </si>
  <si>
    <t>C2</t>
    <phoneticPr fontId="1" type="noConversion"/>
  </si>
  <si>
    <t>DDE On</t>
    <phoneticPr fontId="1" type="noConversion"/>
  </si>
  <si>
    <t>C3</t>
    <phoneticPr fontId="1" type="noConversion"/>
  </si>
  <si>
    <t>Calibration Exe</t>
    <phoneticPr fontId="1" type="noConversion"/>
  </si>
  <si>
    <t>C4</t>
    <phoneticPr fontId="1" type="noConversion"/>
  </si>
  <si>
    <t>DDE Off</t>
    <phoneticPr fontId="1" type="noConversion"/>
  </si>
  <si>
    <t>WDR Off</t>
    <phoneticPr fontId="1" type="noConversion"/>
  </si>
  <si>
    <t>Speed</t>
    <phoneticPr fontId="1" type="noConversion"/>
  </si>
  <si>
    <t>54</t>
    <phoneticPr fontId="1" type="noConversion"/>
  </si>
  <si>
    <t>Diagonal Speed</t>
    <phoneticPr fontId="1" type="noConversion"/>
  </si>
  <si>
    <t>7F</t>
    <phoneticPr fontId="1" type="noConversion"/>
  </si>
  <si>
    <t>3F</t>
    <phoneticPr fontId="1" type="noConversion"/>
  </si>
  <si>
    <t>Up_Left</t>
    <phoneticPr fontId="1" type="noConversion"/>
  </si>
  <si>
    <t>UP_Right</t>
    <phoneticPr fontId="1" type="noConversion"/>
  </si>
  <si>
    <t>Down_Left</t>
    <phoneticPr fontId="1" type="noConversion"/>
  </si>
  <si>
    <t>Down_Right</t>
    <phoneticPr fontId="1" type="noConversion"/>
  </si>
  <si>
    <t>0C</t>
    <phoneticPr fontId="1" type="noConversion"/>
  </si>
  <si>
    <t>FF000012BF5425</t>
  </si>
  <si>
    <t>FF0000127F3FD0</t>
  </si>
  <si>
    <t>FF00000C7F3FCA</t>
    <phoneticPr fontId="1" type="noConversion"/>
  </si>
  <si>
    <t>FF00000A7F3FC8</t>
    <phoneticPr fontId="1" type="noConversion"/>
  </si>
  <si>
    <t>FF0000147F3FD2</t>
    <phoneticPr fontId="1" type="noConversion"/>
  </si>
  <si>
    <t>FF0000127F3FD0</t>
    <phoneticPr fontId="1" type="noConversion"/>
  </si>
  <si>
    <t>FF00F1000001F2</t>
  </si>
  <si>
    <t>FF00F1000000F1</t>
  </si>
  <si>
    <t>FF00FB000000FB</t>
  </si>
  <si>
    <t>FF00FB0000504B</t>
  </si>
  <si>
    <t>FF00FB0000FFFA</t>
  </si>
  <si>
    <t>FF00FC000001FD</t>
  </si>
  <si>
    <t>FF00FC00001410</t>
  </si>
  <si>
    <t>FF00FC00003C38</t>
  </si>
  <si>
    <t>FF00FD000000FD</t>
  </si>
  <si>
    <t>FF00FD0000322F</t>
  </si>
  <si>
    <t>FF00FD00006461</t>
  </si>
  <si>
    <t>FF00FE000000FE</t>
  </si>
  <si>
    <t>FF00FE00003C3A</t>
  </si>
  <si>
    <t>FF00FE00009694</t>
  </si>
  <si>
    <t>FF00F6000001F7</t>
  </si>
  <si>
    <t>FF00F6000002F8</t>
  </si>
  <si>
    <t>FF00F5000000F5</t>
  </si>
  <si>
    <t>FF00F50000968B</t>
  </si>
  <si>
    <t>FF00F500012C22</t>
  </si>
  <si>
    <t>FF00B1000001B2</t>
  </si>
  <si>
    <t>FF00B1000000B1</t>
  </si>
  <si>
    <t>FF00B2000001B3</t>
  </si>
  <si>
    <t>FF00B2000000B2</t>
  </si>
  <si>
    <t>FF00B3000001B4</t>
  </si>
  <si>
    <t>FF00B3000000B3</t>
  </si>
  <si>
    <t>FF00B4000000B4</t>
  </si>
  <si>
    <t>FF00B4000001B5</t>
  </si>
  <si>
    <t>FF00B4000002B6</t>
  </si>
  <si>
    <t>FF00B5000000B5</t>
  </si>
  <si>
    <t>FF00B5000005BA</t>
  </si>
  <si>
    <t>FF00B500000ABF</t>
  </si>
  <si>
    <t>FF00B7000000B7</t>
  </si>
  <si>
    <t>FF00B7000005BC</t>
  </si>
  <si>
    <t>FF00B700000AC1</t>
  </si>
  <si>
    <t>FF00B8000001B9</t>
  </si>
  <si>
    <t>FF00B8000000B8</t>
  </si>
  <si>
    <t>FF00C1000000C1</t>
  </si>
  <si>
    <t>FF00C1000001C2</t>
  </si>
  <si>
    <t>FF00C1000002C3</t>
  </si>
  <si>
    <t>FF00C1000003C4</t>
  </si>
  <si>
    <t>FF00C1000004C5</t>
  </si>
  <si>
    <t>FF00C1000005C6</t>
  </si>
  <si>
    <t>FF00C1000006C7</t>
  </si>
  <si>
    <t>FF00C1000007C8</t>
  </si>
  <si>
    <t>FF00C1000008C9</t>
  </si>
  <si>
    <t>FF00C1000009CA</t>
  </si>
  <si>
    <t>FF00C2000001C3</t>
  </si>
  <si>
    <t>FF00C3000001C4</t>
  </si>
  <si>
    <t>FF00C3000000C3</t>
  </si>
  <si>
    <t>FF00C4000000C4</t>
  </si>
  <si>
    <t>FF00C2000000C2</t>
    <phoneticPr fontId="1" type="noConversion"/>
  </si>
  <si>
    <t>Move Home</t>
    <phoneticPr fontId="1" type="noConversion"/>
  </si>
  <si>
    <t>Move Init Home</t>
    <phoneticPr fontId="1" type="noConversion"/>
  </si>
  <si>
    <t>FA</t>
    <phoneticPr fontId="1" type="noConversion"/>
  </si>
  <si>
    <t>FF00FA000000FA</t>
  </si>
  <si>
    <t>FF00FA000001FB</t>
  </si>
  <si>
    <t>2</t>
    <phoneticPr fontId="1" type="noConversion"/>
  </si>
  <si>
    <t>Reply Int. 20ms</t>
    <phoneticPr fontId="1" type="noConversion"/>
  </si>
  <si>
    <t>Reply Int. 1s</t>
    <phoneticPr fontId="1" type="noConversion"/>
  </si>
  <si>
    <t>Reply Int. 2s</t>
    <phoneticPr fontId="1" type="noConversion"/>
  </si>
  <si>
    <t>FF00E000012E3</t>
  </si>
  <si>
    <t>FF00E000016445</t>
  </si>
  <si>
    <t>FF00E00001C8A9</t>
  </si>
  <si>
    <t>Infinity Focus Off</t>
    <phoneticPr fontId="1" type="noConversion"/>
  </si>
  <si>
    <t>Infinity Focus On</t>
    <phoneticPr fontId="1" type="noConversion"/>
  </si>
  <si>
    <t>19</t>
    <phoneticPr fontId="1" type="noConversion"/>
  </si>
  <si>
    <t>Recover Origin On</t>
    <phoneticPr fontId="1" type="noConversion"/>
  </si>
  <si>
    <t>Recover Origin Off</t>
    <phoneticPr fontId="1" type="noConversion"/>
  </si>
  <si>
    <t>wiper 3회</t>
    <phoneticPr fontId="1" type="noConversion"/>
  </si>
  <si>
    <t>D/N Toggle</t>
    <phoneticPr fontId="1" type="noConversion"/>
  </si>
  <si>
    <t>PAN to 0 Dig, TILT to 0 Dig MOVE</t>
    <phoneticPr fontId="1" type="noConversion"/>
  </si>
  <si>
    <t>Reset Current PAN Position to 0 Dig</t>
    <phoneticPr fontId="1" type="noConversion"/>
  </si>
  <si>
    <t>PAN Position to 0 Dig to Factory Default</t>
    <phoneticPr fontId="1" type="noConversion"/>
  </si>
  <si>
    <t>Cur Pan Pos to 0</t>
    <phoneticPr fontId="1" type="noConversion"/>
  </si>
  <si>
    <t>Pan Tilt Move to 0</t>
    <phoneticPr fontId="1" type="noConversion"/>
  </si>
  <si>
    <t>Pan Pos to 0 F/D</t>
    <phoneticPr fontId="1" type="noConversion"/>
  </si>
  <si>
    <t>move HOME-Position - PAN/TILT Only(ZOOM Not Saved)</t>
    <phoneticPr fontId="1" type="noConversion"/>
  </si>
  <si>
    <t>000F</t>
    <phoneticPr fontId="1" type="noConversion"/>
  </si>
  <si>
    <t>000D</t>
    <phoneticPr fontId="1" type="noConversion"/>
  </si>
  <si>
    <t>000B</t>
    <phoneticPr fontId="1" type="noConversion"/>
  </si>
  <si>
    <t>0200</t>
    <phoneticPr fontId="1" type="noConversion"/>
  </si>
  <si>
    <t>Mask 1 On</t>
    <phoneticPr fontId="1" type="noConversion"/>
  </si>
  <si>
    <t>Mask 2 Off</t>
    <phoneticPr fontId="1" type="noConversion"/>
  </si>
  <si>
    <t>Capture</t>
    <phoneticPr fontId="1" type="noConversion"/>
  </si>
  <si>
    <t>Capture NYX</t>
    <phoneticPr fontId="1" type="noConversion"/>
  </si>
  <si>
    <t>zoom dir=13000</t>
    <phoneticPr fontId="1" type="noConversion"/>
  </si>
  <si>
    <t>NYX.SET#lens_zdir=13000</t>
    <phoneticPr fontId="1" type="noConversion"/>
  </si>
  <si>
    <t xml:space="preserve"> focus dir 17000</t>
    <phoneticPr fontId="1" type="noConversion"/>
  </si>
  <si>
    <t>NYX.SET#lens_fdir=17000</t>
    <phoneticPr fontId="1" type="noConversion"/>
  </si>
  <si>
    <t xml:space="preserve"> focus dir -17000</t>
    <phoneticPr fontId="1" type="noConversion"/>
  </si>
  <si>
    <t xml:space="preserve"> focus dir 32759</t>
    <phoneticPr fontId="1" type="noConversion"/>
  </si>
  <si>
    <t>NYX.SET#lens_fdir=32759</t>
    <phoneticPr fontId="1" type="noConversion"/>
  </si>
  <si>
    <t xml:space="preserve"> focus dir -32759</t>
    <phoneticPr fontId="1" type="noConversion"/>
  </si>
  <si>
    <t>NYX.SET#lens_fdir=-32759</t>
    <phoneticPr fontId="1" type="noConversion"/>
  </si>
  <si>
    <t xml:space="preserve"> focus dir 15000</t>
    <phoneticPr fontId="1" type="noConversion"/>
  </si>
  <si>
    <t>NYX.SET#lens_fdir=15000</t>
    <phoneticPr fontId="1" type="noConversion"/>
  </si>
  <si>
    <t xml:space="preserve"> focus dir 0</t>
    <phoneticPr fontId="1" type="noConversion"/>
  </si>
  <si>
    <t>NYX.SET#lens_fdir=0</t>
    <phoneticPr fontId="1" type="noConversion"/>
  </si>
  <si>
    <t>Left Up</t>
    <phoneticPr fontId="1" type="noConversion"/>
  </si>
  <si>
    <t>Right Up</t>
    <phoneticPr fontId="1" type="noConversion"/>
  </si>
  <si>
    <t>Left Down</t>
    <phoneticPr fontId="1" type="noConversion"/>
  </si>
  <si>
    <t>Right Down</t>
    <phoneticPr fontId="1" type="noConversion"/>
  </si>
  <si>
    <t>40</t>
    <phoneticPr fontId="1" type="noConversion"/>
  </si>
  <si>
    <t>EO Zoom In</t>
    <phoneticPr fontId="1" type="noConversion"/>
  </si>
  <si>
    <t>EO Zoom Out</t>
    <phoneticPr fontId="1" type="noConversion"/>
  </si>
  <si>
    <t>EO Far</t>
    <phoneticPr fontId="1" type="noConversion"/>
  </si>
  <si>
    <t>EO Near</t>
    <phoneticPr fontId="1" type="noConversion"/>
  </si>
  <si>
    <t>EO Zoom SPD 4</t>
    <phoneticPr fontId="1" type="noConversion"/>
  </si>
  <si>
    <t>EO Focus SPD 4</t>
    <phoneticPr fontId="1" type="noConversion"/>
  </si>
  <si>
    <t>Pan Pos 0</t>
    <phoneticPr fontId="1" type="noConversion"/>
  </si>
  <si>
    <t>4B</t>
    <phoneticPr fontId="1" type="noConversion"/>
  </si>
  <si>
    <t>Pan Query</t>
    <phoneticPr fontId="1" type="noConversion"/>
  </si>
  <si>
    <t>Tilt Pos 0</t>
    <phoneticPr fontId="1" type="noConversion"/>
  </si>
  <si>
    <t>4D</t>
    <phoneticPr fontId="1" type="noConversion"/>
  </si>
  <si>
    <t>Tilt Query</t>
    <phoneticPr fontId="1" type="noConversion"/>
  </si>
  <si>
    <t>Preset Set 01</t>
    <phoneticPr fontId="1" type="noConversion"/>
  </si>
  <si>
    <t>Preset Set 255</t>
    <phoneticPr fontId="1" type="noConversion"/>
  </si>
  <si>
    <t>Preset Clear 0</t>
    <phoneticPr fontId="1" type="noConversion"/>
  </si>
  <si>
    <t>Preset Clear 255</t>
    <phoneticPr fontId="1" type="noConversion"/>
  </si>
  <si>
    <t>09</t>
    <phoneticPr fontId="1" type="noConversion"/>
  </si>
  <si>
    <t>Preset Call 01</t>
    <phoneticPr fontId="1" type="noConversion"/>
  </si>
  <si>
    <t>Preset Call 255</t>
    <phoneticPr fontId="1" type="noConversion"/>
  </si>
  <si>
    <t>Set Zero</t>
    <phoneticPr fontId="1" type="noConversion"/>
  </si>
  <si>
    <t>49</t>
    <phoneticPr fontId="1" type="noConversion"/>
  </si>
  <si>
    <t>Clear Zero</t>
    <phoneticPr fontId="1" type="noConversion"/>
  </si>
  <si>
    <t>47</t>
    <phoneticPr fontId="1" type="noConversion"/>
  </si>
  <si>
    <t>Focus Pos 0</t>
  </si>
  <si>
    <t>F.Pos 4096(0x1000)</t>
  </si>
  <si>
    <t>Z.Pos 16384(0x4000)</t>
  </si>
  <si>
    <t>F.Pos 32768(0x8000)</t>
  </si>
  <si>
    <t>AllStop PT Drv</t>
  </si>
  <si>
    <t>AllStop PT Drv</t>
    <phoneticPr fontId="1" type="noConversion"/>
  </si>
  <si>
    <t>AllStop EO</t>
  </si>
  <si>
    <t>AllStop EO</t>
    <phoneticPr fontId="1" type="noConversion"/>
  </si>
  <si>
    <t>FF010010404091</t>
  </si>
  <si>
    <t>FF010004404085</t>
  </si>
  <si>
    <t>FF010002404083</t>
  </si>
  <si>
    <t>FF01000C40408D</t>
  </si>
  <si>
    <t>FF01000A40408B</t>
  </si>
  <si>
    <t>FF010014404095</t>
  </si>
  <si>
    <t>FF010012404093</t>
  </si>
  <si>
    <t>FF020000000002</t>
  </si>
  <si>
    <t>FF020020000022</t>
  </si>
  <si>
    <t>FF020040000042</t>
  </si>
  <si>
    <t>FF020080000082</t>
  </si>
  <si>
    <t>FF020100000003</t>
  </si>
  <si>
    <t>FF02002500042B</t>
  </si>
  <si>
    <t>FF02002700042D</t>
  </si>
  <si>
    <t>FF02004F000051</t>
  </si>
  <si>
    <t>FF02004F400091</t>
  </si>
  <si>
    <t>FF02004FFFFF4F</t>
  </si>
  <si>
    <t>FF020055000057</t>
  </si>
  <si>
    <t>FF02014F000052</t>
  </si>
  <si>
    <t>FF02014F100062</t>
  </si>
  <si>
    <t>FF02014F8000D2</t>
  </si>
  <si>
    <t>FF02014FFFFF50</t>
  </si>
  <si>
    <t>FF020155000058</t>
  </si>
  <si>
    <t>FF02002B00002D</t>
  </si>
  <si>
    <t>FF02002B00012E</t>
  </si>
  <si>
    <t>FF02000F000011</t>
  </si>
  <si>
    <t>FF02002900002B</t>
  </si>
  <si>
    <t>FF01004B00004C</t>
  </si>
  <si>
    <t>FF010051000052</t>
  </si>
  <si>
    <t>FF01004D00004E</t>
  </si>
  <si>
    <t>FF010053000054</t>
  </si>
  <si>
    <t>FF01000500FF05</t>
  </si>
  <si>
    <t>FF010700000109</t>
  </si>
  <si>
    <t>FF01070000FF07</t>
  </si>
  <si>
    <t>FF01090000010B</t>
  </si>
  <si>
    <t>FF01090000FF09</t>
  </si>
  <si>
    <t>FF01004900004A</t>
  </si>
  <si>
    <t>FF010047000048</t>
  </si>
  <si>
    <t>FF030000000003</t>
  </si>
  <si>
    <t>Up</t>
  </si>
  <si>
    <t>Down</t>
  </si>
  <si>
    <t>Left</t>
  </si>
  <si>
    <t>Right</t>
  </si>
  <si>
    <t>Left Up</t>
  </si>
  <si>
    <t>Right Up</t>
  </si>
  <si>
    <t>Left Down</t>
  </si>
  <si>
    <t>Right Down</t>
  </si>
  <si>
    <t>EO Zoom In</t>
  </si>
  <si>
    <t>EO Zoom Out</t>
  </si>
  <si>
    <t>EO Far</t>
  </si>
  <si>
    <t>EO Near</t>
  </si>
  <si>
    <t>EO Zoom SPD 4</t>
  </si>
  <si>
    <t>EO Focus SPD 4</t>
  </si>
  <si>
    <t>Zoom Pos 0</t>
  </si>
  <si>
    <t>Zoom Pos 65535</t>
  </si>
  <si>
    <t>Zoom Query</t>
  </si>
  <si>
    <t>Focus Pos 65535</t>
  </si>
  <si>
    <t>Focus Query</t>
  </si>
  <si>
    <t>AF On</t>
  </si>
  <si>
    <t>AF Off</t>
  </si>
  <si>
    <t>Reboot EO</t>
  </si>
  <si>
    <t>Reset Default</t>
  </si>
  <si>
    <t>Pan Pos 0</t>
  </si>
  <si>
    <t>Pan Pos 65535</t>
  </si>
  <si>
    <t>Pan Query</t>
  </si>
  <si>
    <t>Tilt Pos 0</t>
  </si>
  <si>
    <t>Tilt Pos 65535</t>
  </si>
  <si>
    <t>Tilt Query</t>
  </si>
  <si>
    <t>Preset Set 01</t>
  </si>
  <si>
    <t>Preset Set 255</t>
  </si>
  <si>
    <t>Preset Clear 0</t>
  </si>
  <si>
    <t>Preset Clear 255</t>
  </si>
  <si>
    <t>Preset Call 01</t>
  </si>
  <si>
    <t>Preset Call 255</t>
  </si>
  <si>
    <t>Set Zero</t>
  </si>
  <si>
    <t>Clear Zero</t>
  </si>
  <si>
    <t>EO</t>
  </si>
  <si>
    <t>EO</t>
    <phoneticPr fontId="1" type="noConversion"/>
  </si>
  <si>
    <t>CMD List</t>
  </si>
  <si>
    <t>CMD List</t>
    <phoneticPr fontId="1" type="noConversion"/>
  </si>
  <si>
    <t>EO Zoom Pos 0</t>
  </si>
  <si>
    <t>EO Zoom Pos 0</t>
    <phoneticPr fontId="1" type="noConversion"/>
  </si>
  <si>
    <t>EO Z.Pos 16384(0x4000)</t>
  </si>
  <si>
    <t>EO Z.Pos 16384(0x4000)</t>
    <phoneticPr fontId="1" type="noConversion"/>
  </si>
  <si>
    <t>EO Zoom Pos 65535</t>
  </si>
  <si>
    <t>EO Zoom Pos 65535</t>
    <phoneticPr fontId="1" type="noConversion"/>
  </si>
  <si>
    <t>EO Zoom Query</t>
  </si>
  <si>
    <t>EO Zoom Query</t>
    <phoneticPr fontId="1" type="noConversion"/>
  </si>
  <si>
    <t>EO Focus Pos 0</t>
  </si>
  <si>
    <t>EO Focus Pos 0</t>
    <phoneticPr fontId="1" type="noConversion"/>
  </si>
  <si>
    <t>EO F.Pos 4096(0x1000)</t>
  </si>
  <si>
    <t>EO F.Pos 4096(0x1000)</t>
    <phoneticPr fontId="1" type="noConversion"/>
  </si>
  <si>
    <t>EO F.Pos 32768(0x8000)</t>
  </si>
  <si>
    <t>EO F.Pos 32768(0x8000)</t>
    <phoneticPr fontId="1" type="noConversion"/>
  </si>
  <si>
    <t>EO Focus Pos 65535</t>
  </si>
  <si>
    <t>EO Focus Pos 65535</t>
    <phoneticPr fontId="1" type="noConversion"/>
  </si>
  <si>
    <t>EO Focus Query</t>
  </si>
  <si>
    <t>EO Focus Query</t>
    <phoneticPr fontId="1" type="noConversion"/>
  </si>
  <si>
    <t>EO AF On</t>
  </si>
  <si>
    <t>EO AF On</t>
    <phoneticPr fontId="1" type="noConversion"/>
  </si>
  <si>
    <t>EO AF Off</t>
  </si>
  <si>
    <t>EO AF Off</t>
    <phoneticPr fontId="1" type="noConversion"/>
  </si>
  <si>
    <t>EO Reboot</t>
  </si>
  <si>
    <t>EO Reboot</t>
    <phoneticPr fontId="1" type="noConversion"/>
  </si>
  <si>
    <t>EO Reset Default</t>
  </si>
  <si>
    <t>EO Reset Default</t>
    <phoneticPr fontId="1" type="noConversion"/>
  </si>
  <si>
    <t>IR</t>
  </si>
  <si>
    <t>IR</t>
    <phoneticPr fontId="1" type="noConversion"/>
  </si>
  <si>
    <t>EO All Stop</t>
  </si>
  <si>
    <t>EO All Stop</t>
    <phoneticPr fontId="1" type="noConversion"/>
  </si>
  <si>
    <t>IR Zoom In</t>
  </si>
  <si>
    <t>IR Zoom Out</t>
  </si>
  <si>
    <t>IR Far</t>
  </si>
  <si>
    <t>IR Near</t>
  </si>
  <si>
    <t>IR Zoom SPD 4</t>
  </si>
  <si>
    <t>IR Focus SPD 4</t>
  </si>
  <si>
    <t>IR Zoom Pos 0</t>
  </si>
  <si>
    <t>IR Z.Pos 16384(0x4000)</t>
  </si>
  <si>
    <t>IR Zoom Pos 65535</t>
  </si>
  <si>
    <t>IR Zoom Query</t>
  </si>
  <si>
    <t>IR Focus Pos 0</t>
  </si>
  <si>
    <t>IR F.Pos 4096(0x1000)</t>
  </si>
  <si>
    <t>IR F.Pos 32768(0x8000)</t>
  </si>
  <si>
    <t>IR Focus Pos 65535</t>
  </si>
  <si>
    <t>IR Focus Query</t>
  </si>
  <si>
    <t>IR AF On</t>
  </si>
  <si>
    <t>IR AF Off</t>
  </si>
  <si>
    <t>IR Reboot</t>
  </si>
  <si>
    <t>IR Reset Default</t>
  </si>
  <si>
    <t>IR All Stop</t>
  </si>
  <si>
    <t>IR All Stop</t>
    <phoneticPr fontId="1" type="noConversion"/>
  </si>
  <si>
    <t>FF030040000043</t>
  </si>
  <si>
    <t>FF030080000083</t>
  </si>
  <si>
    <t>FF030100000004</t>
  </si>
  <si>
    <t>FF03002500042C</t>
  </si>
  <si>
    <t>FF03002700042E</t>
  </si>
  <si>
    <t>FF03004F000052</t>
  </si>
  <si>
    <t>FF03004F400092</t>
  </si>
  <si>
    <t>FF03004FFFFF50</t>
  </si>
  <si>
    <t>FF030055000058</t>
  </si>
  <si>
    <t>FF03014F000053</t>
  </si>
  <si>
    <t>FF03014F100063</t>
  </si>
  <si>
    <t>FF03014F8000D3</t>
  </si>
  <si>
    <t>FF03014FFFFF51</t>
  </si>
  <si>
    <t>FF030155000059</t>
  </si>
  <si>
    <t>FF03002B00002E</t>
  </si>
  <si>
    <t>FF03002B00012F</t>
  </si>
  <si>
    <t>FF03000F000012</t>
  </si>
  <si>
    <t>FF03002900002C</t>
  </si>
  <si>
    <t>EO Zoom SPD 0</t>
    <phoneticPr fontId="1" type="noConversion"/>
  </si>
  <si>
    <t>EO Focus SPD 0</t>
    <phoneticPr fontId="1" type="noConversion"/>
  </si>
  <si>
    <t>PT Driver</t>
    <phoneticPr fontId="1" type="noConversion"/>
  </si>
  <si>
    <t>Pan Pos -18000</t>
    <phoneticPr fontId="1" type="noConversion"/>
  </si>
  <si>
    <t>Pan Pos 18000</t>
    <phoneticPr fontId="1" type="noConversion"/>
  </si>
  <si>
    <t>Pan Pos 9000</t>
    <phoneticPr fontId="1" type="noConversion"/>
  </si>
  <si>
    <t>Pan Pos -9000</t>
    <phoneticPr fontId="1" type="noConversion"/>
  </si>
  <si>
    <t>46</t>
    <phoneticPr fontId="1" type="noConversion"/>
  </si>
  <si>
    <t>23</t>
    <phoneticPr fontId="1" type="noConversion"/>
  </si>
  <si>
    <t>B9</t>
    <phoneticPr fontId="1" type="noConversion"/>
  </si>
  <si>
    <t>DC</t>
    <phoneticPr fontId="1" type="noConversion"/>
  </si>
  <si>
    <t>D8</t>
    <phoneticPr fontId="1" type="noConversion"/>
  </si>
  <si>
    <t>Pan Pos 4000</t>
    <phoneticPr fontId="1" type="noConversion"/>
  </si>
  <si>
    <t>Pan Pos -4000</t>
    <phoneticPr fontId="1" type="noConversion"/>
  </si>
  <si>
    <t>양수 계산</t>
    <phoneticPr fontId="1" type="noConversion"/>
  </si>
  <si>
    <t>음수 계산</t>
    <phoneticPr fontId="1" type="noConversion"/>
  </si>
  <si>
    <t>F0</t>
    <phoneticPr fontId="1" type="noConversion"/>
  </si>
  <si>
    <t>60</t>
    <phoneticPr fontId="1" type="noConversion"/>
  </si>
  <si>
    <t>Tilt Pos -9000</t>
    <phoneticPr fontId="1" type="noConversion"/>
  </si>
  <si>
    <t>Tilt Pos 9000</t>
    <phoneticPr fontId="1" type="noConversion"/>
  </si>
  <si>
    <t>Tilt Pos 3000</t>
    <phoneticPr fontId="1" type="noConversion"/>
  </si>
  <si>
    <t>Tilt Pos -3000</t>
    <phoneticPr fontId="1" type="noConversion"/>
  </si>
  <si>
    <t>Tilt Pos 4500</t>
    <phoneticPr fontId="1" type="noConversion"/>
  </si>
  <si>
    <t>Tilt Pos -4500</t>
    <phoneticPr fontId="1" type="noConversion"/>
  </si>
  <si>
    <t>Pan Pos -20000</t>
    <phoneticPr fontId="1" type="noConversion"/>
  </si>
  <si>
    <t>Pan Pos 20000</t>
    <phoneticPr fontId="1" type="noConversion"/>
  </si>
  <si>
    <t>Tilt Pos -10000</t>
    <phoneticPr fontId="1" type="noConversion"/>
  </si>
  <si>
    <t>Tilt Pos 10000</t>
    <phoneticPr fontId="1" type="noConversion"/>
  </si>
  <si>
    <t>4E</t>
    <phoneticPr fontId="1" type="noConversion"/>
  </si>
  <si>
    <t>0B</t>
    <phoneticPr fontId="1" type="noConversion"/>
  </si>
  <si>
    <t>F4</t>
    <phoneticPr fontId="1" type="noConversion"/>
  </si>
  <si>
    <t>48</t>
    <phoneticPr fontId="1" type="noConversion"/>
  </si>
  <si>
    <t>EE</t>
    <phoneticPr fontId="1" type="noConversion"/>
  </si>
  <si>
    <t>6C</t>
    <phoneticPr fontId="1" type="noConversion"/>
  </si>
  <si>
    <t>Tilt Pos -8999</t>
    <phoneticPr fontId="1" type="noConversion"/>
  </si>
  <si>
    <t>Tilt Pos 8999</t>
    <phoneticPr fontId="1" type="noConversion"/>
  </si>
  <si>
    <t>D9</t>
    <phoneticPr fontId="1" type="noConversion"/>
  </si>
  <si>
    <t>Tilt Pos 6000</t>
    <phoneticPr fontId="1" type="noConversion"/>
  </si>
  <si>
    <t>70</t>
    <phoneticPr fontId="1" type="noConversion"/>
  </si>
  <si>
    <t>Tilt Pos -7000</t>
    <phoneticPr fontId="1" type="noConversion"/>
  </si>
  <si>
    <t>E4</t>
    <phoneticPr fontId="1" type="noConversion"/>
  </si>
  <si>
    <t>A8</t>
    <phoneticPr fontId="1" type="noConversion"/>
  </si>
  <si>
    <t>81</t>
    <phoneticPr fontId="1" type="noConversion"/>
  </si>
  <si>
    <t>Home Pos</t>
    <phoneticPr fontId="1" type="noConversion"/>
  </si>
  <si>
    <t>Pan Pos SPD 4</t>
    <phoneticPr fontId="1" type="noConversion"/>
  </si>
  <si>
    <t>Pan Pos SPD 0</t>
    <phoneticPr fontId="1" type="noConversion"/>
  </si>
  <si>
    <t>Tilt Pos SPD 4</t>
    <phoneticPr fontId="1" type="noConversion"/>
  </si>
  <si>
    <t>Tilt Pos SPD 0</t>
    <phoneticPr fontId="1" type="noConversion"/>
  </si>
  <si>
    <t>P/T(Lens) Pos 
Qry Mode Off</t>
    <phoneticPr fontId="1" type="noConversion"/>
  </si>
  <si>
    <t>P/T(Lens) Pos 
Qry Mode On</t>
    <phoneticPr fontId="1" type="noConversion"/>
  </si>
  <si>
    <t>Ext Query</t>
    <phoneticPr fontId="1" type="noConversion"/>
  </si>
  <si>
    <t>PWR Query</t>
    <phoneticPr fontId="1" type="noConversion"/>
  </si>
  <si>
    <t>91</t>
    <phoneticPr fontId="1" type="noConversion"/>
  </si>
  <si>
    <t>PT Default</t>
    <phoneticPr fontId="1" type="noConversion"/>
  </si>
  <si>
    <t>EO Default</t>
    <phoneticPr fontId="1" type="noConversion"/>
  </si>
  <si>
    <t>IR Default</t>
    <phoneticPr fontId="1" type="noConversion"/>
  </si>
  <si>
    <t>90</t>
    <phoneticPr fontId="1" type="noConversion"/>
  </si>
  <si>
    <t>PT Off</t>
    <phoneticPr fontId="1" type="noConversion"/>
  </si>
  <si>
    <t>PT On</t>
    <phoneticPr fontId="1" type="noConversion"/>
  </si>
  <si>
    <t>EO Off</t>
    <phoneticPr fontId="1" type="noConversion"/>
  </si>
  <si>
    <t>EO On</t>
    <phoneticPr fontId="1" type="noConversion"/>
  </si>
  <si>
    <t>IR Off</t>
    <phoneticPr fontId="1" type="noConversion"/>
  </si>
  <si>
    <t>IR On</t>
    <phoneticPr fontId="1" type="noConversion"/>
  </si>
  <si>
    <t>Tilt Limit Query</t>
    <phoneticPr fontId="1" type="noConversion"/>
  </si>
  <si>
    <t>Limit Set (Save&amp;Apply)</t>
    <phoneticPr fontId="1" type="noConversion"/>
  </si>
  <si>
    <t>Limit Enable</t>
    <phoneticPr fontId="1" type="noConversion"/>
  </si>
  <si>
    <t>Limit Disable</t>
    <phoneticPr fontId="1" type="noConversion"/>
  </si>
  <si>
    <t>Limit Up 6000</t>
    <phoneticPr fontId="1" type="noConversion"/>
  </si>
  <si>
    <t>Limit Down -7000</t>
    <phoneticPr fontId="1" type="noConversion"/>
  </si>
  <si>
    <t>Limit Up 1500</t>
    <phoneticPr fontId="1" type="noConversion"/>
  </si>
  <si>
    <t>Limit Up 3000</t>
    <phoneticPr fontId="1" type="noConversion"/>
  </si>
  <si>
    <t>Limit Up 4500</t>
    <phoneticPr fontId="1" type="noConversion"/>
  </si>
  <si>
    <t>Limit Down -1750</t>
    <phoneticPr fontId="1" type="noConversion"/>
  </si>
  <si>
    <t>Limit Down -3500</t>
    <phoneticPr fontId="1" type="noConversion"/>
  </si>
  <si>
    <t>Limit Down -5250</t>
    <phoneticPr fontId="1" type="noConversion"/>
  </si>
  <si>
    <t>F9</t>
    <phoneticPr fontId="1" type="noConversion"/>
  </si>
  <si>
    <t>F2</t>
    <phoneticPr fontId="1" type="noConversion"/>
  </si>
  <si>
    <t>EB</t>
    <phoneticPr fontId="1" type="noConversion"/>
  </si>
  <si>
    <t>7E</t>
    <phoneticPr fontId="1" type="noConversion"/>
  </si>
  <si>
    <t>ACC Query</t>
    <phoneticPr fontId="1" type="noConversion"/>
  </si>
  <si>
    <t>Fan On</t>
    <phoneticPr fontId="1" type="noConversion"/>
  </si>
  <si>
    <t>Fan Off</t>
    <phoneticPr fontId="1" type="noConversion"/>
  </si>
  <si>
    <t>Heater Off</t>
    <phoneticPr fontId="1" type="noConversion"/>
  </si>
  <si>
    <t>Heater On</t>
    <phoneticPr fontId="1" type="noConversion"/>
  </si>
  <si>
    <t>24</t>
    <phoneticPr fontId="1" type="noConversion"/>
  </si>
  <si>
    <t>Illu Query</t>
    <phoneticPr fontId="1" type="noConversion"/>
  </si>
  <si>
    <t>Ill Enable</t>
    <phoneticPr fontId="1" type="noConversion"/>
  </si>
  <si>
    <t>Ill Disable</t>
    <phoneticPr fontId="1" type="noConversion"/>
  </si>
  <si>
    <t>Ill Sync Off</t>
    <phoneticPr fontId="1" type="noConversion"/>
  </si>
  <si>
    <t>Ill Brightness 0</t>
    <phoneticPr fontId="1" type="noConversion"/>
  </si>
  <si>
    <t>Ill Brightness 255</t>
    <phoneticPr fontId="1" type="noConversion"/>
  </si>
  <si>
    <t>Ill Pos 0</t>
    <phoneticPr fontId="1" type="noConversion"/>
  </si>
  <si>
    <t>Ill Pos 65535</t>
    <phoneticPr fontId="1" type="noConversion"/>
  </si>
  <si>
    <t>61</t>
    <phoneticPr fontId="1" type="noConversion"/>
  </si>
  <si>
    <t>62</t>
    <phoneticPr fontId="1" type="noConversion"/>
  </si>
  <si>
    <t>63</t>
    <phoneticPr fontId="1" type="noConversion"/>
  </si>
  <si>
    <t>Scan Query</t>
    <phoneticPr fontId="1" type="noConversion"/>
  </si>
  <si>
    <t>Scan Set (Save)</t>
    <phoneticPr fontId="1" type="noConversion"/>
  </si>
  <si>
    <t>Scan Disable</t>
    <phoneticPr fontId="1" type="noConversion"/>
  </si>
  <si>
    <t>Scan Enable</t>
    <phoneticPr fontId="1" type="noConversion"/>
  </si>
  <si>
    <t>Scan Right Panning</t>
    <phoneticPr fontId="1" type="noConversion"/>
  </si>
  <si>
    <t>Scan Left Panning</t>
    <phoneticPr fontId="1" type="noConversion"/>
  </si>
  <si>
    <t>Scan Dwell 0</t>
    <phoneticPr fontId="1" type="noConversion"/>
  </si>
  <si>
    <t>Scan Dwell 12H(43200 Sec)</t>
    <phoneticPr fontId="1" type="noConversion"/>
  </si>
  <si>
    <t>Scan Left -1</t>
    <phoneticPr fontId="1" type="noConversion"/>
  </si>
  <si>
    <t>Scan Left -18000</t>
    <phoneticPr fontId="1" type="noConversion"/>
  </si>
  <si>
    <t>Scan Right 1</t>
    <phoneticPr fontId="1" type="noConversion"/>
  </si>
  <si>
    <t>Scan SPD 0</t>
    <phoneticPr fontId="1" type="noConversion"/>
  </si>
  <si>
    <t>Scan SPD 64</t>
    <phoneticPr fontId="1" type="noConversion"/>
  </si>
  <si>
    <t>Scan Right 18000</t>
    <phoneticPr fontId="1" type="noConversion"/>
  </si>
  <si>
    <t>Preset Query 1</t>
    <phoneticPr fontId="1" type="noConversion"/>
  </si>
  <si>
    <t>Preset Query 255</t>
    <phoneticPr fontId="1" type="noConversion"/>
  </si>
  <si>
    <t>Preset Set 1</t>
    <phoneticPr fontId="1" type="noConversion"/>
  </si>
  <si>
    <t>Preset SPD 0</t>
    <phoneticPr fontId="1" type="noConversion"/>
  </si>
  <si>
    <t>Preset SPD 64</t>
    <phoneticPr fontId="1" type="noConversion"/>
  </si>
  <si>
    <t>Preset Dwell 0</t>
    <phoneticPr fontId="1" type="noConversion"/>
  </si>
  <si>
    <t>Preset Ill Pos 65535</t>
    <phoneticPr fontId="1" type="noConversion"/>
  </si>
  <si>
    <t>Preset Clear All</t>
    <phoneticPr fontId="1" type="noConversion"/>
  </si>
  <si>
    <t>1A</t>
    <phoneticPr fontId="1" type="noConversion"/>
  </si>
  <si>
    <t>1F</t>
    <phoneticPr fontId="1" type="noConversion"/>
  </si>
  <si>
    <t>0</t>
    <phoneticPr fontId="1" type="noConversion"/>
  </si>
  <si>
    <t>Tour Query</t>
    <phoneticPr fontId="1" type="noConversion"/>
  </si>
  <si>
    <t>Tour Set 1 (PID 1- 7)</t>
    <phoneticPr fontId="1" type="noConversion"/>
  </si>
  <si>
    <t>Tour Stop</t>
    <phoneticPr fontId="1" type="noConversion"/>
  </si>
  <si>
    <t>Tour Clear</t>
    <phoneticPr fontId="1" type="noConversion"/>
  </si>
  <si>
    <t>Tour Call</t>
    <phoneticPr fontId="1" type="noConversion"/>
  </si>
  <si>
    <t>Tour All Clear</t>
    <phoneticPr fontId="1" type="noConversion"/>
  </si>
  <si>
    <t>Tour Set 255 
(PID 1- 7)</t>
    <phoneticPr fontId="1" type="noConversion"/>
  </si>
  <si>
    <t>TSM-1M OSD Enter</t>
    <phoneticPr fontId="1" type="noConversion"/>
  </si>
  <si>
    <t>TSM-1M OSD Left</t>
    <phoneticPr fontId="1" type="noConversion"/>
  </si>
  <si>
    <t>TSM-1M OSD Right</t>
    <phoneticPr fontId="1" type="noConversion"/>
  </si>
  <si>
    <t>TSM-1M OSD Up</t>
    <phoneticPr fontId="1" type="noConversion"/>
  </si>
  <si>
    <t>TSM-1M OSD Down</t>
    <phoneticPr fontId="1" type="noConversion"/>
  </si>
  <si>
    <t>XV-Z2090HC</t>
    <phoneticPr fontId="1" type="noConversion"/>
  </si>
  <si>
    <t>CTEC Query</t>
    <phoneticPr fontId="1" type="noConversion"/>
  </si>
  <si>
    <t>CTEC Defog Off</t>
    <phoneticPr fontId="1" type="noConversion"/>
  </si>
  <si>
    <t>CTEC Defog Low</t>
    <phoneticPr fontId="1" type="noConversion"/>
  </si>
  <si>
    <t>CTEC Defog MID</t>
    <phoneticPr fontId="1" type="noConversion"/>
  </si>
  <si>
    <t>CTEC Defog High</t>
    <phoneticPr fontId="1" type="noConversion"/>
  </si>
  <si>
    <t>CTEC D/N Auto</t>
    <phoneticPr fontId="1" type="noConversion"/>
  </si>
  <si>
    <t>CTEC D/N Day</t>
    <phoneticPr fontId="1" type="noConversion"/>
  </si>
  <si>
    <t>CTEC D/N Night</t>
    <phoneticPr fontId="1" type="noConversion"/>
  </si>
  <si>
    <t>CTEC EIS Off</t>
    <phoneticPr fontId="1" type="noConversion"/>
  </si>
  <si>
    <t>CTEC EIS On</t>
    <phoneticPr fontId="1" type="noConversion"/>
  </si>
  <si>
    <t>CTEC BLC.. Off</t>
    <phoneticPr fontId="1" type="noConversion"/>
  </si>
  <si>
    <t>CTEC BLC On</t>
    <phoneticPr fontId="1" type="noConversion"/>
  </si>
  <si>
    <t>CTEC HLC On</t>
    <phoneticPr fontId="1" type="noConversion"/>
  </si>
  <si>
    <t>CTEC WDR On</t>
    <phoneticPr fontId="1" type="noConversion"/>
  </si>
  <si>
    <t>CTEC BLC,, Lv 0</t>
    <phoneticPr fontId="1" type="noConversion"/>
  </si>
  <si>
    <t>CTEC BLC,, Lv32</t>
    <phoneticPr fontId="1" type="noConversion"/>
  </si>
  <si>
    <t>CTEC BLC,, Lv100</t>
    <phoneticPr fontId="1" type="noConversion"/>
  </si>
  <si>
    <t>CTEC D-Zoom Off</t>
    <phoneticPr fontId="1" type="noConversion"/>
  </si>
  <si>
    <t>CTEC D-Zoom On</t>
    <phoneticPr fontId="1" type="noConversion"/>
  </si>
  <si>
    <t>CTEC Flip On</t>
    <phoneticPr fontId="1" type="noConversion"/>
  </si>
  <si>
    <t>CTEC Flip Off</t>
    <phoneticPr fontId="1" type="noConversion"/>
  </si>
  <si>
    <t>CTEC Mirror Off</t>
    <phoneticPr fontId="1" type="noConversion"/>
  </si>
  <si>
    <t>CTEC Mirror On</t>
    <phoneticPr fontId="1" type="noConversion"/>
  </si>
  <si>
    <t>CTEC Heat Haze Off</t>
    <phoneticPr fontId="1" type="noConversion"/>
  </si>
  <si>
    <t>CTEC Heat Haze On</t>
    <phoneticPr fontId="1" type="noConversion"/>
  </si>
  <si>
    <t>CTEC Gamma Off</t>
    <phoneticPr fontId="1" type="noConversion"/>
  </si>
  <si>
    <t>CTEC Gamma Lv 1</t>
    <phoneticPr fontId="1" type="noConversion"/>
  </si>
  <si>
    <t>CTEC Gamma Lv 2</t>
    <phoneticPr fontId="1" type="noConversion"/>
  </si>
  <si>
    <t>CTEC Gamma Lv 3</t>
    <phoneticPr fontId="1" type="noConversion"/>
  </si>
  <si>
    <t>CTEC WB Auto</t>
    <phoneticPr fontId="1" type="noConversion"/>
  </si>
  <si>
    <t>CTEC WB Indoor</t>
    <phoneticPr fontId="1" type="noConversion"/>
  </si>
  <si>
    <t>CTEC WB Outdoor</t>
    <phoneticPr fontId="1" type="noConversion"/>
  </si>
  <si>
    <t>CTEC WB On Push</t>
    <phoneticPr fontId="1" type="noConversion"/>
  </si>
  <si>
    <t>CTEC Init</t>
    <phoneticPr fontId="1" type="noConversion"/>
  </si>
  <si>
    <t>CTEC Reboot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</si>
  <si>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</si>
  <si>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</si>
  <si>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</si>
  <si>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</si>
  <si>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</si>
  <si>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</si>
  <si>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</si>
  <si>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3A</t>
    <phoneticPr fontId="1" type="noConversion"/>
  </si>
  <si>
    <t>3B</t>
    <phoneticPr fontId="1" type="noConversion"/>
  </si>
  <si>
    <t>3E</t>
    <phoneticPr fontId="1" type="noConversion"/>
  </si>
  <si>
    <t>SL-640C</t>
    <phoneticPr fontId="1" type="noConversion"/>
  </si>
  <si>
    <t>SL-640C Query</t>
    <phoneticPr fontId="1" type="noConversion"/>
  </si>
  <si>
    <t>SL-640C AGC Low</t>
    <phoneticPr fontId="1" type="noConversion"/>
  </si>
  <si>
    <t>SL-640C AGC High</t>
    <phoneticPr fontId="1" type="noConversion"/>
  </si>
  <si>
    <t>SL-640C AGC Mid</t>
    <phoneticPr fontId="1" type="noConversion"/>
  </si>
  <si>
    <t>SL-640C AGC Adapt Frame 5</t>
    <phoneticPr fontId="1" type="noConversion"/>
  </si>
  <si>
    <t>SL-640C AGC Adapt Frame 60</t>
    <phoneticPr fontId="1" type="noConversion"/>
  </si>
  <si>
    <t>SL-640C Gamma 0.7</t>
    <phoneticPr fontId="1" type="noConversion"/>
  </si>
  <si>
    <t>SL-640C Gamma 0.8</t>
  </si>
  <si>
    <t>SL-640C Gamma 0.9</t>
  </si>
  <si>
    <t>SL-640C Gamma 1.0</t>
    <phoneticPr fontId="1" type="noConversion"/>
  </si>
  <si>
    <t>SL-640C Gamma 1.1</t>
  </si>
  <si>
    <t>SL-640C Gamma 1.2</t>
  </si>
  <si>
    <t>SL-640C Gamma 1.3</t>
  </si>
  <si>
    <t>SL-640C Gamma 1.4</t>
  </si>
  <si>
    <t>SL-640C D-Zoom x1</t>
    <phoneticPr fontId="1" type="noConversion"/>
  </si>
  <si>
    <t>SL-640C D-Zoom x2</t>
    <phoneticPr fontId="1" type="noConversion"/>
  </si>
  <si>
    <t>SL-640C D-Zoom x4</t>
    <phoneticPr fontId="1" type="noConversion"/>
  </si>
  <si>
    <t>SL-640C D-Zoom x8</t>
    <phoneticPr fontId="1" type="noConversion"/>
  </si>
  <si>
    <t>SL-640C Const -50</t>
    <phoneticPr fontId="1" type="noConversion"/>
  </si>
  <si>
    <t>SL-640C Const 50</t>
    <phoneticPr fontId="1" type="noConversion"/>
  </si>
  <si>
    <t>SL-640C IDE 0</t>
    <phoneticPr fontId="1" type="noConversion"/>
  </si>
  <si>
    <t>SL-640C IDE 30</t>
    <phoneticPr fontId="1" type="noConversion"/>
  </si>
  <si>
    <t>SL-640C Gray</t>
    <phoneticPr fontId="1" type="noConversion"/>
  </si>
  <si>
    <t>SL-640C Rainbow</t>
    <phoneticPr fontId="1" type="noConversion"/>
  </si>
  <si>
    <t>SL-640C Iron</t>
    <phoneticPr fontId="1" type="noConversion"/>
  </si>
  <si>
    <t>SL-640C Jet</t>
    <phoneticPr fontId="1" type="noConversion"/>
  </si>
  <si>
    <t>SL-640C Thermal</t>
    <phoneticPr fontId="1" type="noConversion"/>
  </si>
  <si>
    <t>SL-640C Blue Orange</t>
    <phoneticPr fontId="1" type="noConversion"/>
  </si>
  <si>
    <t>SL-640C Smart</t>
    <phoneticPr fontId="1" type="noConversion"/>
  </si>
  <si>
    <t>SL-640C Cool</t>
    <phoneticPr fontId="1" type="noConversion"/>
  </si>
  <si>
    <t>SL-640C Gray+Rainbow</t>
    <phoneticPr fontId="1" type="noConversion"/>
  </si>
  <si>
    <t>SL-640C Gray+Jet</t>
    <phoneticPr fontId="1" type="noConversion"/>
  </si>
  <si>
    <t>SL-640C Gray+Iron</t>
    <phoneticPr fontId="1" type="noConversion"/>
  </si>
  <si>
    <t>SL-640C Mirror Off</t>
    <phoneticPr fontId="1" type="noConversion"/>
  </si>
  <si>
    <t>SL-640C Mirror On</t>
    <phoneticPr fontId="1" type="noConversion"/>
  </si>
  <si>
    <t>SL-640C Flip Off</t>
    <phoneticPr fontId="1" type="noConversion"/>
  </si>
  <si>
    <t>SL-640C Flip On</t>
    <phoneticPr fontId="1" type="noConversion"/>
  </si>
  <si>
    <t>SL-640C W Hot</t>
    <phoneticPr fontId="1" type="noConversion"/>
  </si>
  <si>
    <t>SL-640C B Hot</t>
    <phoneticPr fontId="1" type="noConversion"/>
  </si>
  <si>
    <t>SL-640C Calibration</t>
    <phoneticPr fontId="1" type="noConversion"/>
  </si>
  <si>
    <t>SL-640C Save</t>
    <phoneticPr fontId="1" type="noConversion"/>
  </si>
  <si>
    <t>SL-640C Init</t>
    <phoneticPr fontId="1" type="noConversion"/>
  </si>
  <si>
    <t>31</t>
    <phoneticPr fontId="1" type="noConversion"/>
  </si>
  <si>
    <t>3D</t>
    <phoneticPr fontId="1" type="noConversion"/>
  </si>
  <si>
    <t>CTEC Fun2 Query</t>
    <phoneticPr fontId="1" type="noConversion"/>
  </si>
  <si>
    <t>CTEC Fun2 Brightness 0</t>
    <phoneticPr fontId="1" type="noConversion"/>
  </si>
  <si>
    <t>CTEC Fun2 Brightness 50</t>
    <phoneticPr fontId="1" type="noConversion"/>
  </si>
  <si>
    <t>CTEC Fun2 Brightness 255</t>
    <phoneticPr fontId="1" type="noConversion"/>
  </si>
  <si>
    <t>CTEC Fun2 Const 0</t>
    <phoneticPr fontId="1" type="noConversion"/>
  </si>
  <si>
    <t>CTEC Fun2 Const 127</t>
    <phoneticPr fontId="1" type="noConversion"/>
  </si>
  <si>
    <t>CTEC Fun2 Const 255</t>
    <phoneticPr fontId="1" type="noConversion"/>
  </si>
  <si>
    <t>CTEC Fun2 Sat 0</t>
    <phoneticPr fontId="1" type="noConversion"/>
  </si>
  <si>
    <t>CTEC Fun2 Sat 127</t>
    <phoneticPr fontId="1" type="noConversion"/>
  </si>
  <si>
    <t>CTEC Fun2 Sat 255</t>
    <phoneticPr fontId="1" type="noConversion"/>
  </si>
  <si>
    <t>CTEC Fun2 Hue 0</t>
    <phoneticPr fontId="1" type="noConversion"/>
  </si>
  <si>
    <t>CTEC Fun2 Hue 127</t>
    <phoneticPr fontId="1" type="noConversion"/>
  </si>
  <si>
    <t>CTEC Fun2 Hue 255</t>
    <phoneticPr fontId="1" type="noConversion"/>
  </si>
  <si>
    <t>CTEC Fun2 3DNR 0</t>
    <phoneticPr fontId="1" type="noConversion"/>
  </si>
  <si>
    <t>CTEC Fun2 3DNR 50</t>
    <phoneticPr fontId="1" type="noConversion"/>
  </si>
  <si>
    <t>CTEC Fun2 3DNR 100</t>
    <phoneticPr fontId="1" type="noConversion"/>
  </si>
  <si>
    <t>CTEC Fun2 2DNR 0</t>
    <phoneticPr fontId="1" type="noConversion"/>
  </si>
  <si>
    <t>CTEC Fun2 2DNR 50</t>
    <phoneticPr fontId="1" type="noConversion"/>
  </si>
  <si>
    <t>CTEC Fun2 2DNR 100</t>
    <phoneticPr fontId="1" type="noConversion"/>
  </si>
  <si>
    <t>CTEC Fun2 AE Auto</t>
    <phoneticPr fontId="1" type="noConversion"/>
  </si>
  <si>
    <t>CTEC Fun2 AE Manual</t>
    <phoneticPr fontId="1" type="noConversion"/>
  </si>
  <si>
    <t>CTEC Fun2 S.SPD 1/1</t>
    <phoneticPr fontId="1" type="noConversion"/>
  </si>
  <si>
    <t>CTEC Fun2 S.SPD 1/2</t>
    <phoneticPr fontId="1" type="noConversion"/>
  </si>
  <si>
    <t>CTEC Fun2 S.SPD 1/4</t>
    <phoneticPr fontId="1" type="noConversion"/>
  </si>
  <si>
    <t>CTEC Fun2 S.SPD 1/8</t>
    <phoneticPr fontId="1" type="noConversion"/>
  </si>
  <si>
    <t>CTEC Fun2 S.SPD 1/15</t>
    <phoneticPr fontId="1" type="noConversion"/>
  </si>
  <si>
    <t>CTEC Fun2 S.SPD 1/30</t>
    <phoneticPr fontId="1" type="noConversion"/>
  </si>
  <si>
    <t>CTEC Fun2 S.SPD 1/60</t>
    <phoneticPr fontId="1" type="noConversion"/>
  </si>
  <si>
    <t>CTEC Fun2 S.SPD 1/90</t>
    <phoneticPr fontId="1" type="noConversion"/>
  </si>
  <si>
    <t>CTEC Fun2 S.SPD 1/100</t>
    <phoneticPr fontId="1" type="noConversion"/>
  </si>
  <si>
    <t>CTEC Fun2 S.SPD 1/125</t>
    <phoneticPr fontId="1" type="noConversion"/>
  </si>
  <si>
    <t>CTEC Fun2 S.SPD 1/180</t>
    <phoneticPr fontId="1" type="noConversion"/>
  </si>
  <si>
    <t>CTEC Fun2 S.SPD 1/250</t>
    <phoneticPr fontId="1" type="noConversion"/>
  </si>
  <si>
    <t>CTEC Fun2 S.SPD 1/350</t>
    <phoneticPr fontId="1" type="noConversion"/>
  </si>
  <si>
    <t>CTEC Fun2 S.SPD 1/500</t>
    <phoneticPr fontId="1" type="noConversion"/>
  </si>
  <si>
    <t>CTEC Fun2 S.SPD 1/725</t>
    <phoneticPr fontId="1" type="noConversion"/>
  </si>
  <si>
    <t>CTEC Fun2 S.SPD 1/1000</t>
    <phoneticPr fontId="1" type="noConversion"/>
  </si>
  <si>
    <t>CTEC Fun2 S.SPD 1/1500</t>
    <phoneticPr fontId="1" type="noConversion"/>
  </si>
  <si>
    <t>CTEC Fun2 S.SPD 1/2000</t>
    <phoneticPr fontId="1" type="noConversion"/>
  </si>
  <si>
    <t>CTEC Fun2 S.SPD 1/3000</t>
    <phoneticPr fontId="1" type="noConversion"/>
  </si>
  <si>
    <t>CTEC Fun2 S.SPD 1/4000</t>
    <phoneticPr fontId="1" type="noConversion"/>
  </si>
  <si>
    <t>CTEC Fun2 S.SPD 1/6000</t>
    <phoneticPr fontId="1" type="noConversion"/>
  </si>
  <si>
    <t>CTEC Fun2 S.SPD 1/10000</t>
    <phoneticPr fontId="1" type="noConversion"/>
  </si>
  <si>
    <t>CTEC Fun2 S.SPD 1/30000</t>
    <phoneticPr fontId="1" type="noConversion"/>
  </si>
  <si>
    <t>XV-Z2090HC Func2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</si>
  <si>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</si>
  <si>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</si>
  <si>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</si>
  <si>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</si>
  <si>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</si>
  <si>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</si>
  <si>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0D</t>
    <phoneticPr fontId="1" type="noConversion"/>
  </si>
  <si>
    <t>0E</t>
    <phoneticPr fontId="1" type="noConversion"/>
  </si>
  <si>
    <t>Encoder</t>
    <phoneticPr fontId="1" type="noConversion"/>
  </si>
  <si>
    <t>CE</t>
    <phoneticPr fontId="1" type="noConversion"/>
  </si>
  <si>
    <t>SL-640C Brightness 50</t>
    <phoneticPr fontId="1" type="noConversion"/>
  </si>
  <si>
    <t>SL-640C Brightness 
-50</t>
    <phoneticPr fontId="1" type="noConversion"/>
  </si>
  <si>
    <t>PT Reboot</t>
    <phoneticPr fontId="1" type="noConversion"/>
  </si>
  <si>
    <t>Pan Pos -17999</t>
    <phoneticPr fontId="1" type="noConversion"/>
  </si>
  <si>
    <t>Pan Pos 17999</t>
    <phoneticPr fontId="1" type="noConversion"/>
  </si>
  <si>
    <t>Preset Dwell  12H</t>
    <phoneticPr fontId="1" type="noConversion"/>
  </si>
  <si>
    <t>Pr. EO Zoom Pos 0</t>
    <phoneticPr fontId="1" type="noConversion"/>
  </si>
  <si>
    <t>Pr. EO Z.Pos 16384(0x4000)</t>
    <phoneticPr fontId="1" type="noConversion"/>
  </si>
  <si>
    <t>Pr. EO Zoom Pos 65535</t>
    <phoneticPr fontId="1" type="noConversion"/>
  </si>
  <si>
    <t>Pr. IR Zoom Pos 0</t>
    <phoneticPr fontId="1" type="noConversion"/>
  </si>
  <si>
    <t>Pr. IR Z.Pos 16384(0x4000)</t>
    <phoneticPr fontId="1" type="noConversion"/>
  </si>
  <si>
    <t>Pr. IR Zoom Pos 65535</t>
    <phoneticPr fontId="1" type="noConversion"/>
  </si>
  <si>
    <t>Rev.2024.07.19</t>
  </si>
  <si>
    <t>FF01014F29CC46</t>
  </si>
  <si>
    <t>FF01A015001ED4</t>
  </si>
  <si>
    <t>FF01A01603E8A2</t>
  </si>
  <si>
    <t>FF01A0180000B9</t>
  </si>
  <si>
    <t>FF01A0180001BA</t>
  </si>
  <si>
    <t>FF01A00200C86B</t>
  </si>
  <si>
    <t>FF01A0070000A8</t>
  </si>
  <si>
    <t>FF01A0070001A9</t>
  </si>
  <si>
    <t>FF01A0070002AA</t>
  </si>
  <si>
    <t>FF01A0320014E7</t>
  </si>
  <si>
    <t>FF01A0330014E8</t>
  </si>
  <si>
    <t>FF01A043001E02</t>
  </si>
  <si>
    <t>TPV-IHDR Re</t>
    <phoneticPr fontId="1" type="noConversion"/>
  </si>
  <si>
    <t>Ver.Query</t>
    <phoneticPr fontId="1" type="noConversion"/>
  </si>
  <si>
    <t>B7
(CHK)</t>
    <phoneticPr fontId="1" type="noConversion"/>
  </si>
  <si>
    <t>B9</t>
  </si>
  <si>
    <t>B10</t>
  </si>
  <si>
    <t>B11</t>
  </si>
  <si>
    <t>B12</t>
  </si>
  <si>
    <t>B13</t>
  </si>
  <si>
    <t>14
CHK</t>
    <phoneticPr fontId="1" type="noConversion"/>
  </si>
  <si>
    <t>Pos.Query</t>
    <phoneticPr fontId="1" type="noConversion"/>
  </si>
  <si>
    <t>A9</t>
    <phoneticPr fontId="1" type="noConversion"/>
  </si>
  <si>
    <t>Abs P 0 T 0 Z 0</t>
    <phoneticPr fontId="1" type="noConversion"/>
  </si>
  <si>
    <t>Abs P 90 T 0 Z 0</t>
    <phoneticPr fontId="1" type="noConversion"/>
  </si>
  <si>
    <t>Abs P 180 T 0 Z 0</t>
    <phoneticPr fontId="1" type="noConversion"/>
  </si>
  <si>
    <t>Abs P 270 T 0 Z 0</t>
    <phoneticPr fontId="1" type="noConversion"/>
  </si>
  <si>
    <t>2E</t>
    <phoneticPr fontId="1" type="noConversion"/>
  </si>
  <si>
    <t>Abs P 360 T 0 Z 0</t>
    <phoneticPr fontId="1" type="noConversion"/>
  </si>
  <si>
    <t>Abs P 0 T 90 Z 0</t>
    <phoneticPr fontId="1" type="noConversion"/>
  </si>
  <si>
    <t>Abs P 0 T180 Z 0</t>
    <phoneticPr fontId="1" type="noConversion"/>
  </si>
  <si>
    <t>Abs P 0 T 270 Z 0</t>
    <phoneticPr fontId="1" type="noConversion"/>
  </si>
  <si>
    <t>Abs P 0 T 360 Z 0</t>
    <phoneticPr fontId="1" type="noConversion"/>
  </si>
  <si>
    <t>Abs P 0 T 0 Z 3614</t>
    <phoneticPr fontId="1" type="noConversion"/>
  </si>
  <si>
    <t>Abs P 0 T 0 Z 903</t>
    <phoneticPr fontId="1" type="noConversion"/>
  </si>
  <si>
    <t>87</t>
    <phoneticPr fontId="1" type="noConversion"/>
  </si>
  <si>
    <t>Abs P 0 T 0 Z 1806</t>
    <phoneticPr fontId="1" type="noConversion"/>
  </si>
  <si>
    <t>Abs P 0 T 0 Z 2709</t>
    <phoneticPr fontId="1" type="noConversion"/>
  </si>
  <si>
    <t>95</t>
    <phoneticPr fontId="1" type="noConversion"/>
  </si>
  <si>
    <t>Abs P 45 T 45 Z 0</t>
    <phoneticPr fontId="1" type="noConversion"/>
  </si>
  <si>
    <t>D0</t>
    <phoneticPr fontId="1" type="noConversion"/>
  </si>
  <si>
    <t>Abs P 90 T 180 Z 0</t>
    <phoneticPr fontId="1" type="noConversion"/>
  </si>
  <si>
    <t>Abs P 180 T 360 Z 0</t>
    <phoneticPr fontId="1" type="noConversion"/>
  </si>
  <si>
    <t>Abs P 360 T 45 Z 0</t>
    <phoneticPr fontId="1" type="noConversion"/>
  </si>
  <si>
    <t>EO Pel-D Near</t>
    <phoneticPr fontId="1" type="noConversion"/>
  </si>
  <si>
    <t>EO Pel-D Far</t>
    <phoneticPr fontId="1" type="noConversion"/>
  </si>
  <si>
    <t>EO Pel-D Zoom In</t>
    <phoneticPr fontId="1" type="noConversion"/>
  </si>
  <si>
    <t>EO Pel-D Zoom Out</t>
    <phoneticPr fontId="1" type="noConversion"/>
  </si>
  <si>
    <t>IR Pel-D Near</t>
    <phoneticPr fontId="1" type="noConversion"/>
  </si>
  <si>
    <t>IR  Pel-D Far</t>
    <phoneticPr fontId="1" type="noConversion"/>
  </si>
  <si>
    <t>IR Pel-D Zoom In</t>
    <phoneticPr fontId="1" type="noConversion"/>
  </si>
  <si>
    <t>IR Pel-D Zoom Out</t>
    <phoneticPr fontId="1" type="noConversion"/>
  </si>
  <si>
    <t>Pel-D Tilt Up 32</t>
    <phoneticPr fontId="1" type="noConversion"/>
  </si>
  <si>
    <t>Pel-D Tilt Down 32</t>
    <phoneticPr fontId="1" type="noConversion"/>
  </si>
  <si>
    <t>Pel-D Pan Right 32</t>
    <phoneticPr fontId="1" type="noConversion"/>
  </si>
  <si>
    <t>Pel-D Pan Left 32</t>
    <phoneticPr fontId="1" type="noConversion"/>
  </si>
  <si>
    <t>820200AF0FA00000000000000060</t>
  </si>
  <si>
    <t>820200AF1F400000000000000010</t>
  </si>
  <si>
    <t>820200AF3E7F000000000000006E</t>
  </si>
  <si>
    <t>820200AF00000FA0000000000060</t>
  </si>
  <si>
    <t>820200AF00001F40000000000010</t>
  </si>
  <si>
    <t>820200AF00002EE00000000000BF</t>
  </si>
  <si>
    <t>820200AF00003E7F00000000006E</t>
  </si>
  <si>
    <t>820200AF0000000003870000003B</t>
  </si>
  <si>
    <t>820200AF00000000070E000000C6</t>
  </si>
  <si>
    <t>820200AF000000000A9500000050</t>
  </si>
  <si>
    <t>820200AF07D007D000000000005F</t>
  </si>
  <si>
    <t>820200AF0FA01F400000000000BF</t>
  </si>
  <si>
    <t>820200AF1F403E7F0000000000CD</t>
  </si>
  <si>
    <t>820200AF3E7F07D0000000000045</t>
  </si>
  <si>
    <t>FF01010800202A</t>
  </si>
  <si>
    <t>FF010110002032</t>
  </si>
  <si>
    <t>FF010102200024</t>
  </si>
  <si>
    <t>FF010104200026</t>
  </si>
  <si>
    <t>FF030180000084</t>
  </si>
  <si>
    <t>FF030120000024</t>
  </si>
  <si>
    <t>FF030140000044</t>
  </si>
  <si>
    <t>Set Preset 01</t>
    <phoneticPr fontId="1" type="noConversion"/>
  </si>
  <si>
    <t>Set Preset 255</t>
    <phoneticPr fontId="1" type="noConversion"/>
  </si>
  <si>
    <t>Goto Preset 01</t>
    <phoneticPr fontId="1" type="noConversion"/>
  </si>
  <si>
    <t>Goto Preset 255</t>
    <phoneticPr fontId="1" type="noConversion"/>
  </si>
  <si>
    <t>Clear Preset 01</t>
    <phoneticPr fontId="1" type="noConversion"/>
  </si>
  <si>
    <t>Clear Preset 255</t>
    <phoneticPr fontId="1" type="noConversion"/>
  </si>
  <si>
    <t>FF01000300FF03</t>
  </si>
  <si>
    <t>FF010007000109</t>
  </si>
  <si>
    <t>FF01000700FF07</t>
  </si>
  <si>
    <t>PT Version Query</t>
    <phoneticPr fontId="1" type="noConversion"/>
  </si>
  <si>
    <t>EO Version Query</t>
    <phoneticPr fontId="1" type="noConversion"/>
  </si>
  <si>
    <t>IR Version Query</t>
    <phoneticPr fontId="1" type="noConversion"/>
  </si>
  <si>
    <t>EO Encoder Query</t>
    <phoneticPr fontId="1" type="noConversion"/>
  </si>
  <si>
    <t>IR Encoder Query</t>
    <phoneticPr fontId="1" type="noConversion"/>
  </si>
  <si>
    <t>IR Fan Off</t>
    <phoneticPr fontId="1" type="noConversion"/>
  </si>
  <si>
    <t>IR Fan On</t>
    <phoneticPr fontId="1" type="noConversion"/>
  </si>
  <si>
    <t>EO Wiper Stop</t>
    <phoneticPr fontId="1" type="noConversion"/>
  </si>
  <si>
    <t>EO Wiper Once</t>
    <phoneticPr fontId="1" type="noConversion"/>
  </si>
  <si>
    <t>EO  Wiper Triple</t>
    <phoneticPr fontId="1" type="noConversion"/>
  </si>
  <si>
    <t>EO  Wiper Continue</t>
    <phoneticPr fontId="1" type="noConversion"/>
  </si>
  <si>
    <t>EO  Wiper Origin</t>
    <phoneticPr fontId="1" type="noConversion"/>
  </si>
  <si>
    <t>EO G.Heater Off</t>
    <phoneticPr fontId="1" type="noConversion"/>
  </si>
  <si>
    <t>EO G.Heater On</t>
    <phoneticPr fontId="1" type="noConversion"/>
  </si>
  <si>
    <t>EO Ill Sync Off</t>
    <phoneticPr fontId="1" type="noConversion"/>
  </si>
  <si>
    <t>EO Illu Query</t>
    <phoneticPr fontId="1" type="noConversion"/>
  </si>
  <si>
    <t>EO Ill Disable</t>
    <phoneticPr fontId="1" type="noConversion"/>
  </si>
  <si>
    <t>EOIll Enable</t>
    <phoneticPr fontId="1" type="noConversion"/>
  </si>
  <si>
    <t>EO Ill Brightness 0</t>
    <phoneticPr fontId="1" type="noConversion"/>
  </si>
  <si>
    <t>EOIll Brightness 255</t>
    <phoneticPr fontId="1" type="noConversion"/>
  </si>
  <si>
    <t>Preset III Pos 0</t>
    <phoneticPr fontId="1" type="noConversion"/>
  </si>
  <si>
    <t>Ill Sync On</t>
    <phoneticPr fontId="1" type="noConversion"/>
  </si>
  <si>
    <t>EOIll Sync On</t>
    <phoneticPr fontId="1" type="noConversion"/>
  </si>
  <si>
    <t>EO Ill Pos 1415</t>
    <phoneticPr fontId="1" type="noConversion"/>
  </si>
  <si>
    <r>
      <rPr>
        <sz val="10"/>
        <rFont val="Microsoft Sans Serif"/>
        <family val="2"/>
      </rPr>
      <t>EO</t>
    </r>
    <r>
      <rPr>
        <sz val="10"/>
        <rFont val="맑은 고딕"/>
        <family val="2"/>
        <charset val="129"/>
      </rPr>
      <t xml:space="preserve"> </t>
    </r>
    <r>
      <rPr>
        <sz val="10"/>
        <rFont val="Microsoft Sans Serif"/>
        <family val="2"/>
      </rPr>
      <t>Ill Pos 1</t>
    </r>
    <phoneticPr fontId="1" type="noConversion"/>
  </si>
  <si>
    <t>FF02A160000003</t>
  </si>
  <si>
    <t>FF02A061000003</t>
  </si>
  <si>
    <t>FF02A061000104</t>
  </si>
  <si>
    <t>FF02A062000004</t>
  </si>
  <si>
    <t>FF02A062000105</t>
  </si>
  <si>
    <t>FF02A063000005</t>
  </si>
  <si>
    <t>FF02A06300FF04</t>
  </si>
  <si>
    <t>FF02A064000107</t>
  </si>
  <si>
    <t>FF02A064058792</t>
  </si>
  <si>
    <t>Scan Dwell 60 Sec</t>
    <phoneticPr fontId="1" type="noConversion"/>
  </si>
  <si>
    <t>Scan Right 9000</t>
    <phoneticPr fontId="1" type="noConversion"/>
  </si>
  <si>
    <t>Scan Right 4500</t>
    <phoneticPr fontId="1" type="noConversion"/>
  </si>
  <si>
    <t>Scan Left -4500</t>
    <phoneticPr fontId="1" type="noConversion"/>
  </si>
  <si>
    <t>Scan Left-9000</t>
    <phoneticPr fontId="1" type="noConversion"/>
  </si>
  <si>
    <t>FF01B1000000B2</t>
  </si>
  <si>
    <t>FF01B0010000B2</t>
  </si>
  <si>
    <t>FF01B0020000B3</t>
  </si>
  <si>
    <t>FF01B0020001B4</t>
  </si>
  <si>
    <t>FF01B0020002B5</t>
  </si>
  <si>
    <t>FF01B0020003B6</t>
  </si>
  <si>
    <t>FF01B0030000B4</t>
  </si>
  <si>
    <t>FF01B0030040F4</t>
  </si>
  <si>
    <t>FF01B0040000B5</t>
  </si>
  <si>
    <t>FF01B004A8C01D</t>
  </si>
  <si>
    <t>FF01B004003CF1</t>
  </si>
  <si>
    <t>FF01B005FFFFB4</t>
  </si>
  <si>
    <t>FF01B006EE6C11</t>
  </si>
  <si>
    <t>FF01B0DCD8288D</t>
  </si>
  <si>
    <t>FF01B005B9B01F</t>
  </si>
  <si>
    <t>FF01B0060001B8</t>
  </si>
  <si>
    <t>FF01B00611945C</t>
  </si>
  <si>
    <t>FF01B006232802</t>
  </si>
  <si>
    <t>FF01B00646504D</t>
  </si>
  <si>
    <t>Scan Dwell 10 Sec</t>
    <phoneticPr fontId="1" type="noConversion"/>
  </si>
  <si>
    <t>FF010005000107</t>
  </si>
  <si>
    <t>FF010008404089</t>
  </si>
  <si>
    <t>FF01004BB1E0DD</t>
  </si>
  <si>
    <t>FF01004BB9B0B5</t>
  </si>
  <si>
    <t>FF01004B4650E2</t>
  </si>
  <si>
    <t>FF01004BB9B1B6</t>
  </si>
  <si>
    <t>FF01004B464FE1</t>
  </si>
  <si>
    <t>FF01004B0FA0FB</t>
  </si>
  <si>
    <t>FF01004BF0609C</t>
  </si>
  <si>
    <t>FF01004B232897</t>
  </si>
  <si>
    <t>FF01004BDCD800</t>
  </si>
  <si>
    <t>FF01004B4E20BA</t>
  </si>
  <si>
    <t>FF01004DD8F016</t>
  </si>
  <si>
    <t>FF01004DDCD802</t>
  </si>
  <si>
    <t>FF01004D232899</t>
  </si>
  <si>
    <t>FF01004DDCD903</t>
  </si>
  <si>
    <t>FF01004D232798</t>
  </si>
  <si>
    <t>FF01004DE4A8DA</t>
  </si>
  <si>
    <t>FF01004D1770D5</t>
  </si>
  <si>
    <t>FF01004D0BB811</t>
  </si>
  <si>
    <t>FF01004DF4488A</t>
  </si>
  <si>
    <t>FF01004D1194F3</t>
  </si>
  <si>
    <t>FF01004DEE6CA8</t>
  </si>
  <si>
    <t>FF01004D271085</t>
  </si>
  <si>
    <t>FF020025000027</t>
  </si>
  <si>
    <t>FF020027000029</t>
  </si>
  <si>
    <t>FF030020000023</t>
  </si>
  <si>
    <t>FF018100000082</t>
  </si>
  <si>
    <t>FF018001000082</t>
  </si>
  <si>
    <t>FF018002000487</t>
  </si>
  <si>
    <t>FF018002000083</t>
  </si>
  <si>
    <t>FF018003000488</t>
  </si>
  <si>
    <t>FF018003000084</t>
  </si>
  <si>
    <t>FF018005000086</t>
  </si>
  <si>
    <t>FF018005000187</t>
  </si>
  <si>
    <t>FF019100000092</t>
  </si>
  <si>
    <t>FF019001000092</t>
  </si>
  <si>
    <t>FF019001000193</t>
  </si>
  <si>
    <t>FF019002000093</t>
  </si>
  <si>
    <t>FF019003000094</t>
  </si>
  <si>
    <t>FF019003000195</t>
  </si>
  <si>
    <t>FF019004000095</t>
  </si>
  <si>
    <t>FF019005000096</t>
  </si>
  <si>
    <t>FF019005000197</t>
  </si>
  <si>
    <t>FF019006000097</t>
  </si>
  <si>
    <t>FF01A0120001B4</t>
  </si>
  <si>
    <t>FF01A01305DC95</t>
  </si>
  <si>
    <t>FF01A0130BB877</t>
  </si>
  <si>
    <t>FF01A013119459</t>
  </si>
  <si>
    <t>FF01A01317703B</t>
  </si>
  <si>
    <t>FF01A014F92AD8</t>
  </si>
  <si>
    <t>FF01A014F254FB</t>
  </si>
  <si>
    <t>FF01A014EB7E1E</t>
  </si>
  <si>
    <t>FF01A014E4A841</t>
  </si>
  <si>
    <t>FF03A0210000C4</t>
  </si>
  <si>
    <t>FF03A0210001C5</t>
  </si>
  <si>
    <t>FF02A0230000C5</t>
  </si>
  <si>
    <t>FF02A0230001C6</t>
  </si>
  <si>
    <t>FF02A0240000C6</t>
  </si>
  <si>
    <t>FF02A0240001C7</t>
  </si>
  <si>
    <t>FF02A0240002C8</t>
  </si>
  <si>
    <t>FF02A0240003C9</t>
  </si>
  <si>
    <t>FF02A0240004CA</t>
  </si>
  <si>
    <t>FF01A160000002</t>
  </si>
  <si>
    <t>FF01A061000002</t>
  </si>
  <si>
    <t>FF01A061000103</t>
  </si>
  <si>
    <t>FF01A062000003</t>
  </si>
  <si>
    <t>FF01A062000104</t>
  </si>
  <si>
    <t>FF01A063000004</t>
  </si>
  <si>
    <t>FF01A06300FF03</t>
  </si>
  <si>
    <t>FF01A064000005</t>
  </si>
  <si>
    <t>FF01A064FFFF03</t>
  </si>
  <si>
    <t>FF01B004000ABF</t>
  </si>
  <si>
    <t>FF01B1100001C3</t>
  </si>
  <si>
    <t>FF01B11000FFC1</t>
  </si>
  <si>
    <t>FF01B0110001C3</t>
  </si>
  <si>
    <t>FF01B01100FFC1</t>
  </si>
  <si>
    <t>FF01B012000C3</t>
  </si>
  <si>
    <t>FF01B012004003</t>
  </si>
  <si>
    <t>FF01B0130000C4</t>
  </si>
  <si>
    <t>FF01B013A8C02C</t>
  </si>
  <si>
    <t>FF01B0160000C7</t>
  </si>
  <si>
    <t>FF01B016400007</t>
  </si>
  <si>
    <t>FF01B016FFFFC5</t>
  </si>
  <si>
    <t>FF01B0180000C9</t>
  </si>
  <si>
    <t>FF01B018400009</t>
  </si>
  <si>
    <t>FF01B018FFFFC7</t>
  </si>
  <si>
    <t>FF01B01A0000CB</t>
  </si>
  <si>
    <t>FF01B01AFFFFC9</t>
  </si>
  <si>
    <t>FF01B01F0000D0</t>
  </si>
  <si>
    <t>FF01B1200001D3</t>
  </si>
  <si>
    <t>FF0101</t>
  </si>
  <si>
    <t>FF01E1000000E2</t>
  </si>
  <si>
    <t>FF02E1100000F3</t>
  </si>
  <si>
    <t>FF03E1100000F4</t>
  </si>
  <si>
    <t>FF03E021000004</t>
  </si>
  <si>
    <t>FF03E022000005</t>
  </si>
  <si>
    <t>FF03E023000006</t>
  </si>
  <si>
    <t>FF03E024000007</t>
  </si>
  <si>
    <t>FF03E025000008</t>
  </si>
  <si>
    <t>FF02E130000013</t>
  </si>
  <si>
    <t>FF02E032000014</t>
  </si>
  <si>
    <t>FF02E032000115</t>
  </si>
  <si>
    <t>FF02E032000216</t>
  </si>
  <si>
    <t>FF02E032000317</t>
  </si>
  <si>
    <t>FF02E033000015</t>
  </si>
  <si>
    <t>FF02E033000116</t>
  </si>
  <si>
    <t>FF02E033000217</t>
  </si>
  <si>
    <t>FF02E034000016</t>
  </si>
  <si>
    <t>FF02E034000117</t>
  </si>
  <si>
    <t>FF02E035000017</t>
  </si>
  <si>
    <t>FF02E035000118</t>
  </si>
  <si>
    <t>FF02E035000219</t>
  </si>
  <si>
    <t>FF02E03500031A</t>
  </si>
  <si>
    <t>FF02E036000018</t>
  </si>
  <si>
    <t>FF02E036002038</t>
  </si>
  <si>
    <t>FF02E03600647C</t>
  </si>
  <si>
    <t>FF02E037000019</t>
  </si>
  <si>
    <t>FF02E03700011A</t>
  </si>
  <si>
    <t>FF02E03800001A</t>
  </si>
  <si>
    <t>FF02E03800011B</t>
  </si>
  <si>
    <t>FF02E03900001B</t>
  </si>
  <si>
    <t>FF02E03900011C</t>
  </si>
  <si>
    <t>FF02E03A00001C</t>
  </si>
  <si>
    <t>FF02E03A00011D</t>
  </si>
  <si>
    <t>FF02E03B00001D</t>
  </si>
  <si>
    <t>FF02E03B00011E</t>
  </si>
  <si>
    <t>FF02E03B00021F</t>
  </si>
  <si>
    <t>FF02E03B000320</t>
  </si>
  <si>
    <t>FF02E03C00001E</t>
  </si>
  <si>
    <t>FF02E03C00011F</t>
  </si>
  <si>
    <t>FF02E03C000220</t>
  </si>
  <si>
    <t>FF02E03C000321</t>
  </si>
  <si>
    <t>FF02E03E000020</t>
  </si>
  <si>
    <t>FF02E03F000021</t>
  </si>
  <si>
    <t>FF02E1A0000083</t>
  </si>
  <si>
    <t>FF02E0A1000083</t>
  </si>
  <si>
    <t>FF02E0A1007F02</t>
  </si>
  <si>
    <t>FF02E0A100FF82</t>
  </si>
  <si>
    <t>FF02E0A2000084</t>
  </si>
  <si>
    <t>FF02E0A2007F03</t>
  </si>
  <si>
    <t>FF02E0A200FF83</t>
  </si>
  <si>
    <t>FF02E0A3000085</t>
  </si>
  <si>
    <t>FF02E0A3007F04</t>
  </si>
  <si>
    <t>FF02E0A300FF84</t>
  </si>
  <si>
    <t>FF02E0A4000086</t>
  </si>
  <si>
    <t>FF02E0A4007F05</t>
  </si>
  <si>
    <t>FF02E0A400FF85</t>
  </si>
  <si>
    <t>FF02E0A5000087</t>
  </si>
  <si>
    <t>FF02E0A50032B9</t>
  </si>
  <si>
    <t>FF02E0A50064EB</t>
  </si>
  <si>
    <t>FF02E0A6000088</t>
  </si>
  <si>
    <t>FF02E0A60032BA</t>
  </si>
  <si>
    <t>FF02E0A60064EC</t>
  </si>
  <si>
    <t>FF02E0A7000089</t>
  </si>
  <si>
    <t>FF02E0A700018A</t>
  </si>
  <si>
    <t>FF02E0A800008A</t>
  </si>
  <si>
    <t>FF02E0A800018B</t>
  </si>
  <si>
    <t>FF02E0A800028C</t>
  </si>
  <si>
    <t>FF02E0A800038D</t>
  </si>
  <si>
    <t>FF02E0A800048E</t>
  </si>
  <si>
    <t>FF02E0A800058F</t>
  </si>
  <si>
    <t>FF02E0A8000690</t>
  </si>
  <si>
    <t>FF02E0A8000791</t>
  </si>
  <si>
    <t>FF02E0A8000892</t>
  </si>
  <si>
    <t>FF02E0A8000993</t>
  </si>
  <si>
    <t>FF02E0A8000A94</t>
  </si>
  <si>
    <t>FF02E0A8000B95</t>
  </si>
  <si>
    <t>FF02E0A8000C96</t>
  </si>
  <si>
    <t>FF02E0A8000D97</t>
  </si>
  <si>
    <t>FF02E0A8000E98</t>
  </si>
  <si>
    <t>FF02E0A8000F99</t>
  </si>
  <si>
    <t>FF02E0A800109A</t>
  </si>
  <si>
    <t>FF02E0A800119B</t>
  </si>
  <si>
    <t>FF02E0A800129C</t>
  </si>
  <si>
    <t>FF02E0A800139D</t>
  </si>
  <si>
    <t>FF02E0A800149E</t>
  </si>
  <si>
    <t>FF02E0A800159F</t>
  </si>
  <si>
    <t>FF02E0A80016A0</t>
  </si>
  <si>
    <t>FF03E130000014</t>
  </si>
  <si>
    <t>FF03E031000115</t>
  </si>
  <si>
    <t>FF03E031000216</t>
  </si>
  <si>
    <t>FF03E031000317</t>
  </si>
  <si>
    <t>FF03E03200051A</t>
  </si>
  <si>
    <t>FF03E032003C51</t>
  </si>
  <si>
    <t>FF03E033000016</t>
  </si>
  <si>
    <t>FF03E033000117</t>
  </si>
  <si>
    <t>FF03E033000218</t>
  </si>
  <si>
    <t>FF03E033000319</t>
  </si>
  <si>
    <t>FF03E03300041A</t>
  </si>
  <si>
    <t>FF03E03300051B</t>
  </si>
  <si>
    <t>FF03E03300061C</t>
  </si>
  <si>
    <t>FF03E03300071D</t>
  </si>
  <si>
    <t>FF03E034000118</t>
  </si>
  <si>
    <t>FF03E034000219</t>
  </si>
  <si>
    <t>FF03E03400031A</t>
  </si>
  <si>
    <t>FF03E03400041B</t>
  </si>
  <si>
    <t>FF03E035FFCEE5</t>
  </si>
  <si>
    <t>FF03E03500324A</t>
  </si>
  <si>
    <t>FF03E036FFCEE6</t>
  </si>
  <si>
    <t>FF03E03600324B</t>
  </si>
  <si>
    <t>FF03E03700001A</t>
  </si>
  <si>
    <t>FF03E037001E38</t>
  </si>
  <si>
    <t>FF03E03800001B</t>
  </si>
  <si>
    <t>FF03E03800011C</t>
  </si>
  <si>
    <t>FF03E03800021D</t>
  </si>
  <si>
    <t>FF03E03800031E</t>
  </si>
  <si>
    <t>FF03E03800041F</t>
  </si>
  <si>
    <t>FF03E038000520</t>
  </si>
  <si>
    <t>FF03E038000621</t>
  </si>
  <si>
    <t>FF03E038000722</t>
  </si>
  <si>
    <t>FF03E038000823</t>
  </si>
  <si>
    <t>FF03E038000924</t>
  </si>
  <si>
    <t>FF03E038000A25</t>
  </si>
  <si>
    <t>FF03E03900001C</t>
  </si>
  <si>
    <t>FF03E03900011D</t>
  </si>
  <si>
    <t>FF03E03A00001D</t>
  </si>
  <si>
    <t>FF03E03A00011E</t>
  </si>
  <si>
    <t>FF03E03B00001E</t>
  </si>
  <si>
    <t>FF03E03B00011F</t>
  </si>
  <si>
    <t>FF03E03D000020</t>
  </si>
  <si>
    <t>FF03E03E000021</t>
  </si>
  <si>
    <t>FF03E03F000022</t>
  </si>
  <si>
    <t>FF02E140000023</t>
  </si>
  <si>
    <t>FF03E140000024</t>
  </si>
  <si>
    <t>820200A7000000000000000000A9</t>
  </si>
  <si>
    <t>820200A9000000000000000000AB</t>
  </si>
  <si>
    <t>820200AF000000000000000000B1</t>
  </si>
  <si>
    <t>820200AF2EE000000000000000BF</t>
  </si>
  <si>
    <t>820200AF000000000E1E000000DD</t>
  </si>
  <si>
    <t>FF010003000105</t>
  </si>
  <si>
    <t>FF01B0110001C3</t>
    <phoneticPr fontId="1" type="noConversion"/>
  </si>
  <si>
    <t>PT Encoder Query</t>
    <phoneticPr fontId="1" type="noConversion"/>
  </si>
  <si>
    <t>FF01E140000022</t>
  </si>
  <si>
    <t>PT AF On</t>
    <phoneticPr fontId="1" type="noConversion"/>
  </si>
  <si>
    <t>PT AF Off</t>
    <phoneticPr fontId="1" type="noConversion"/>
  </si>
  <si>
    <t>FF01B1000000B2</t>
    <phoneticPr fontId="1" type="noConversion"/>
  </si>
  <si>
    <t>FF01A0190000BA</t>
  </si>
  <si>
    <t>FF01A0510000F2</t>
  </si>
  <si>
    <t>FF01E130000012</t>
    <phoneticPr fontId="1" type="noConversion"/>
  </si>
  <si>
    <t>FOV Pos 900</t>
    <phoneticPr fontId="1" type="noConversion"/>
  </si>
  <si>
    <t>84</t>
    <phoneticPr fontId="1" type="noConversion"/>
  </si>
  <si>
    <t>FOV Pos 500</t>
    <phoneticPr fontId="1" type="noConversion"/>
  </si>
  <si>
    <t>FF01A01600641B</t>
    <phoneticPr fontId="1" type="noConversion"/>
  </si>
  <si>
    <t>FF01014F000051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</si>
</sst>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나눔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D0D0D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color theme="1"/>
      <name val="맑은 고딕"/>
      <family val="2"/>
      <charset val="2"/>
      <scheme val="minor"/>
    </font>
    <font>
      <b/>
      <sz val="10"/>
      <name val="맑은 고딕"/>
      <family val="2"/>
      <charset val="129"/>
    </font>
    <font>
      <sz val="10"/>
      <name val="Microsoft Sans Serif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BE4F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4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shrinkToFi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shrinkToFi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 vertical="center" shrinkToFit="1"/>
    </xf>
    <xf numFmtId="49" fontId="3" fillId="4" borderId="8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3" fillId="5" borderId="32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15" fillId="0" borderId="0" xfId="0" applyFont="1" applyAlignment="1">
      <alignment wrapText="1"/>
    </xf>
    <xf numFmtId="49" fontId="3" fillId="0" borderId="36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49" fontId="14" fillId="0" borderId="36" xfId="0" applyNumberFormat="1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0" fillId="6" borderId="0" xfId="0" applyFill="1">
      <alignment vertical="center"/>
    </xf>
    <xf numFmtId="0" fontId="7" fillId="6" borderId="0" xfId="0" applyFont="1" applyFill="1" applyAlignment="1"/>
    <xf numFmtId="0" fontId="2" fillId="2" borderId="4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6" fillId="2" borderId="47" xfId="0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>
      <alignment vertical="center"/>
    </xf>
    <xf numFmtId="0" fontId="7" fillId="5" borderId="0" xfId="0" applyFont="1" applyFill="1" applyAlignment="1"/>
    <xf numFmtId="0" fontId="17" fillId="0" borderId="2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6" fillId="5" borderId="0" xfId="0" applyFont="1" applyFill="1">
      <alignment vertical="center"/>
    </xf>
  </cellXfs>
  <cellStyles count="2">
    <cellStyle name="표준" xfId="0" builtinId="0"/>
    <cellStyle name="표준 2" xfId="1" xr:uid="{C5126504-4F36-9D44-A2A7-A5F912411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18</xdr:row>
      <xdr:rowOff>0</xdr:rowOff>
    </xdr:from>
    <xdr:to>
      <xdr:col>20</xdr:col>
      <xdr:colOff>456655</xdr:colOff>
      <xdr:row>20</xdr:row>
      <xdr:rowOff>133281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68DEF-0874-9F4C-12D6-75E91A0A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5300" y="3352800"/>
          <a:ext cx="4361905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5</xdr:col>
      <xdr:colOff>980369</xdr:colOff>
      <xdr:row>81</xdr:row>
      <xdr:rowOff>37781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FDE353-C086-6FC2-1D91-2146539F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458950"/>
          <a:ext cx="5647619" cy="2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168276</xdr:colOff>
      <xdr:row>3</xdr:row>
      <xdr:rowOff>34925</xdr:rowOff>
    </xdr:from>
    <xdr:to>
      <xdr:col>43</xdr:col>
      <xdr:colOff>929568</xdr:colOff>
      <xdr:row>36</xdr:row>
      <xdr:rowOff>207417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3BCF23-304B-FFFC-F21E-276D53F86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4726" y="673100"/>
          <a:ext cx="5714292" cy="70876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168276</xdr:colOff>
      <xdr:row>2</xdr:row>
      <xdr:rowOff>0</xdr:rowOff>
    </xdr:from>
    <xdr:to>
      <xdr:col>27</xdr:col>
      <xdr:colOff>929568</xdr:colOff>
      <xdr:row>33</xdr:row>
      <xdr:rowOff>67717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6F6822-1F06-4369-8B6F-54C62936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4726" y="673100"/>
          <a:ext cx="5714292" cy="7087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168276</xdr:colOff>
      <xdr:row>3</xdr:row>
      <xdr:rowOff>34925</xdr:rowOff>
    </xdr:from>
    <xdr:to>
      <xdr:col>43</xdr:col>
      <xdr:colOff>929568</xdr:colOff>
      <xdr:row>36</xdr:row>
      <xdr:rowOff>207417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A328A1-AFE7-4EDC-9064-5EF61148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3626" y="882650"/>
          <a:ext cx="5714292" cy="70876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철" id="{D2E08C04-EE4B-4942-9E86-8424343DD1BF}" userId="S::formathead@knou.ac.kr::5b71c36e-96c5-4ce9-a6f6-3772b39163d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" dT="2024-10-25T09:07:22.92" personId="{D2E08C04-EE4B-4942-9E86-8424343DD1BF}" id="{F512886E-9FF3-4D51-9173-978DDCCDD484}">
    <text xml:space="preserve">Sunny (SU-U0150150)의 경우 15-150 x10이기 때문에 100- 1000까지 사용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A3BB-5475-EC49-9D9F-17B4E3E33BE8}">
  <dimension ref="B1:S121"/>
  <sheetViews>
    <sheetView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B116" sqref="B116"/>
    </sheetView>
  </sheetViews>
  <sheetFormatPr defaultColWidth="11.5546875" defaultRowHeight="16.5" customHeight="1"/>
  <cols>
    <col min="1" max="1" width="2.6640625" customWidth="1"/>
    <col min="2" max="2" width="14.5546875" style="126" customWidth="1"/>
    <col min="3" max="3" width="16.6640625" customWidth="1"/>
    <col min="4" max="4" width="11.5546875" customWidth="1"/>
    <col min="8" max="8" width="10.6640625" style="6"/>
    <col min="10" max="10" width="3.109375" style="7" bestFit="1" customWidth="1"/>
    <col min="11" max="11" width="3.109375" style="7" customWidth="1"/>
    <col min="12" max="12" width="3.6640625" style="8" bestFit="1" customWidth="1"/>
    <col min="13" max="15" width="3.109375" style="7" bestFit="1" customWidth="1"/>
    <col min="16" max="17" width="7" style="7" bestFit="1" customWidth="1"/>
    <col min="19" max="19" width="16.5546875" style="7" bestFit="1" customWidth="1"/>
  </cols>
  <sheetData>
    <row r="1" spans="2:19" ht="16.5" customHeight="1" thickBot="1">
      <c r="C1" s="7" t="s">
        <v>274</v>
      </c>
      <c r="S1" s="7" t="s">
        <v>1975</v>
      </c>
    </row>
    <row r="2" spans="2:19" s="2" customFormat="1" ht="16.5" customHeight="1" thickBot="1">
      <c r="B2" s="130" t="s">
        <v>0</v>
      </c>
      <c r="C2" s="56" t="s">
        <v>7</v>
      </c>
      <c r="D2" s="55" t="s">
        <v>29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38</v>
      </c>
      <c r="J2" s="57" t="s">
        <v>32</v>
      </c>
      <c r="K2" s="57" t="s">
        <v>33</v>
      </c>
      <c r="L2" s="57" t="s">
        <v>34</v>
      </c>
      <c r="M2" s="57" t="s">
        <v>35</v>
      </c>
      <c r="N2" s="57" t="s">
        <v>36</v>
      </c>
      <c r="O2" s="57" t="s">
        <v>37</v>
      </c>
      <c r="P2" s="57" t="s">
        <v>39</v>
      </c>
      <c r="Q2" s="58" t="s">
        <v>40</v>
      </c>
      <c r="S2" s="64" t="s">
        <v>178</v>
      </c>
    </row>
    <row r="3" spans="2:19" s="2" customFormat="1" ht="16.5" customHeight="1">
      <c r="B3" s="131" t="s">
        <v>76</v>
      </c>
      <c r="C3" s="23" t="str">
        <f t="shared" ref="C3:C43" si="0">"FF01"&amp;E3&amp;""&amp;F3&amp;G3&amp;H3&amp;I3</f>
        <v>FF01000F000010</v>
      </c>
      <c r="D3" s="22" t="s">
        <v>24</v>
      </c>
      <c r="E3" s="22" t="s">
        <v>16</v>
      </c>
      <c r="F3" s="22" t="s">
        <v>78</v>
      </c>
      <c r="G3" s="22" t="s">
        <v>16</v>
      </c>
      <c r="H3" s="22" t="s">
        <v>16</v>
      </c>
      <c r="I3" s="20" t="str">
        <f>Q3</f>
        <v>10</v>
      </c>
      <c r="J3" s="24" t="s">
        <v>9</v>
      </c>
      <c r="K3" s="25">
        <f t="shared" ref="K3:K43" si="1">HEX2DEC(D3)</f>
        <v>1</v>
      </c>
      <c r="L3" s="25">
        <f t="shared" ref="L3:L43" si="2">HEX2DEC(E3)</f>
        <v>0</v>
      </c>
      <c r="M3" s="25">
        <f t="shared" ref="M3:M43" si="3">HEX2DEC(F3)</f>
        <v>15</v>
      </c>
      <c r="N3" s="25">
        <f t="shared" ref="N3:N43" si="4">HEX2DEC(G3)</f>
        <v>0</v>
      </c>
      <c r="O3" s="25">
        <f t="shared" ref="O3:O43" si="5">HEX2DEC(H3)</f>
        <v>0</v>
      </c>
      <c r="P3" s="25">
        <f t="shared" ref="P3:P5" si="6">SUM(K3:O3)</f>
        <v>16</v>
      </c>
      <c r="Q3" s="26" t="str">
        <f>REPT("0",2-LEN(RIGHT(DEC2HEX(P3), 2)))&amp;RIGHT(DEC2HEX(P3), 2)</f>
        <v>10</v>
      </c>
      <c r="S3" s="64" t="s">
        <v>179</v>
      </c>
    </row>
    <row r="4" spans="2:19" s="2" customFormat="1" ht="16.5" customHeight="1">
      <c r="B4" s="132" t="s">
        <v>77</v>
      </c>
      <c r="C4" s="10" t="str">
        <f t="shared" si="0"/>
        <v>FF01002900002A</v>
      </c>
      <c r="D4" s="5" t="s">
        <v>24</v>
      </c>
      <c r="E4" s="5" t="s">
        <v>16</v>
      </c>
      <c r="F4" s="5" t="s">
        <v>79</v>
      </c>
      <c r="G4" s="5" t="s">
        <v>16</v>
      </c>
      <c r="H4" s="5" t="s">
        <v>16</v>
      </c>
      <c r="I4" s="3" t="str">
        <f>Q4</f>
        <v>2A</v>
      </c>
      <c r="J4" s="12" t="s">
        <v>9</v>
      </c>
      <c r="K4" s="13">
        <f t="shared" si="1"/>
        <v>1</v>
      </c>
      <c r="L4" s="13">
        <f t="shared" si="2"/>
        <v>0</v>
      </c>
      <c r="M4" s="13">
        <f t="shared" si="3"/>
        <v>41</v>
      </c>
      <c r="N4" s="13">
        <f t="shared" si="4"/>
        <v>0</v>
      </c>
      <c r="O4" s="13">
        <f t="shared" si="5"/>
        <v>0</v>
      </c>
      <c r="P4" s="13">
        <f t="shared" si="6"/>
        <v>42</v>
      </c>
      <c r="Q4" s="28" t="str">
        <f>REPT("0",2-LEN(RIGHT(DEC2HEX(P4), 2)))&amp;RIGHT(DEC2HEX(P4), 2)</f>
        <v>2A</v>
      </c>
      <c r="S4" s="64" t="s">
        <v>180</v>
      </c>
    </row>
    <row r="5" spans="2:19" s="2" customFormat="1" ht="16.5" customHeight="1" thickBot="1">
      <c r="B5" s="133" t="s">
        <v>64</v>
      </c>
      <c r="C5" s="17" t="str">
        <f t="shared" si="0"/>
        <v>FF010000000000</v>
      </c>
      <c r="D5" s="16" t="s">
        <v>16</v>
      </c>
      <c r="E5" s="16" t="s">
        <v>16</v>
      </c>
      <c r="F5" s="16" t="s">
        <v>16</v>
      </c>
      <c r="G5" s="16" t="s">
        <v>16</v>
      </c>
      <c r="H5" s="16" t="s">
        <v>16</v>
      </c>
      <c r="I5" s="16" t="s">
        <v>16</v>
      </c>
      <c r="J5" s="18" t="s">
        <v>9</v>
      </c>
      <c r="K5" s="19">
        <f t="shared" si="1"/>
        <v>0</v>
      </c>
      <c r="L5" s="19">
        <f t="shared" si="2"/>
        <v>0</v>
      </c>
      <c r="M5" s="19">
        <f t="shared" si="3"/>
        <v>0</v>
      </c>
      <c r="N5" s="19">
        <f t="shared" si="4"/>
        <v>0</v>
      </c>
      <c r="O5" s="19">
        <f t="shared" si="5"/>
        <v>0</v>
      </c>
      <c r="P5" s="19">
        <f t="shared" si="6"/>
        <v>0</v>
      </c>
      <c r="Q5" s="59" t="str">
        <f>REPT("0",2-LEN(RIGHT(DEC2HEX(P5), 2)))&amp;RIGHT(DEC2HEX(P5), 2)</f>
        <v>00</v>
      </c>
      <c r="S5" s="64" t="s">
        <v>181</v>
      </c>
    </row>
    <row r="6" spans="2:19" s="2" customFormat="1" ht="16.5" customHeight="1">
      <c r="B6" s="134" t="s">
        <v>73</v>
      </c>
      <c r="C6" s="101" t="str">
        <f t="shared" si="0"/>
        <v>FF010055000056</v>
      </c>
      <c r="D6" s="61" t="s">
        <v>24</v>
      </c>
      <c r="E6" s="61" t="s">
        <v>16</v>
      </c>
      <c r="F6" s="61" t="s">
        <v>74</v>
      </c>
      <c r="G6" s="61" t="s">
        <v>16</v>
      </c>
      <c r="H6" s="61" t="s">
        <v>16</v>
      </c>
      <c r="I6" s="24" t="str">
        <f t="shared" ref="I6" si="7">Q6</f>
        <v>56</v>
      </c>
      <c r="J6" s="24" t="s">
        <v>9</v>
      </c>
      <c r="K6" s="25">
        <f t="shared" si="1"/>
        <v>1</v>
      </c>
      <c r="L6" s="25">
        <f t="shared" si="2"/>
        <v>0</v>
      </c>
      <c r="M6" s="25">
        <f t="shared" si="3"/>
        <v>85</v>
      </c>
      <c r="N6" s="25">
        <f t="shared" si="4"/>
        <v>0</v>
      </c>
      <c r="O6" s="25">
        <f t="shared" si="5"/>
        <v>0</v>
      </c>
      <c r="P6" s="25">
        <f t="shared" ref="P6" si="8">SUM(K6:O6)</f>
        <v>86</v>
      </c>
      <c r="Q6" s="26" t="str">
        <f t="shared" ref="Q6" si="9">REPT("0",2-LEN(RIGHT(DEC2HEX(P6), 2)))&amp;RIGHT(DEC2HEX(P6), 2)</f>
        <v>56</v>
      </c>
      <c r="S6" s="64" t="s">
        <v>186</v>
      </c>
    </row>
    <row r="7" spans="2:19" s="2" customFormat="1" ht="16.5" customHeight="1">
      <c r="B7" s="63" t="s">
        <v>65</v>
      </c>
      <c r="C7" s="102" t="str">
        <f>"FF01"&amp;E7&amp;""&amp;F7&amp;G7&amp;H7&amp;I7</f>
        <v>FF010025000026</v>
      </c>
      <c r="D7" s="60" t="s">
        <v>24</v>
      </c>
      <c r="E7" s="60" t="s">
        <v>16</v>
      </c>
      <c r="F7" s="60" t="s">
        <v>51</v>
      </c>
      <c r="G7" s="60" t="s">
        <v>16</v>
      </c>
      <c r="H7" s="60" t="s">
        <v>16</v>
      </c>
      <c r="I7" s="12" t="str">
        <f t="shared" ref="I7:I9" si="10">Q7</f>
        <v>26</v>
      </c>
      <c r="J7" s="12" t="s">
        <v>9</v>
      </c>
      <c r="K7" s="13">
        <f t="shared" si="1"/>
        <v>1</v>
      </c>
      <c r="L7" s="13">
        <f t="shared" si="2"/>
        <v>0</v>
      </c>
      <c r="M7" s="13">
        <f t="shared" si="3"/>
        <v>37</v>
      </c>
      <c r="N7" s="13">
        <f t="shared" si="4"/>
        <v>0</v>
      </c>
      <c r="O7" s="13">
        <f t="shared" si="5"/>
        <v>0</v>
      </c>
      <c r="P7" s="13">
        <f t="shared" ref="P7" si="11">SUM(K7:O7)</f>
        <v>38</v>
      </c>
      <c r="Q7" s="28" t="str">
        <f t="shared" ref="Q7" si="12">REPT("0",2-LEN(RIGHT(DEC2HEX(P7), 2)))&amp;RIGHT(DEC2HEX(P7), 2)</f>
        <v>26</v>
      </c>
      <c r="S7" s="64" t="s">
        <v>182</v>
      </c>
    </row>
    <row r="8" spans="2:19" s="2" customFormat="1" ht="16.5" customHeight="1">
      <c r="B8" s="63" t="s">
        <v>66</v>
      </c>
      <c r="C8" s="102" t="str">
        <f t="shared" si="0"/>
        <v>FF01002500042A</v>
      </c>
      <c r="D8" s="60" t="s">
        <v>24</v>
      </c>
      <c r="E8" s="60" t="s">
        <v>16</v>
      </c>
      <c r="F8" s="60" t="s">
        <v>51</v>
      </c>
      <c r="G8" s="60" t="s">
        <v>16</v>
      </c>
      <c r="H8" s="60" t="s">
        <v>67</v>
      </c>
      <c r="I8" s="12" t="str">
        <f t="shared" si="10"/>
        <v>2A</v>
      </c>
      <c r="J8" s="12" t="s">
        <v>9</v>
      </c>
      <c r="K8" s="13">
        <f t="shared" si="1"/>
        <v>1</v>
      </c>
      <c r="L8" s="13">
        <f t="shared" si="2"/>
        <v>0</v>
      </c>
      <c r="M8" s="13">
        <f t="shared" si="3"/>
        <v>37</v>
      </c>
      <c r="N8" s="13">
        <f t="shared" si="4"/>
        <v>0</v>
      </c>
      <c r="O8" s="13">
        <f t="shared" si="5"/>
        <v>4</v>
      </c>
      <c r="P8" s="13">
        <f t="shared" ref="P8" si="13">SUM(K8:O8)</f>
        <v>42</v>
      </c>
      <c r="Q8" s="28" t="str">
        <f t="shared" ref="Q8" si="14">REPT("0",2-LEN(RIGHT(DEC2HEX(P8), 2)))&amp;RIGHT(DEC2HEX(P8), 2)</f>
        <v>2A</v>
      </c>
      <c r="S8" s="64" t="s">
        <v>183</v>
      </c>
    </row>
    <row r="9" spans="2:19" s="2" customFormat="1" ht="16.5" customHeight="1">
      <c r="B9" s="63" t="s">
        <v>71</v>
      </c>
      <c r="C9" s="102" t="str">
        <f t="shared" si="0"/>
        <v>FF01004F000050</v>
      </c>
      <c r="D9" s="60" t="s">
        <v>24</v>
      </c>
      <c r="E9" s="60" t="s">
        <v>16</v>
      </c>
      <c r="F9" s="60" t="s">
        <v>70</v>
      </c>
      <c r="G9" s="60" t="s">
        <v>16</v>
      </c>
      <c r="H9" s="60" t="s">
        <v>16</v>
      </c>
      <c r="I9" s="12" t="str">
        <f t="shared" si="10"/>
        <v>50</v>
      </c>
      <c r="J9" s="12" t="s">
        <v>9</v>
      </c>
      <c r="K9" s="13">
        <f t="shared" si="1"/>
        <v>1</v>
      </c>
      <c r="L9" s="13">
        <f t="shared" si="2"/>
        <v>0</v>
      </c>
      <c r="M9" s="13">
        <f t="shared" si="3"/>
        <v>79</v>
      </c>
      <c r="N9" s="13">
        <f t="shared" si="4"/>
        <v>0</v>
      </c>
      <c r="O9" s="13">
        <f t="shared" si="5"/>
        <v>0</v>
      </c>
      <c r="P9" s="13">
        <f t="shared" ref="P9" si="15">SUM(K9:O9)</f>
        <v>80</v>
      </c>
      <c r="Q9" s="28" t="str">
        <f t="shared" ref="Q9" si="16">REPT("0",2-LEN(RIGHT(DEC2HEX(P9), 2)))&amp;RIGHT(DEC2HEX(P9), 2)</f>
        <v>50</v>
      </c>
      <c r="S9" s="64" t="s">
        <v>176</v>
      </c>
    </row>
    <row r="10" spans="2:19" s="2" customFormat="1" ht="16.5" customHeight="1">
      <c r="B10" s="63" t="s">
        <v>72</v>
      </c>
      <c r="C10" s="102" t="str">
        <f t="shared" si="0"/>
        <v>FF01004FFFFF4E</v>
      </c>
      <c r="D10" s="60" t="s">
        <v>24</v>
      </c>
      <c r="E10" s="60" t="s">
        <v>16</v>
      </c>
      <c r="F10" s="60" t="s">
        <v>70</v>
      </c>
      <c r="G10" s="60" t="s">
        <v>9</v>
      </c>
      <c r="H10" s="60" t="s">
        <v>9</v>
      </c>
      <c r="I10" s="12" t="str">
        <f t="shared" ref="I10:I11" si="17">Q10</f>
        <v>4E</v>
      </c>
      <c r="J10" s="12" t="s">
        <v>9</v>
      </c>
      <c r="K10" s="13">
        <f t="shared" si="1"/>
        <v>1</v>
      </c>
      <c r="L10" s="13">
        <f t="shared" si="2"/>
        <v>0</v>
      </c>
      <c r="M10" s="13">
        <f t="shared" si="3"/>
        <v>79</v>
      </c>
      <c r="N10" s="13">
        <f t="shared" si="4"/>
        <v>255</v>
      </c>
      <c r="O10" s="13">
        <f t="shared" si="5"/>
        <v>255</v>
      </c>
      <c r="P10" s="13">
        <f t="shared" ref="P10" si="18">SUM(K10:O10)</f>
        <v>590</v>
      </c>
      <c r="Q10" s="28" t="str">
        <f t="shared" ref="Q10" si="19">REPT("0",2-LEN(RIGHT(DEC2HEX(P10), 2)))&amp;RIGHT(DEC2HEX(P10), 2)</f>
        <v>4E</v>
      </c>
      <c r="S10" s="64" t="s">
        <v>184</v>
      </c>
    </row>
    <row r="11" spans="2:19" s="2" customFormat="1" ht="15.75" customHeight="1" thickBot="1">
      <c r="B11" s="135" t="s">
        <v>174</v>
      </c>
      <c r="C11" s="103" t="str">
        <f t="shared" si="0"/>
        <v>FF01004F2A940E</v>
      </c>
      <c r="D11" s="62" t="s">
        <v>24</v>
      </c>
      <c r="E11" s="62" t="s">
        <v>16</v>
      </c>
      <c r="F11" s="62" t="s">
        <v>70</v>
      </c>
      <c r="G11" s="62" t="s">
        <v>173</v>
      </c>
      <c r="H11" s="62" t="s">
        <v>175</v>
      </c>
      <c r="I11" s="34" t="str">
        <f t="shared" si="17"/>
        <v>0E</v>
      </c>
      <c r="J11" s="34" t="s">
        <v>9</v>
      </c>
      <c r="K11" s="35">
        <f t="shared" si="1"/>
        <v>1</v>
      </c>
      <c r="L11" s="35">
        <f t="shared" si="2"/>
        <v>0</v>
      </c>
      <c r="M11" s="35">
        <f t="shared" si="3"/>
        <v>79</v>
      </c>
      <c r="N11" s="35">
        <f t="shared" si="4"/>
        <v>42</v>
      </c>
      <c r="O11" s="35">
        <f t="shared" si="5"/>
        <v>148</v>
      </c>
      <c r="P11" s="35">
        <f>SUM(K11:O11)</f>
        <v>270</v>
      </c>
      <c r="Q11" s="36" t="str">
        <f>REPT("0",2-LEN(RIGHT(DEC2HEX(P11), 2)))&amp;RIGHT(DEC2HEX(P11), 2)</f>
        <v>0E</v>
      </c>
      <c r="S11" s="64" t="s">
        <v>185</v>
      </c>
    </row>
    <row r="12" spans="2:19" s="2" customFormat="1" ht="16.5" customHeight="1">
      <c r="B12" s="136" t="s">
        <v>75</v>
      </c>
      <c r="C12" s="87" t="str">
        <f t="shared" si="0"/>
        <v>FF010155000057</v>
      </c>
      <c r="D12" s="100" t="s">
        <v>24</v>
      </c>
      <c r="E12" s="100" t="s">
        <v>24</v>
      </c>
      <c r="F12" s="100" t="s">
        <v>74</v>
      </c>
      <c r="G12" s="100" t="s">
        <v>16</v>
      </c>
      <c r="H12" s="100" t="s">
        <v>16</v>
      </c>
      <c r="I12" s="87" t="str">
        <f>Q12</f>
        <v>57</v>
      </c>
      <c r="J12" s="87" t="s">
        <v>9</v>
      </c>
      <c r="K12" s="88">
        <f t="shared" si="1"/>
        <v>1</v>
      </c>
      <c r="L12" s="88">
        <f t="shared" si="2"/>
        <v>1</v>
      </c>
      <c r="M12" s="88">
        <f t="shared" si="3"/>
        <v>85</v>
      </c>
      <c r="N12" s="88">
        <f t="shared" si="4"/>
        <v>0</v>
      </c>
      <c r="O12" s="88">
        <f t="shared" si="5"/>
        <v>0</v>
      </c>
      <c r="P12" s="88">
        <f>SUM(K12:O12)</f>
        <v>87</v>
      </c>
      <c r="Q12" s="89" t="str">
        <f>REPT("0",2-LEN(RIGHT(DEC2HEX(P12), 2)))&amp;RIGHT(DEC2HEX(P12), 2)</f>
        <v>57</v>
      </c>
      <c r="S12" s="64" t="s">
        <v>190</v>
      </c>
    </row>
    <row r="13" spans="2:19" s="2" customFormat="1" ht="16.5" customHeight="1">
      <c r="B13" s="132" t="s">
        <v>68</v>
      </c>
      <c r="C13" s="10" t="str">
        <f t="shared" si="0"/>
        <v>FF010027000028</v>
      </c>
      <c r="D13" s="5" t="s">
        <v>24</v>
      </c>
      <c r="E13" s="5" t="s">
        <v>16</v>
      </c>
      <c r="F13" s="5" t="s">
        <v>60</v>
      </c>
      <c r="G13" s="5" t="s">
        <v>16</v>
      </c>
      <c r="H13" s="5" t="s">
        <v>16</v>
      </c>
      <c r="I13" s="3" t="str">
        <f t="shared" ref="I13:I61" si="20">Q13</f>
        <v>28</v>
      </c>
      <c r="J13" s="12" t="s">
        <v>9</v>
      </c>
      <c r="K13" s="13">
        <f t="shared" si="1"/>
        <v>1</v>
      </c>
      <c r="L13" s="13">
        <f t="shared" si="2"/>
        <v>0</v>
      </c>
      <c r="M13" s="13">
        <f t="shared" si="3"/>
        <v>39</v>
      </c>
      <c r="N13" s="13">
        <f t="shared" si="4"/>
        <v>0</v>
      </c>
      <c r="O13" s="13">
        <f t="shared" si="5"/>
        <v>0</v>
      </c>
      <c r="P13" s="13">
        <f>SUM(K13:O13)</f>
        <v>40</v>
      </c>
      <c r="Q13" s="28" t="str">
        <f>REPT("0",2-LEN(RIGHT(DEC2HEX(P13), 2)))&amp;RIGHT(DEC2HEX(P13), 2)</f>
        <v>28</v>
      </c>
      <c r="S13" s="64" t="s">
        <v>187</v>
      </c>
    </row>
    <row r="14" spans="2:19" s="2" customFormat="1" ht="16.5" customHeight="1">
      <c r="B14" s="132" t="s">
        <v>69</v>
      </c>
      <c r="C14" s="10" t="str">
        <f t="shared" si="0"/>
        <v>FF01002700042C</v>
      </c>
      <c r="D14" s="5" t="s">
        <v>24</v>
      </c>
      <c r="E14" s="5" t="s">
        <v>16</v>
      </c>
      <c r="F14" s="5" t="s">
        <v>60</v>
      </c>
      <c r="G14" s="5" t="s">
        <v>16</v>
      </c>
      <c r="H14" s="5" t="s">
        <v>67</v>
      </c>
      <c r="I14" s="3" t="str">
        <f t="shared" si="20"/>
        <v>2C</v>
      </c>
      <c r="J14" s="12" t="s">
        <v>9</v>
      </c>
      <c r="K14" s="13">
        <f t="shared" si="1"/>
        <v>1</v>
      </c>
      <c r="L14" s="13">
        <f t="shared" si="2"/>
        <v>0</v>
      </c>
      <c r="M14" s="13">
        <f t="shared" si="3"/>
        <v>39</v>
      </c>
      <c r="N14" s="13">
        <f t="shared" si="4"/>
        <v>0</v>
      </c>
      <c r="O14" s="13">
        <f t="shared" si="5"/>
        <v>4</v>
      </c>
      <c r="P14" s="13">
        <f t="shared" ref="P14" si="21">SUM(K14:O14)</f>
        <v>44</v>
      </c>
      <c r="Q14" s="28" t="str">
        <f t="shared" ref="Q14" si="22">REPT("0",2-LEN(RIGHT(DEC2HEX(P14), 2)))&amp;RIGHT(DEC2HEX(P14), 2)</f>
        <v>2C</v>
      </c>
      <c r="S14" s="64" t="s">
        <v>188</v>
      </c>
    </row>
    <row r="15" spans="2:19" s="2" customFormat="1" ht="16.5" customHeight="1">
      <c r="B15" s="132" t="s">
        <v>105</v>
      </c>
      <c r="C15" s="10" t="str">
        <f t="shared" si="0"/>
        <v>FF01014F000051</v>
      </c>
      <c r="D15" s="5" t="s">
        <v>24</v>
      </c>
      <c r="E15" s="5" t="s">
        <v>24</v>
      </c>
      <c r="F15" s="5" t="s">
        <v>70</v>
      </c>
      <c r="G15" s="5" t="s">
        <v>16</v>
      </c>
      <c r="H15" s="5" t="s">
        <v>16</v>
      </c>
      <c r="I15" s="3" t="str">
        <f t="shared" si="20"/>
        <v>51</v>
      </c>
      <c r="J15" s="12" t="s">
        <v>9</v>
      </c>
      <c r="K15" s="13">
        <f t="shared" si="1"/>
        <v>1</v>
      </c>
      <c r="L15" s="13">
        <f t="shared" si="2"/>
        <v>1</v>
      </c>
      <c r="M15" s="13">
        <f t="shared" si="3"/>
        <v>79</v>
      </c>
      <c r="N15" s="13">
        <f t="shared" si="4"/>
        <v>0</v>
      </c>
      <c r="O15" s="13">
        <f t="shared" si="5"/>
        <v>0</v>
      </c>
      <c r="P15" s="13">
        <f>SUM(K15:O15)</f>
        <v>81</v>
      </c>
      <c r="Q15" s="28" t="str">
        <f>REPT("0",2-LEN(RIGHT(DEC2HEX(P15), 2)))&amp;RIGHT(DEC2HEX(P15), 2)</f>
        <v>51</v>
      </c>
      <c r="S15" s="64" t="s">
        <v>2365</v>
      </c>
    </row>
    <row r="16" spans="2:19" s="2" customFormat="1" ht="15.75" customHeight="1">
      <c r="B16" s="132" t="s">
        <v>106</v>
      </c>
      <c r="C16" s="10" t="str">
        <f t="shared" si="0"/>
        <v>FF01014FFFFF4F</v>
      </c>
      <c r="D16" s="5" t="s">
        <v>24</v>
      </c>
      <c r="E16" s="5" t="s">
        <v>24</v>
      </c>
      <c r="F16" s="5" t="s">
        <v>70</v>
      </c>
      <c r="G16" s="5" t="s">
        <v>9</v>
      </c>
      <c r="H16" s="5" t="s">
        <v>9</v>
      </c>
      <c r="I16" s="3" t="str">
        <f t="shared" ref="I16" si="23">Q16</f>
        <v>4F</v>
      </c>
      <c r="J16" s="12" t="s">
        <v>9</v>
      </c>
      <c r="K16" s="13">
        <f t="shared" si="1"/>
        <v>1</v>
      </c>
      <c r="L16" s="13">
        <f t="shared" si="2"/>
        <v>1</v>
      </c>
      <c r="M16" s="13">
        <f t="shared" si="3"/>
        <v>79</v>
      </c>
      <c r="N16" s="13">
        <f t="shared" si="4"/>
        <v>255</v>
      </c>
      <c r="O16" s="13">
        <f t="shared" si="5"/>
        <v>255</v>
      </c>
      <c r="P16" s="13">
        <f>SUM(K16:O16)</f>
        <v>591</v>
      </c>
      <c r="Q16" s="28" t="str">
        <f>REPT("0",2-LEN(RIGHT(DEC2HEX(P16), 2)))&amp;RIGHT(DEC2HEX(P16), 2)</f>
        <v>4F</v>
      </c>
      <c r="S16" s="64" t="s">
        <v>177</v>
      </c>
    </row>
    <row r="17" spans="2:19" s="2" customFormat="1" ht="15.75" customHeight="1">
      <c r="B17" s="132" t="s">
        <v>1239</v>
      </c>
      <c r="C17" s="10" t="str">
        <f t="shared" si="0"/>
        <v>FF01014F29CC46</v>
      </c>
      <c r="D17" s="5" t="s">
        <v>24</v>
      </c>
      <c r="E17" s="5" t="s">
        <v>24</v>
      </c>
      <c r="F17" s="5" t="s">
        <v>70</v>
      </c>
      <c r="G17" s="5" t="s">
        <v>79</v>
      </c>
      <c r="H17" s="5" t="s">
        <v>1240</v>
      </c>
      <c r="I17" s="3" t="str">
        <f t="shared" ref="I17" si="24">Q17</f>
        <v>46</v>
      </c>
      <c r="J17" s="12" t="s">
        <v>9</v>
      </c>
      <c r="K17" s="13">
        <f t="shared" si="1"/>
        <v>1</v>
      </c>
      <c r="L17" s="13">
        <f t="shared" si="2"/>
        <v>1</v>
      </c>
      <c r="M17" s="13">
        <f t="shared" si="3"/>
        <v>79</v>
      </c>
      <c r="N17" s="13">
        <f t="shared" si="4"/>
        <v>41</v>
      </c>
      <c r="O17" s="13">
        <f t="shared" si="5"/>
        <v>204</v>
      </c>
      <c r="P17" s="13">
        <f>SUM(K17:O17)</f>
        <v>326</v>
      </c>
      <c r="Q17" s="28" t="str">
        <f>REPT("0",2-LEN(RIGHT(DEC2HEX(P17), 2)))&amp;RIGHT(DEC2HEX(P17), 2)</f>
        <v>46</v>
      </c>
      <c r="S17" s="64" t="s">
        <v>1976</v>
      </c>
    </row>
    <row r="18" spans="2:19" s="2" customFormat="1" ht="16.5" customHeight="1">
      <c r="B18" s="132" t="s">
        <v>102</v>
      </c>
      <c r="C18" s="10" t="str">
        <f t="shared" si="0"/>
        <v>FF01002B00002C</v>
      </c>
      <c r="D18" s="5" t="s">
        <v>24</v>
      </c>
      <c r="E18" s="5" t="s">
        <v>16</v>
      </c>
      <c r="F18" s="5" t="s">
        <v>104</v>
      </c>
      <c r="G18" s="5" t="s">
        <v>16</v>
      </c>
      <c r="H18" s="5" t="s">
        <v>16</v>
      </c>
      <c r="I18" s="3" t="str">
        <f t="shared" si="20"/>
        <v>2C</v>
      </c>
      <c r="J18" s="12" t="s">
        <v>9</v>
      </c>
      <c r="K18" s="13">
        <f t="shared" si="1"/>
        <v>1</v>
      </c>
      <c r="L18" s="13">
        <f t="shared" si="2"/>
        <v>0</v>
      </c>
      <c r="M18" s="13">
        <f t="shared" si="3"/>
        <v>43</v>
      </c>
      <c r="N18" s="13">
        <f t="shared" si="4"/>
        <v>0</v>
      </c>
      <c r="O18" s="13">
        <f t="shared" si="5"/>
        <v>0</v>
      </c>
      <c r="P18" s="13">
        <f t="shared" ref="P18" si="25">SUM(K18:O18)</f>
        <v>44</v>
      </c>
      <c r="Q18" s="28" t="str">
        <f t="shared" ref="Q18" si="26">REPT("0",2-LEN(RIGHT(DEC2HEX(P18), 2)))&amp;RIGHT(DEC2HEX(P18), 2)</f>
        <v>2C</v>
      </c>
      <c r="S18" s="64" t="s">
        <v>191</v>
      </c>
    </row>
    <row r="19" spans="2:19" s="2" customFormat="1" ht="16.5" customHeight="1" thickBot="1">
      <c r="B19" s="137" t="s">
        <v>103</v>
      </c>
      <c r="C19" s="33" t="str">
        <f t="shared" si="0"/>
        <v>FF01002B00012D</v>
      </c>
      <c r="D19" s="32" t="s">
        <v>24</v>
      </c>
      <c r="E19" s="32" t="s">
        <v>16</v>
      </c>
      <c r="F19" s="32" t="s">
        <v>104</v>
      </c>
      <c r="G19" s="32" t="s">
        <v>16</v>
      </c>
      <c r="H19" s="32" t="s">
        <v>24</v>
      </c>
      <c r="I19" s="30" t="str">
        <f t="shared" ref="I19:I40" si="27">Q19</f>
        <v>2D</v>
      </c>
      <c r="J19" s="34" t="s">
        <v>9</v>
      </c>
      <c r="K19" s="35">
        <f t="shared" si="1"/>
        <v>1</v>
      </c>
      <c r="L19" s="35">
        <f t="shared" si="2"/>
        <v>0</v>
      </c>
      <c r="M19" s="35">
        <f t="shared" si="3"/>
        <v>43</v>
      </c>
      <c r="N19" s="35">
        <f t="shared" si="4"/>
        <v>0</v>
      </c>
      <c r="O19" s="35">
        <f t="shared" si="5"/>
        <v>1</v>
      </c>
      <c r="P19" s="35">
        <f t="shared" ref="P19:P40" si="28">SUM(K19:O19)</f>
        <v>45</v>
      </c>
      <c r="Q19" s="36" t="str">
        <f t="shared" ref="Q19:Q41" si="29">REPT("0",2-LEN(RIGHT(DEC2HEX(P19), 2)))&amp;RIGHT(DEC2HEX(P19), 2)</f>
        <v>2D</v>
      </c>
      <c r="S19" s="64" t="s">
        <v>192</v>
      </c>
    </row>
    <row r="20" spans="2:19" s="2" customFormat="1" ht="16.5" customHeight="1">
      <c r="B20" s="63" t="s">
        <v>108</v>
      </c>
      <c r="C20" s="12" t="str">
        <f t="shared" si="0"/>
        <v>FF01A1100000B2</v>
      </c>
      <c r="D20" s="60" t="s">
        <v>24</v>
      </c>
      <c r="E20" s="60" t="s">
        <v>80</v>
      </c>
      <c r="F20" s="60" t="s">
        <v>109</v>
      </c>
      <c r="G20" s="60" t="s">
        <v>16</v>
      </c>
      <c r="H20" s="60" t="s">
        <v>16</v>
      </c>
      <c r="I20" s="12" t="str">
        <f>Q20</f>
        <v>B2</v>
      </c>
      <c r="J20" s="12" t="s">
        <v>9</v>
      </c>
      <c r="K20" s="13">
        <f t="shared" si="1"/>
        <v>1</v>
      </c>
      <c r="L20" s="13">
        <f t="shared" si="2"/>
        <v>161</v>
      </c>
      <c r="M20" s="13">
        <f t="shared" si="3"/>
        <v>16</v>
      </c>
      <c r="N20" s="13">
        <f t="shared" si="4"/>
        <v>0</v>
      </c>
      <c r="O20" s="13">
        <f t="shared" si="5"/>
        <v>0</v>
      </c>
      <c r="P20" s="13">
        <f>SUM(K20:O20)</f>
        <v>178</v>
      </c>
      <c r="Q20" s="28" t="str">
        <f>REPT("0",2-LEN(RIGHT(DEC2HEX(P20), 2)))&amp;RIGHT(DEC2HEX(P20), 2)</f>
        <v>B2</v>
      </c>
      <c r="S20" s="64" t="s">
        <v>193</v>
      </c>
    </row>
    <row r="21" spans="2:19" s="2" customFormat="1" ht="16.5" customHeight="1">
      <c r="B21" s="132" t="s">
        <v>117</v>
      </c>
      <c r="C21" s="10" t="str">
        <f t="shared" si="0"/>
        <v>FF01A0110000B2</v>
      </c>
      <c r="D21" s="5" t="s">
        <v>24</v>
      </c>
      <c r="E21" s="5" t="s">
        <v>23</v>
      </c>
      <c r="F21" s="5" t="s">
        <v>110</v>
      </c>
      <c r="G21" s="5" t="s">
        <v>16</v>
      </c>
      <c r="H21" s="5" t="s">
        <v>16</v>
      </c>
      <c r="I21" s="3" t="str">
        <f t="shared" ref="I21:I27" si="30">Q21</f>
        <v>B2</v>
      </c>
      <c r="J21" s="12" t="s">
        <v>9</v>
      </c>
      <c r="K21" s="13">
        <f t="shared" si="1"/>
        <v>1</v>
      </c>
      <c r="L21" s="13">
        <f t="shared" si="2"/>
        <v>160</v>
      </c>
      <c r="M21" s="13">
        <f t="shared" si="3"/>
        <v>17</v>
      </c>
      <c r="N21" s="13">
        <f t="shared" si="4"/>
        <v>0</v>
      </c>
      <c r="O21" s="13">
        <f t="shared" si="5"/>
        <v>0</v>
      </c>
      <c r="P21" s="13">
        <f t="shared" ref="P21:P27" si="31">SUM(K21:O21)</f>
        <v>178</v>
      </c>
      <c r="Q21" s="28" t="str">
        <f t="shared" ref="Q21:Q27" si="32">REPT("0",2-LEN(RIGHT(DEC2HEX(P21), 2)))&amp;RIGHT(DEC2HEX(P21), 2)</f>
        <v>B2</v>
      </c>
      <c r="S21" s="64" t="s">
        <v>194</v>
      </c>
    </row>
    <row r="22" spans="2:19" s="2" customFormat="1" ht="16.5" customHeight="1">
      <c r="B22" s="132" t="s">
        <v>112</v>
      </c>
      <c r="C22" s="10" t="str">
        <f t="shared" si="0"/>
        <v>FF01A0120000B3</v>
      </c>
      <c r="D22" s="5" t="s">
        <v>24</v>
      </c>
      <c r="E22" s="5" t="s">
        <v>23</v>
      </c>
      <c r="F22" s="5" t="s">
        <v>111</v>
      </c>
      <c r="G22" s="5" t="s">
        <v>16</v>
      </c>
      <c r="H22" s="5" t="s">
        <v>16</v>
      </c>
      <c r="I22" s="3" t="str">
        <f t="shared" si="30"/>
        <v>B3</v>
      </c>
      <c r="J22" s="12" t="s">
        <v>9</v>
      </c>
      <c r="K22" s="13">
        <f t="shared" si="1"/>
        <v>1</v>
      </c>
      <c r="L22" s="13">
        <f t="shared" si="2"/>
        <v>160</v>
      </c>
      <c r="M22" s="13">
        <f t="shared" si="3"/>
        <v>18</v>
      </c>
      <c r="N22" s="13">
        <f t="shared" si="4"/>
        <v>0</v>
      </c>
      <c r="O22" s="13">
        <f t="shared" si="5"/>
        <v>0</v>
      </c>
      <c r="P22" s="13">
        <f t="shared" si="31"/>
        <v>179</v>
      </c>
      <c r="Q22" s="28" t="str">
        <f t="shared" si="32"/>
        <v>B3</v>
      </c>
      <c r="S22" s="64" t="s">
        <v>195</v>
      </c>
    </row>
    <row r="23" spans="2:19" s="2" customFormat="1" ht="16.5" customHeight="1">
      <c r="B23" s="132" t="s">
        <v>113</v>
      </c>
      <c r="C23" s="10" t="str">
        <f t="shared" si="0"/>
        <v>FF01A0120004B7</v>
      </c>
      <c r="D23" s="5" t="s">
        <v>24</v>
      </c>
      <c r="E23" s="5" t="s">
        <v>23</v>
      </c>
      <c r="F23" s="5" t="s">
        <v>111</v>
      </c>
      <c r="G23" s="5" t="s">
        <v>16</v>
      </c>
      <c r="H23" s="5" t="s">
        <v>67</v>
      </c>
      <c r="I23" s="3" t="str">
        <f t="shared" si="30"/>
        <v>B7</v>
      </c>
      <c r="J23" s="12" t="s">
        <v>9</v>
      </c>
      <c r="K23" s="13">
        <f t="shared" si="1"/>
        <v>1</v>
      </c>
      <c r="L23" s="13">
        <f t="shared" si="2"/>
        <v>160</v>
      </c>
      <c r="M23" s="13">
        <f t="shared" si="3"/>
        <v>18</v>
      </c>
      <c r="N23" s="13">
        <f t="shared" si="4"/>
        <v>0</v>
      </c>
      <c r="O23" s="13">
        <f t="shared" si="5"/>
        <v>4</v>
      </c>
      <c r="P23" s="13">
        <f t="shared" si="31"/>
        <v>183</v>
      </c>
      <c r="Q23" s="28" t="str">
        <f t="shared" si="32"/>
        <v>B7</v>
      </c>
      <c r="S23" s="64" t="s">
        <v>196</v>
      </c>
    </row>
    <row r="24" spans="2:19" s="2" customFormat="1" ht="16.5" customHeight="1">
      <c r="B24" s="132" t="s">
        <v>114</v>
      </c>
      <c r="C24" s="10" t="str">
        <f t="shared" si="0"/>
        <v>FF01A0130000B4</v>
      </c>
      <c r="D24" s="5" t="s">
        <v>24</v>
      </c>
      <c r="E24" s="5" t="s">
        <v>23</v>
      </c>
      <c r="F24" s="5" t="s">
        <v>116</v>
      </c>
      <c r="G24" s="5" t="s">
        <v>16</v>
      </c>
      <c r="H24" s="5" t="s">
        <v>16</v>
      </c>
      <c r="I24" s="3" t="str">
        <f t="shared" si="30"/>
        <v>B4</v>
      </c>
      <c r="J24" s="12" t="s">
        <v>9</v>
      </c>
      <c r="K24" s="13">
        <f t="shared" si="1"/>
        <v>1</v>
      </c>
      <c r="L24" s="13">
        <f t="shared" si="2"/>
        <v>160</v>
      </c>
      <c r="M24" s="13">
        <f t="shared" si="3"/>
        <v>19</v>
      </c>
      <c r="N24" s="13">
        <f t="shared" si="4"/>
        <v>0</v>
      </c>
      <c r="O24" s="13">
        <f t="shared" si="5"/>
        <v>0</v>
      </c>
      <c r="P24" s="13">
        <f t="shared" si="31"/>
        <v>180</v>
      </c>
      <c r="Q24" s="28" t="str">
        <f t="shared" si="32"/>
        <v>B4</v>
      </c>
      <c r="S24" s="64" t="s">
        <v>197</v>
      </c>
    </row>
    <row r="25" spans="2:19" s="2" customFormat="1" ht="16.5" customHeight="1">
      <c r="B25" s="132" t="s">
        <v>115</v>
      </c>
      <c r="C25" s="10" t="str">
        <f t="shared" si="0"/>
        <v>FF01A0130004B8</v>
      </c>
      <c r="D25" s="5" t="s">
        <v>24</v>
      </c>
      <c r="E25" s="5" t="s">
        <v>23</v>
      </c>
      <c r="F25" s="5" t="s">
        <v>116</v>
      </c>
      <c r="G25" s="5" t="s">
        <v>16</v>
      </c>
      <c r="H25" s="5" t="s">
        <v>67</v>
      </c>
      <c r="I25" s="3" t="str">
        <f t="shared" si="30"/>
        <v>B8</v>
      </c>
      <c r="J25" s="12" t="s">
        <v>9</v>
      </c>
      <c r="K25" s="13">
        <f t="shared" si="1"/>
        <v>1</v>
      </c>
      <c r="L25" s="13">
        <f t="shared" si="2"/>
        <v>160</v>
      </c>
      <c r="M25" s="13">
        <f t="shared" si="3"/>
        <v>19</v>
      </c>
      <c r="N25" s="13">
        <f t="shared" si="4"/>
        <v>0</v>
      </c>
      <c r="O25" s="13">
        <f t="shared" si="5"/>
        <v>4</v>
      </c>
      <c r="P25" s="13">
        <f t="shared" si="31"/>
        <v>184</v>
      </c>
      <c r="Q25" s="28" t="str">
        <f t="shared" si="32"/>
        <v>B8</v>
      </c>
      <c r="S25" s="64" t="s">
        <v>198</v>
      </c>
    </row>
    <row r="26" spans="2:19" s="2" customFormat="1" ht="16.5" customHeight="1">
      <c r="B26" s="132" t="s">
        <v>118</v>
      </c>
      <c r="C26" s="10" t="str">
        <f t="shared" si="0"/>
        <v>FF01A0140000B5</v>
      </c>
      <c r="D26" s="5" t="s">
        <v>24</v>
      </c>
      <c r="E26" s="5" t="s">
        <v>23</v>
      </c>
      <c r="F26" s="5" t="s">
        <v>62</v>
      </c>
      <c r="G26" s="5" t="s">
        <v>16</v>
      </c>
      <c r="H26" s="5" t="s">
        <v>16</v>
      </c>
      <c r="I26" s="3" t="str">
        <f t="shared" si="30"/>
        <v>B5</v>
      </c>
      <c r="J26" s="12" t="s">
        <v>9</v>
      </c>
      <c r="K26" s="13">
        <f t="shared" si="1"/>
        <v>1</v>
      </c>
      <c r="L26" s="13">
        <f t="shared" si="2"/>
        <v>160</v>
      </c>
      <c r="M26" s="13">
        <f t="shared" si="3"/>
        <v>20</v>
      </c>
      <c r="N26" s="13">
        <f t="shared" si="4"/>
        <v>0</v>
      </c>
      <c r="O26" s="13">
        <f t="shared" si="5"/>
        <v>0</v>
      </c>
      <c r="P26" s="13">
        <f t="shared" si="31"/>
        <v>181</v>
      </c>
      <c r="Q26" s="28" t="str">
        <f t="shared" si="32"/>
        <v>B5</v>
      </c>
      <c r="S26" s="64" t="s">
        <v>199</v>
      </c>
    </row>
    <row r="27" spans="2:19" s="2" customFormat="1" ht="16.5" customHeight="1">
      <c r="B27" s="132" t="s">
        <v>119</v>
      </c>
      <c r="C27" s="10" t="str">
        <f t="shared" si="0"/>
        <v>FF01A0140001B6</v>
      </c>
      <c r="D27" s="5" t="s">
        <v>24</v>
      </c>
      <c r="E27" s="5" t="s">
        <v>23</v>
      </c>
      <c r="F27" s="5" t="s">
        <v>62</v>
      </c>
      <c r="G27" s="5" t="s">
        <v>16</v>
      </c>
      <c r="H27" s="5" t="s">
        <v>24</v>
      </c>
      <c r="I27" s="3" t="str">
        <f t="shared" si="30"/>
        <v>B6</v>
      </c>
      <c r="J27" s="12" t="s">
        <v>9</v>
      </c>
      <c r="K27" s="13">
        <f t="shared" si="1"/>
        <v>1</v>
      </c>
      <c r="L27" s="13">
        <f t="shared" si="2"/>
        <v>160</v>
      </c>
      <c r="M27" s="13">
        <f t="shared" si="3"/>
        <v>20</v>
      </c>
      <c r="N27" s="13">
        <f t="shared" si="4"/>
        <v>0</v>
      </c>
      <c r="O27" s="13">
        <f t="shared" si="5"/>
        <v>1</v>
      </c>
      <c r="P27" s="13">
        <f t="shared" si="31"/>
        <v>182</v>
      </c>
      <c r="Q27" s="28" t="str">
        <f t="shared" si="32"/>
        <v>B6</v>
      </c>
      <c r="S27" s="64" t="s">
        <v>200</v>
      </c>
    </row>
    <row r="28" spans="2:19" s="2" customFormat="1" ht="16.5" customHeight="1">
      <c r="B28" s="132" t="s">
        <v>120</v>
      </c>
      <c r="C28" s="10" t="str">
        <f t="shared" si="0"/>
        <v>FF01A0140002B7</v>
      </c>
      <c r="D28" s="5" t="s">
        <v>24</v>
      </c>
      <c r="E28" s="5" t="s">
        <v>23</v>
      </c>
      <c r="F28" s="5" t="s">
        <v>62</v>
      </c>
      <c r="G28" s="5" t="s">
        <v>16</v>
      </c>
      <c r="H28" s="5" t="s">
        <v>17</v>
      </c>
      <c r="I28" s="3" t="str">
        <f t="shared" si="27"/>
        <v>B7</v>
      </c>
      <c r="J28" s="12" t="s">
        <v>9</v>
      </c>
      <c r="K28" s="13">
        <f t="shared" si="1"/>
        <v>1</v>
      </c>
      <c r="L28" s="13">
        <f t="shared" si="2"/>
        <v>160</v>
      </c>
      <c r="M28" s="13">
        <f t="shared" si="3"/>
        <v>20</v>
      </c>
      <c r="N28" s="13">
        <f t="shared" si="4"/>
        <v>0</v>
      </c>
      <c r="O28" s="13">
        <f t="shared" si="5"/>
        <v>2</v>
      </c>
      <c r="P28" s="13">
        <f t="shared" si="28"/>
        <v>183</v>
      </c>
      <c r="Q28" s="28" t="str">
        <f t="shared" si="29"/>
        <v>B7</v>
      </c>
      <c r="S28" s="64" t="s">
        <v>201</v>
      </c>
    </row>
    <row r="29" spans="2:19" s="2" customFormat="1" ht="16.5" customHeight="1">
      <c r="B29" s="132" t="s">
        <v>121</v>
      </c>
      <c r="C29" s="10" t="str">
        <f t="shared" si="0"/>
        <v>FF01A0150001B7</v>
      </c>
      <c r="D29" s="5" t="s">
        <v>24</v>
      </c>
      <c r="E29" s="5" t="s">
        <v>23</v>
      </c>
      <c r="F29" s="5" t="s">
        <v>123</v>
      </c>
      <c r="G29" s="5" t="s">
        <v>16</v>
      </c>
      <c r="H29" s="5" t="s">
        <v>24</v>
      </c>
      <c r="I29" s="3" t="str">
        <f t="shared" si="27"/>
        <v>B7</v>
      </c>
      <c r="J29" s="12" t="s">
        <v>9</v>
      </c>
      <c r="K29" s="13">
        <f t="shared" si="1"/>
        <v>1</v>
      </c>
      <c r="L29" s="13">
        <f t="shared" si="2"/>
        <v>160</v>
      </c>
      <c r="M29" s="13">
        <f t="shared" si="3"/>
        <v>21</v>
      </c>
      <c r="N29" s="13">
        <f t="shared" si="4"/>
        <v>0</v>
      </c>
      <c r="O29" s="13">
        <f t="shared" si="5"/>
        <v>1</v>
      </c>
      <c r="P29" s="13">
        <f t="shared" si="28"/>
        <v>183</v>
      </c>
      <c r="Q29" s="28" t="str">
        <f t="shared" si="29"/>
        <v>B7</v>
      </c>
      <c r="S29" s="64" t="s">
        <v>202</v>
      </c>
    </row>
    <row r="30" spans="2:19" s="2" customFormat="1" ht="16.5" customHeight="1">
      <c r="B30" s="132" t="s">
        <v>1250</v>
      </c>
      <c r="C30" s="10" t="str">
        <f t="shared" ref="C30" si="33">"FF01"&amp;E30&amp;""&amp;F30&amp;G30&amp;H30&amp;I30</f>
        <v>FF01A015001ED4</v>
      </c>
      <c r="D30" s="5" t="s">
        <v>24</v>
      </c>
      <c r="E30" s="5" t="s">
        <v>23</v>
      </c>
      <c r="F30" s="5" t="s">
        <v>123</v>
      </c>
      <c r="G30" s="5" t="s">
        <v>16</v>
      </c>
      <c r="H30" s="5" t="s">
        <v>63</v>
      </c>
      <c r="I30" s="3" t="str">
        <f t="shared" ref="I30" si="34">Q30</f>
        <v>D4</v>
      </c>
      <c r="J30" s="12" t="s">
        <v>9</v>
      </c>
      <c r="K30" s="13">
        <f t="shared" ref="K30" si="35">HEX2DEC(D30)</f>
        <v>1</v>
      </c>
      <c r="L30" s="13">
        <f t="shared" ref="L30" si="36">HEX2DEC(E30)</f>
        <v>160</v>
      </c>
      <c r="M30" s="13">
        <f t="shared" ref="M30" si="37">HEX2DEC(F30)</f>
        <v>21</v>
      </c>
      <c r="N30" s="13">
        <f t="shared" ref="N30" si="38">HEX2DEC(G30)</f>
        <v>0</v>
      </c>
      <c r="O30" s="13">
        <f t="shared" ref="O30" si="39">HEX2DEC(H30)</f>
        <v>30</v>
      </c>
      <c r="P30" s="13">
        <f t="shared" ref="P30" si="40">SUM(K30:O30)</f>
        <v>212</v>
      </c>
      <c r="Q30" s="28" t="str">
        <f t="shared" ref="Q30" si="41">REPT("0",2-LEN(RIGHT(DEC2HEX(P30), 2)))&amp;RIGHT(DEC2HEX(P30), 2)</f>
        <v>D4</v>
      </c>
      <c r="S30" s="64" t="s">
        <v>1977</v>
      </c>
    </row>
    <row r="31" spans="2:19" s="2" customFormat="1" ht="16.5" customHeight="1">
      <c r="B31" s="132" t="s">
        <v>122</v>
      </c>
      <c r="C31" s="10" t="str">
        <f t="shared" si="0"/>
        <v>FF01A01500B46A</v>
      </c>
      <c r="D31" s="5" t="s">
        <v>24</v>
      </c>
      <c r="E31" s="5" t="s">
        <v>23</v>
      </c>
      <c r="F31" s="5" t="s">
        <v>123</v>
      </c>
      <c r="G31" s="5" t="s">
        <v>16</v>
      </c>
      <c r="H31" s="5" t="s">
        <v>124</v>
      </c>
      <c r="I31" s="3" t="str">
        <f t="shared" ref="I31:I33" si="42">Q31</f>
        <v>6A</v>
      </c>
      <c r="J31" s="12" t="s">
        <v>9</v>
      </c>
      <c r="K31" s="13">
        <f t="shared" si="1"/>
        <v>1</v>
      </c>
      <c r="L31" s="13">
        <f t="shared" si="2"/>
        <v>160</v>
      </c>
      <c r="M31" s="13">
        <f t="shared" si="3"/>
        <v>21</v>
      </c>
      <c r="N31" s="13">
        <f t="shared" si="4"/>
        <v>0</v>
      </c>
      <c r="O31" s="13">
        <f t="shared" si="5"/>
        <v>180</v>
      </c>
      <c r="P31" s="13">
        <f t="shared" ref="P31:P33" si="43">SUM(K31:O31)</f>
        <v>362</v>
      </c>
      <c r="Q31" s="28" t="str">
        <f t="shared" ref="Q31:Q33" si="44">REPT("0",2-LEN(RIGHT(DEC2HEX(P31), 2)))&amp;RIGHT(DEC2HEX(P31), 2)</f>
        <v>6A</v>
      </c>
      <c r="S31" s="64" t="s">
        <v>203</v>
      </c>
    </row>
    <row r="32" spans="2:19" s="2" customFormat="1" ht="15.75" customHeight="1">
      <c r="B32" s="132" t="s">
        <v>125</v>
      </c>
      <c r="C32" s="10" t="str">
        <f t="shared" si="0"/>
        <v>FF01A01600641B</v>
      </c>
      <c r="D32" s="5" t="s">
        <v>24</v>
      </c>
      <c r="E32" s="5" t="s">
        <v>23</v>
      </c>
      <c r="F32" s="5" t="s">
        <v>127</v>
      </c>
      <c r="G32" s="5" t="s">
        <v>16</v>
      </c>
      <c r="H32" s="5" t="s">
        <v>128</v>
      </c>
      <c r="I32" s="3" t="str">
        <f t="shared" si="42"/>
        <v>1B</v>
      </c>
      <c r="J32" s="12" t="s">
        <v>9</v>
      </c>
      <c r="K32" s="13">
        <f t="shared" si="1"/>
        <v>1</v>
      </c>
      <c r="L32" s="13">
        <f t="shared" si="2"/>
        <v>160</v>
      </c>
      <c r="M32" s="13">
        <f t="shared" si="3"/>
        <v>22</v>
      </c>
      <c r="N32" s="13">
        <f t="shared" si="4"/>
        <v>0</v>
      </c>
      <c r="O32" s="13">
        <f t="shared" si="5"/>
        <v>100</v>
      </c>
      <c r="P32" s="13">
        <f t="shared" si="43"/>
        <v>283</v>
      </c>
      <c r="Q32" s="28" t="str">
        <f t="shared" si="44"/>
        <v>1B</v>
      </c>
      <c r="S32" s="64" t="s">
        <v>2364</v>
      </c>
    </row>
    <row r="33" spans="2:19" s="2" customFormat="1" ht="15.75" customHeight="1">
      <c r="B33" s="132" t="s">
        <v>2363</v>
      </c>
      <c r="C33" s="10" t="str">
        <f t="shared" si="0"/>
        <v>FF01A01601F4AC</v>
      </c>
      <c r="D33" s="5" t="s">
        <v>24</v>
      </c>
      <c r="E33" s="5" t="s">
        <v>23</v>
      </c>
      <c r="F33" s="5" t="s">
        <v>127</v>
      </c>
      <c r="G33" s="5" t="s">
        <v>24</v>
      </c>
      <c r="H33" s="129" t="s">
        <v>1714</v>
      </c>
      <c r="I33" s="3" t="str">
        <f t="shared" si="42"/>
        <v>AC</v>
      </c>
      <c r="J33" s="12" t="s">
        <v>9</v>
      </c>
      <c r="K33" s="13">
        <f t="shared" si="1"/>
        <v>1</v>
      </c>
      <c r="L33" s="13">
        <f t="shared" si="2"/>
        <v>160</v>
      </c>
      <c r="M33" s="13">
        <f t="shared" si="3"/>
        <v>22</v>
      </c>
      <c r="N33" s="13">
        <f t="shared" si="4"/>
        <v>1</v>
      </c>
      <c r="O33" s="13">
        <f t="shared" si="5"/>
        <v>244</v>
      </c>
      <c r="P33" s="13">
        <f t="shared" si="43"/>
        <v>428</v>
      </c>
      <c r="Q33" s="28" t="str">
        <f t="shared" si="44"/>
        <v>AC</v>
      </c>
      <c r="S33" s="64" t="s">
        <v>204</v>
      </c>
    </row>
    <row r="34" spans="2:19" s="2" customFormat="1" ht="15.75" customHeight="1">
      <c r="B34" s="132" t="s">
        <v>2361</v>
      </c>
      <c r="C34" s="10" t="str">
        <f t="shared" ref="C34" si="45">"FF01"&amp;E34&amp;""&amp;F34&amp;G34&amp;H34&amp;I34</f>
        <v>FF01A01603843E</v>
      </c>
      <c r="D34" s="5" t="s">
        <v>24</v>
      </c>
      <c r="E34" s="5" t="s">
        <v>23</v>
      </c>
      <c r="F34" s="5" t="s">
        <v>127</v>
      </c>
      <c r="G34" s="5" t="s">
        <v>91</v>
      </c>
      <c r="H34" s="5" t="s">
        <v>2362</v>
      </c>
      <c r="I34" s="3" t="str">
        <f t="shared" ref="I34" si="46">Q34</f>
        <v>3E</v>
      </c>
      <c r="J34" s="12" t="s">
        <v>9</v>
      </c>
      <c r="K34" s="13">
        <f t="shared" ref="K34" si="47">HEX2DEC(D34)</f>
        <v>1</v>
      </c>
      <c r="L34" s="13">
        <f t="shared" ref="L34" si="48">HEX2DEC(E34)</f>
        <v>160</v>
      </c>
      <c r="M34" s="13">
        <f t="shared" ref="M34" si="49">HEX2DEC(F34)</f>
        <v>22</v>
      </c>
      <c r="N34" s="13">
        <f t="shared" ref="N34" si="50">HEX2DEC(G34)</f>
        <v>3</v>
      </c>
      <c r="O34" s="13">
        <f t="shared" ref="O34" si="51">HEX2DEC(H34)</f>
        <v>132</v>
      </c>
      <c r="P34" s="13">
        <f t="shared" ref="P34" si="52">SUM(K34:O34)</f>
        <v>318</v>
      </c>
      <c r="Q34" s="28" t="str">
        <f t="shared" ref="Q34" si="53">REPT("0",2-LEN(RIGHT(DEC2HEX(P34), 2)))&amp;RIGHT(DEC2HEX(P34), 2)</f>
        <v>3E</v>
      </c>
      <c r="S34" s="64" t="s">
        <v>204</v>
      </c>
    </row>
    <row r="35" spans="2:19" s="2" customFormat="1" ht="16.5" customHeight="1">
      <c r="B35" s="132" t="s">
        <v>1237</v>
      </c>
      <c r="C35" s="10" t="str">
        <f t="shared" si="0"/>
        <v>FF01A01603E8A2</v>
      </c>
      <c r="D35" s="5" t="s">
        <v>24</v>
      </c>
      <c r="E35" s="5" t="s">
        <v>23</v>
      </c>
      <c r="F35" s="5" t="s">
        <v>127</v>
      </c>
      <c r="G35" s="5" t="s">
        <v>91</v>
      </c>
      <c r="H35" s="5" t="s">
        <v>1238</v>
      </c>
      <c r="I35" s="3" t="str">
        <f t="shared" ref="I35:I39" si="54">Q35</f>
        <v>A2</v>
      </c>
      <c r="J35" s="12" t="s">
        <v>9</v>
      </c>
      <c r="K35" s="13">
        <f t="shared" si="1"/>
        <v>1</v>
      </c>
      <c r="L35" s="13">
        <f t="shared" si="2"/>
        <v>160</v>
      </c>
      <c r="M35" s="13">
        <f t="shared" si="3"/>
        <v>22</v>
      </c>
      <c r="N35" s="13">
        <f t="shared" si="4"/>
        <v>3</v>
      </c>
      <c r="O35" s="13">
        <f t="shared" si="5"/>
        <v>232</v>
      </c>
      <c r="P35" s="13">
        <f t="shared" ref="P35:P39" si="55">SUM(K35:O35)</f>
        <v>418</v>
      </c>
      <c r="Q35" s="28" t="str">
        <f t="shared" ref="Q35:Q39" si="56">REPT("0",2-LEN(RIGHT(DEC2HEX(P35), 2)))&amp;RIGHT(DEC2HEX(P35), 2)</f>
        <v>A2</v>
      </c>
      <c r="S35" s="64" t="s">
        <v>1978</v>
      </c>
    </row>
    <row r="36" spans="2:19" s="2" customFormat="1" ht="16.5" customHeight="1">
      <c r="B36" s="132" t="s">
        <v>1464</v>
      </c>
      <c r="C36" s="10" t="str">
        <f t="shared" si="0"/>
        <v>FF01A0180000B9</v>
      </c>
      <c r="D36" s="5" t="s">
        <v>24</v>
      </c>
      <c r="E36" s="5" t="s">
        <v>23</v>
      </c>
      <c r="F36" s="5" t="s">
        <v>1252</v>
      </c>
      <c r="G36" s="5" t="s">
        <v>16</v>
      </c>
      <c r="H36" s="5" t="s">
        <v>16</v>
      </c>
      <c r="I36" s="3" t="str">
        <f>Q36</f>
        <v>B9</v>
      </c>
      <c r="J36" s="12" t="s">
        <v>9</v>
      </c>
      <c r="K36" s="13">
        <f t="shared" si="1"/>
        <v>1</v>
      </c>
      <c r="L36" s="13">
        <f t="shared" si="2"/>
        <v>160</v>
      </c>
      <c r="M36" s="13">
        <f t="shared" si="3"/>
        <v>24</v>
      </c>
      <c r="N36" s="13">
        <f t="shared" si="4"/>
        <v>0</v>
      </c>
      <c r="O36" s="13">
        <f t="shared" si="5"/>
        <v>0</v>
      </c>
      <c r="P36" s="13">
        <f>SUM(K36:O36)</f>
        <v>185</v>
      </c>
      <c r="Q36" s="28" t="str">
        <f t="shared" si="56"/>
        <v>B9</v>
      </c>
      <c r="S36" s="64" t="s">
        <v>1979</v>
      </c>
    </row>
    <row r="37" spans="2:19" s="2" customFormat="1" ht="16.5" customHeight="1">
      <c r="B37" s="132" t="s">
        <v>1465</v>
      </c>
      <c r="C37" s="10" t="str">
        <f t="shared" ref="C37" si="57">"FF01"&amp;E37&amp;""&amp;F37&amp;G37&amp;H37&amp;I37</f>
        <v>FF01A0180001BA</v>
      </c>
      <c r="D37" s="5" t="s">
        <v>24</v>
      </c>
      <c r="E37" s="5" t="s">
        <v>23</v>
      </c>
      <c r="F37" s="5" t="s">
        <v>1252</v>
      </c>
      <c r="G37" s="5" t="s">
        <v>16</v>
      </c>
      <c r="H37" s="5" t="s">
        <v>24</v>
      </c>
      <c r="I37" s="3" t="str">
        <f>Q37</f>
        <v>BA</v>
      </c>
      <c r="J37" s="12" t="s">
        <v>9</v>
      </c>
      <c r="K37" s="13">
        <f t="shared" ref="K37" si="58">HEX2DEC(D37)</f>
        <v>1</v>
      </c>
      <c r="L37" s="13">
        <f t="shared" ref="L37" si="59">HEX2DEC(E37)</f>
        <v>160</v>
      </c>
      <c r="M37" s="13">
        <f t="shared" ref="M37" si="60">HEX2DEC(F37)</f>
        <v>24</v>
      </c>
      <c r="N37" s="13">
        <f t="shared" ref="N37" si="61">HEX2DEC(G37)</f>
        <v>0</v>
      </c>
      <c r="O37" s="13">
        <f t="shared" ref="O37" si="62">HEX2DEC(H37)</f>
        <v>1</v>
      </c>
      <c r="P37" s="13">
        <f>SUM(K37:O37)</f>
        <v>186</v>
      </c>
      <c r="Q37" s="28" t="str">
        <f t="shared" ref="Q37" si="63">REPT("0",2-LEN(RIGHT(DEC2HEX(P37), 2)))&amp;RIGHT(DEC2HEX(P37), 2)</f>
        <v>BA</v>
      </c>
      <c r="S37" s="64" t="s">
        <v>1980</v>
      </c>
    </row>
    <row r="38" spans="2:19" s="2" customFormat="1" ht="16.5" customHeight="1">
      <c r="B38" s="132" t="s">
        <v>1251</v>
      </c>
      <c r="C38" s="10" t="str">
        <f t="shared" ref="C38" si="64">"FF01"&amp;E38&amp;""&amp;F38&amp;G38&amp;H38&amp;I38</f>
        <v>FF01A0190000BA</v>
      </c>
      <c r="D38" s="5" t="s">
        <v>24</v>
      </c>
      <c r="E38" s="5" t="s">
        <v>23</v>
      </c>
      <c r="F38" s="5" t="s">
        <v>1466</v>
      </c>
      <c r="G38" s="5" t="s">
        <v>16</v>
      </c>
      <c r="H38" s="5" t="s">
        <v>16</v>
      </c>
      <c r="I38" s="3" t="str">
        <f>Q38</f>
        <v>BA</v>
      </c>
      <c r="J38" s="12" t="s">
        <v>9</v>
      </c>
      <c r="K38" s="13">
        <f t="shared" ref="K38" si="65">HEX2DEC(D38)</f>
        <v>1</v>
      </c>
      <c r="L38" s="13">
        <f t="shared" ref="L38" si="66">HEX2DEC(E38)</f>
        <v>160</v>
      </c>
      <c r="M38" s="13">
        <f t="shared" ref="M38" si="67">HEX2DEC(F38)</f>
        <v>25</v>
      </c>
      <c r="N38" s="13">
        <f t="shared" ref="N38" si="68">HEX2DEC(G38)</f>
        <v>0</v>
      </c>
      <c r="O38" s="13">
        <f t="shared" ref="O38" si="69">HEX2DEC(H38)</f>
        <v>0</v>
      </c>
      <c r="P38" s="13">
        <f>SUM(K38:O38)</f>
        <v>186</v>
      </c>
      <c r="Q38" s="28" t="str">
        <f t="shared" ref="Q38" si="70">REPT("0",2-LEN(RIGHT(DEC2HEX(P38), 2)))&amp;RIGHT(DEC2HEX(P38), 2)</f>
        <v>BA</v>
      </c>
      <c r="S38" s="64" t="s">
        <v>2358</v>
      </c>
    </row>
    <row r="39" spans="2:19" s="2" customFormat="1" ht="16.5" customHeight="1">
      <c r="B39" s="132" t="s">
        <v>129</v>
      </c>
      <c r="C39" s="10" t="str">
        <f t="shared" si="0"/>
        <v>FF01A0170000B8</v>
      </c>
      <c r="D39" s="5" t="s">
        <v>24</v>
      </c>
      <c r="E39" s="5" t="s">
        <v>23</v>
      </c>
      <c r="F39" s="5" t="s">
        <v>131</v>
      </c>
      <c r="G39" s="5" t="s">
        <v>16</v>
      </c>
      <c r="H39" s="5" t="s">
        <v>16</v>
      </c>
      <c r="I39" s="3" t="str">
        <f t="shared" si="54"/>
        <v>B8</v>
      </c>
      <c r="J39" s="12" t="s">
        <v>9</v>
      </c>
      <c r="K39" s="13">
        <f t="shared" si="1"/>
        <v>1</v>
      </c>
      <c r="L39" s="13">
        <f t="shared" si="2"/>
        <v>160</v>
      </c>
      <c r="M39" s="13">
        <f t="shared" si="3"/>
        <v>23</v>
      </c>
      <c r="N39" s="13">
        <f t="shared" si="4"/>
        <v>0</v>
      </c>
      <c r="O39" s="13">
        <f t="shared" si="5"/>
        <v>0</v>
      </c>
      <c r="P39" s="13">
        <f t="shared" si="55"/>
        <v>184</v>
      </c>
      <c r="Q39" s="28" t="str">
        <f t="shared" si="56"/>
        <v>B8</v>
      </c>
      <c r="S39" s="64" t="s">
        <v>206</v>
      </c>
    </row>
    <row r="40" spans="2:19" s="2" customFormat="1" ht="16.5" customHeight="1" thickBot="1">
      <c r="B40" s="133" t="s">
        <v>130</v>
      </c>
      <c r="C40" s="17" t="str">
        <f t="shared" si="0"/>
        <v>FF01A0170001B9</v>
      </c>
      <c r="D40" s="16" t="s">
        <v>24</v>
      </c>
      <c r="E40" s="16" t="s">
        <v>23</v>
      </c>
      <c r="F40" s="16" t="s">
        <v>131</v>
      </c>
      <c r="G40" s="16" t="s">
        <v>16</v>
      </c>
      <c r="H40" s="16" t="s">
        <v>24</v>
      </c>
      <c r="I40" s="14" t="str">
        <f t="shared" si="27"/>
        <v>B9</v>
      </c>
      <c r="J40" s="18" t="s">
        <v>9</v>
      </c>
      <c r="K40" s="19">
        <f t="shared" si="1"/>
        <v>1</v>
      </c>
      <c r="L40" s="19">
        <f t="shared" si="2"/>
        <v>160</v>
      </c>
      <c r="M40" s="19">
        <f t="shared" si="3"/>
        <v>23</v>
      </c>
      <c r="N40" s="19">
        <f t="shared" si="4"/>
        <v>0</v>
      </c>
      <c r="O40" s="19">
        <f t="shared" si="5"/>
        <v>1</v>
      </c>
      <c r="P40" s="19">
        <f t="shared" si="28"/>
        <v>185</v>
      </c>
      <c r="Q40" s="59" t="str">
        <f t="shared" si="29"/>
        <v>B9</v>
      </c>
      <c r="S40" s="64" t="s">
        <v>207</v>
      </c>
    </row>
    <row r="41" spans="2:19" s="2" customFormat="1" ht="16.5" customHeight="1">
      <c r="B41" s="134" t="s">
        <v>134</v>
      </c>
      <c r="C41" s="101" t="str">
        <f t="shared" si="0"/>
        <v>FF01A1000000A2</v>
      </c>
      <c r="D41" s="61" t="s">
        <v>16</v>
      </c>
      <c r="E41" s="61" t="s">
        <v>80</v>
      </c>
      <c r="F41" s="61" t="s">
        <v>16</v>
      </c>
      <c r="G41" s="61" t="s">
        <v>16</v>
      </c>
      <c r="H41" s="61" t="s">
        <v>16</v>
      </c>
      <c r="I41" s="24" t="str">
        <f>Q41</f>
        <v>A2</v>
      </c>
      <c r="J41" s="24" t="s">
        <v>9</v>
      </c>
      <c r="K41" s="25">
        <v>1</v>
      </c>
      <c r="L41" s="25">
        <f t="shared" si="2"/>
        <v>161</v>
      </c>
      <c r="M41" s="25">
        <f t="shared" si="3"/>
        <v>0</v>
      </c>
      <c r="N41" s="25">
        <f t="shared" si="4"/>
        <v>0</v>
      </c>
      <c r="O41" s="25">
        <f t="shared" si="5"/>
        <v>0</v>
      </c>
      <c r="P41" s="25">
        <f>SUM(K41:O41)</f>
        <v>162</v>
      </c>
      <c r="Q41" s="26" t="str">
        <f t="shared" si="29"/>
        <v>A2</v>
      </c>
      <c r="S41" s="64" t="s">
        <v>208</v>
      </c>
    </row>
    <row r="42" spans="2:19" s="2" customFormat="1" ht="16.5" customHeight="1">
      <c r="B42" s="63" t="s">
        <v>81</v>
      </c>
      <c r="C42" s="102" t="str">
        <f t="shared" si="0"/>
        <v>FF01A0010000A2</v>
      </c>
      <c r="D42" s="60" t="s">
        <v>24</v>
      </c>
      <c r="E42" s="60" t="s">
        <v>23</v>
      </c>
      <c r="F42" s="60" t="s">
        <v>24</v>
      </c>
      <c r="G42" s="60" t="s">
        <v>16</v>
      </c>
      <c r="H42" s="60" t="s">
        <v>16</v>
      </c>
      <c r="I42" s="12" t="str">
        <f t="shared" si="20"/>
        <v>A2</v>
      </c>
      <c r="J42" s="12" t="s">
        <v>9</v>
      </c>
      <c r="K42" s="13">
        <f t="shared" si="1"/>
        <v>1</v>
      </c>
      <c r="L42" s="13">
        <f t="shared" si="2"/>
        <v>160</v>
      </c>
      <c r="M42" s="13">
        <f t="shared" si="3"/>
        <v>1</v>
      </c>
      <c r="N42" s="13">
        <f t="shared" si="4"/>
        <v>0</v>
      </c>
      <c r="O42" s="13">
        <f t="shared" si="5"/>
        <v>0</v>
      </c>
      <c r="P42" s="13">
        <f t="shared" ref="P42" si="71">SUM(K42:O42)</f>
        <v>162</v>
      </c>
      <c r="Q42" s="28" t="str">
        <f t="shared" ref="Q42" si="72">REPT("0",2-LEN(RIGHT(DEC2HEX(P42), 2)))&amp;RIGHT(DEC2HEX(P42), 2)</f>
        <v>A2</v>
      </c>
      <c r="S42" s="64" t="s">
        <v>209</v>
      </c>
    </row>
    <row r="43" spans="2:19" s="2" customFormat="1" ht="16.5" customHeight="1">
      <c r="B43" s="63" t="s">
        <v>82</v>
      </c>
      <c r="C43" s="102" t="str">
        <f t="shared" si="0"/>
        <v>FF01A0010001A3</v>
      </c>
      <c r="D43" s="60" t="s">
        <v>24</v>
      </c>
      <c r="E43" s="60" t="s">
        <v>23</v>
      </c>
      <c r="F43" s="60" t="s">
        <v>24</v>
      </c>
      <c r="G43" s="60" t="s">
        <v>16</v>
      </c>
      <c r="H43" s="60" t="s">
        <v>24</v>
      </c>
      <c r="I43" s="12" t="str">
        <f t="shared" si="20"/>
        <v>A3</v>
      </c>
      <c r="J43" s="12" t="s">
        <v>9</v>
      </c>
      <c r="K43" s="13">
        <f t="shared" si="1"/>
        <v>1</v>
      </c>
      <c r="L43" s="13">
        <f t="shared" si="2"/>
        <v>160</v>
      </c>
      <c r="M43" s="13">
        <f t="shared" si="3"/>
        <v>1</v>
      </c>
      <c r="N43" s="13">
        <f t="shared" si="4"/>
        <v>0</v>
      </c>
      <c r="O43" s="13">
        <f t="shared" si="5"/>
        <v>1</v>
      </c>
      <c r="P43" s="13">
        <f t="shared" ref="P43" si="73">SUM(K43:O43)</f>
        <v>163</v>
      </c>
      <c r="Q43" s="28" t="str">
        <f t="shared" ref="Q43" si="74">REPT("0",2-LEN(RIGHT(DEC2HEX(P43), 2)))&amp;RIGHT(DEC2HEX(P43), 2)</f>
        <v>A3</v>
      </c>
      <c r="S43" s="64" t="s">
        <v>210</v>
      </c>
    </row>
    <row r="44" spans="2:19" s="2" customFormat="1" ht="16.5" customHeight="1">
      <c r="B44" s="63" t="s">
        <v>1244</v>
      </c>
      <c r="C44" s="102" t="str">
        <f t="shared" ref="C44:C80" si="75">"FF01"&amp;E44&amp;""&amp;F44&amp;G44&amp;H44&amp;I44</f>
        <v>FF01A0020001A4</v>
      </c>
      <c r="D44" s="60" t="s">
        <v>24</v>
      </c>
      <c r="E44" s="60" t="s">
        <v>23</v>
      </c>
      <c r="F44" s="60" t="s">
        <v>17</v>
      </c>
      <c r="G44" s="60" t="s">
        <v>16</v>
      </c>
      <c r="H44" s="60" t="s">
        <v>24</v>
      </c>
      <c r="I44" s="12" t="str">
        <f t="shared" si="20"/>
        <v>A4</v>
      </c>
      <c r="J44" s="12" t="s">
        <v>9</v>
      </c>
      <c r="K44" s="13">
        <f t="shared" ref="K44:K80" si="76">HEX2DEC(D44)</f>
        <v>1</v>
      </c>
      <c r="L44" s="13">
        <f t="shared" ref="L44:L80" si="77">HEX2DEC(E44)</f>
        <v>160</v>
      </c>
      <c r="M44" s="13">
        <f t="shared" ref="M44:M80" si="78">HEX2DEC(F44)</f>
        <v>2</v>
      </c>
      <c r="N44" s="13">
        <f t="shared" ref="N44:N80" si="79">HEX2DEC(G44)</f>
        <v>0</v>
      </c>
      <c r="O44" s="13">
        <f t="shared" ref="O44:O80" si="80">HEX2DEC(H44)</f>
        <v>1</v>
      </c>
      <c r="P44" s="13">
        <f t="shared" ref="P44:P47" si="81">SUM(K44:O44)</f>
        <v>164</v>
      </c>
      <c r="Q44" s="28" t="str">
        <f t="shared" ref="Q44:Q47" si="82">REPT("0",2-LEN(RIGHT(DEC2HEX(P44), 2)))&amp;RIGHT(DEC2HEX(P44), 2)</f>
        <v>A4</v>
      </c>
      <c r="S44" s="64" t="s">
        <v>212</v>
      </c>
    </row>
    <row r="45" spans="2:19" s="2" customFormat="1" ht="16.5" customHeight="1">
      <c r="B45" s="63" t="s">
        <v>1245</v>
      </c>
      <c r="C45" s="102" t="str">
        <f t="shared" ref="C45" si="83">"FF01"&amp;E45&amp;""&amp;F45&amp;G45&amp;H45&amp;I45</f>
        <v>FF01A00200C86B</v>
      </c>
      <c r="D45" s="60" t="s">
        <v>24</v>
      </c>
      <c r="E45" s="60" t="s">
        <v>23</v>
      </c>
      <c r="F45" s="60" t="s">
        <v>17</v>
      </c>
      <c r="G45" s="60" t="s">
        <v>16</v>
      </c>
      <c r="H45" s="60" t="s">
        <v>1246</v>
      </c>
      <c r="I45" s="12" t="str">
        <f t="shared" ref="I45" si="84">Q45</f>
        <v>6B</v>
      </c>
      <c r="J45" s="12" t="s">
        <v>9</v>
      </c>
      <c r="K45" s="13">
        <f t="shared" ref="K45" si="85">HEX2DEC(D45)</f>
        <v>1</v>
      </c>
      <c r="L45" s="13">
        <f t="shared" ref="L45" si="86">HEX2DEC(E45)</f>
        <v>160</v>
      </c>
      <c r="M45" s="13">
        <f t="shared" ref="M45" si="87">HEX2DEC(F45)</f>
        <v>2</v>
      </c>
      <c r="N45" s="13">
        <f t="shared" ref="N45" si="88">HEX2DEC(G45)</f>
        <v>0</v>
      </c>
      <c r="O45" s="13">
        <f t="shared" ref="O45" si="89">HEX2DEC(H45)</f>
        <v>200</v>
      </c>
      <c r="P45" s="13">
        <f t="shared" ref="P45" si="90">SUM(K45:O45)</f>
        <v>363</v>
      </c>
      <c r="Q45" s="28" t="str">
        <f t="shared" ref="Q45" si="91">REPT("0",2-LEN(RIGHT(DEC2HEX(P45), 2)))&amp;RIGHT(DEC2HEX(P45), 2)</f>
        <v>6B</v>
      </c>
      <c r="S45" s="64" t="s">
        <v>1981</v>
      </c>
    </row>
    <row r="46" spans="2:19" s="2" customFormat="1" ht="15.75" customHeight="1">
      <c r="B46" s="63" t="s">
        <v>85</v>
      </c>
      <c r="C46" s="102" t="str">
        <f t="shared" si="75"/>
        <v>FF01A0030000A4</v>
      </c>
      <c r="D46" s="60" t="s">
        <v>24</v>
      </c>
      <c r="E46" s="60" t="s">
        <v>23</v>
      </c>
      <c r="F46" s="60" t="s">
        <v>91</v>
      </c>
      <c r="G46" s="60" t="s">
        <v>16</v>
      </c>
      <c r="H46" s="60" t="s">
        <v>16</v>
      </c>
      <c r="I46" s="12" t="str">
        <f t="shared" si="20"/>
        <v>A4</v>
      </c>
      <c r="J46" s="12" t="s">
        <v>9</v>
      </c>
      <c r="K46" s="13">
        <f t="shared" si="76"/>
        <v>1</v>
      </c>
      <c r="L46" s="13">
        <f t="shared" si="77"/>
        <v>160</v>
      </c>
      <c r="M46" s="13">
        <f t="shared" si="78"/>
        <v>3</v>
      </c>
      <c r="N46" s="13">
        <f t="shared" si="79"/>
        <v>0</v>
      </c>
      <c r="O46" s="13">
        <f t="shared" si="80"/>
        <v>0</v>
      </c>
      <c r="P46" s="13">
        <f t="shared" si="81"/>
        <v>164</v>
      </c>
      <c r="Q46" s="28" t="str">
        <f t="shared" si="82"/>
        <v>A4</v>
      </c>
      <c r="S46" s="64" t="s">
        <v>213</v>
      </c>
    </row>
    <row r="47" spans="2:19" s="2" customFormat="1" ht="15.75" customHeight="1">
      <c r="B47" s="63" t="s">
        <v>86</v>
      </c>
      <c r="C47" s="102" t="str">
        <f t="shared" si="75"/>
        <v>FF01A0030001A5</v>
      </c>
      <c r="D47" s="60" t="s">
        <v>24</v>
      </c>
      <c r="E47" s="60" t="s">
        <v>23</v>
      </c>
      <c r="F47" s="60" t="s">
        <v>91</v>
      </c>
      <c r="G47" s="60" t="s">
        <v>16</v>
      </c>
      <c r="H47" s="60" t="s">
        <v>24</v>
      </c>
      <c r="I47" s="12" t="str">
        <f t="shared" si="20"/>
        <v>A5</v>
      </c>
      <c r="J47" s="12" t="s">
        <v>9</v>
      </c>
      <c r="K47" s="13">
        <f t="shared" si="76"/>
        <v>1</v>
      </c>
      <c r="L47" s="13">
        <f t="shared" si="77"/>
        <v>160</v>
      </c>
      <c r="M47" s="13">
        <f t="shared" si="78"/>
        <v>3</v>
      </c>
      <c r="N47" s="13">
        <f t="shared" si="79"/>
        <v>0</v>
      </c>
      <c r="O47" s="13">
        <f t="shared" si="80"/>
        <v>1</v>
      </c>
      <c r="P47" s="13">
        <f t="shared" si="81"/>
        <v>165</v>
      </c>
      <c r="Q47" s="28" t="str">
        <f t="shared" si="82"/>
        <v>A5</v>
      </c>
      <c r="S47" s="64" t="s">
        <v>214</v>
      </c>
    </row>
    <row r="48" spans="2:19" s="2" customFormat="1" ht="15.75" customHeight="1">
      <c r="B48" s="63" t="s">
        <v>87</v>
      </c>
      <c r="C48" s="102" t="str">
        <f t="shared" si="75"/>
        <v>FF01A0030002A6</v>
      </c>
      <c r="D48" s="60" t="s">
        <v>24</v>
      </c>
      <c r="E48" s="60" t="s">
        <v>23</v>
      </c>
      <c r="F48" s="60" t="s">
        <v>91</v>
      </c>
      <c r="G48" s="60" t="s">
        <v>16</v>
      </c>
      <c r="H48" s="60" t="s">
        <v>17</v>
      </c>
      <c r="I48" s="12" t="str">
        <f t="shared" si="20"/>
        <v>A6</v>
      </c>
      <c r="J48" s="12" t="s">
        <v>9</v>
      </c>
      <c r="K48" s="13">
        <f t="shared" si="76"/>
        <v>1</v>
      </c>
      <c r="L48" s="13">
        <f t="shared" si="77"/>
        <v>160</v>
      </c>
      <c r="M48" s="13">
        <f t="shared" si="78"/>
        <v>3</v>
      </c>
      <c r="N48" s="13">
        <f t="shared" si="79"/>
        <v>0</v>
      </c>
      <c r="O48" s="13">
        <f t="shared" si="80"/>
        <v>2</v>
      </c>
      <c r="P48" s="13">
        <f t="shared" ref="P48:P50" si="92">SUM(K48:O48)</f>
        <v>166</v>
      </c>
      <c r="Q48" s="28" t="str">
        <f t="shared" ref="Q48:Q50" si="93">REPT("0",2-LEN(RIGHT(DEC2HEX(P48), 2)))&amp;RIGHT(DEC2HEX(P48), 2)</f>
        <v>A6</v>
      </c>
      <c r="S48" s="64" t="s">
        <v>215</v>
      </c>
    </row>
    <row r="49" spans="2:19" s="2" customFormat="1" ht="15.75" customHeight="1">
      <c r="B49" s="63" t="s">
        <v>88</v>
      </c>
      <c r="C49" s="102" t="str">
        <f t="shared" si="75"/>
        <v>FF01A0030003A7</v>
      </c>
      <c r="D49" s="60" t="s">
        <v>24</v>
      </c>
      <c r="E49" s="60" t="s">
        <v>23</v>
      </c>
      <c r="F49" s="60" t="s">
        <v>91</v>
      </c>
      <c r="G49" s="60" t="s">
        <v>16</v>
      </c>
      <c r="H49" s="60" t="s">
        <v>91</v>
      </c>
      <c r="I49" s="12" t="str">
        <f t="shared" si="20"/>
        <v>A7</v>
      </c>
      <c r="J49" s="12" t="s">
        <v>9</v>
      </c>
      <c r="K49" s="13">
        <f t="shared" si="76"/>
        <v>1</v>
      </c>
      <c r="L49" s="13">
        <f t="shared" si="77"/>
        <v>160</v>
      </c>
      <c r="M49" s="13">
        <f t="shared" si="78"/>
        <v>3</v>
      </c>
      <c r="N49" s="13">
        <f t="shared" si="79"/>
        <v>0</v>
      </c>
      <c r="O49" s="13">
        <f t="shared" si="80"/>
        <v>3</v>
      </c>
      <c r="P49" s="13">
        <f t="shared" si="92"/>
        <v>167</v>
      </c>
      <c r="Q49" s="28" t="str">
        <f t="shared" si="93"/>
        <v>A7</v>
      </c>
      <c r="S49" s="64" t="s">
        <v>216</v>
      </c>
    </row>
    <row r="50" spans="2:19" s="2" customFormat="1" ht="15.75" customHeight="1">
      <c r="B50" s="63" t="s">
        <v>89</v>
      </c>
      <c r="C50" s="102" t="str">
        <f t="shared" si="75"/>
        <v>FF01A0030004A8</v>
      </c>
      <c r="D50" s="60" t="s">
        <v>24</v>
      </c>
      <c r="E50" s="60" t="s">
        <v>23</v>
      </c>
      <c r="F50" s="60" t="s">
        <v>91</v>
      </c>
      <c r="G50" s="60" t="s">
        <v>16</v>
      </c>
      <c r="H50" s="60" t="s">
        <v>67</v>
      </c>
      <c r="I50" s="12" t="str">
        <f t="shared" si="20"/>
        <v>A8</v>
      </c>
      <c r="J50" s="12" t="s">
        <v>9</v>
      </c>
      <c r="K50" s="13">
        <f t="shared" si="76"/>
        <v>1</v>
      </c>
      <c r="L50" s="13">
        <f t="shared" si="77"/>
        <v>160</v>
      </c>
      <c r="M50" s="13">
        <f t="shared" si="78"/>
        <v>3</v>
      </c>
      <c r="N50" s="13">
        <f t="shared" si="79"/>
        <v>0</v>
      </c>
      <c r="O50" s="13">
        <f t="shared" si="80"/>
        <v>4</v>
      </c>
      <c r="P50" s="13">
        <f t="shared" si="92"/>
        <v>168</v>
      </c>
      <c r="Q50" s="28" t="str">
        <f t="shared" si="93"/>
        <v>A8</v>
      </c>
      <c r="S50" s="64" t="s">
        <v>217</v>
      </c>
    </row>
    <row r="51" spans="2:19" s="2" customFormat="1" ht="15.75" customHeight="1">
      <c r="B51" s="63" t="s">
        <v>90</v>
      </c>
      <c r="C51" s="102" t="str">
        <f t="shared" si="75"/>
        <v>FF01A0030005A9</v>
      </c>
      <c r="D51" s="60" t="s">
        <v>24</v>
      </c>
      <c r="E51" s="60" t="s">
        <v>23</v>
      </c>
      <c r="F51" s="60" t="s">
        <v>91</v>
      </c>
      <c r="G51" s="60" t="s">
        <v>16</v>
      </c>
      <c r="H51" s="60" t="s">
        <v>92</v>
      </c>
      <c r="I51" s="12" t="str">
        <f t="shared" si="20"/>
        <v>A9</v>
      </c>
      <c r="J51" s="12" t="s">
        <v>9</v>
      </c>
      <c r="K51" s="13">
        <f t="shared" si="76"/>
        <v>1</v>
      </c>
      <c r="L51" s="13">
        <f t="shared" si="77"/>
        <v>160</v>
      </c>
      <c r="M51" s="13">
        <f t="shared" si="78"/>
        <v>3</v>
      </c>
      <c r="N51" s="13">
        <f t="shared" si="79"/>
        <v>0</v>
      </c>
      <c r="O51" s="13">
        <f t="shared" si="80"/>
        <v>5</v>
      </c>
      <c r="P51" s="13">
        <f t="shared" ref="P51:P61" si="94">SUM(K51:O51)</f>
        <v>169</v>
      </c>
      <c r="Q51" s="28" t="str">
        <f t="shared" ref="Q51:Q61" si="95">REPT("0",2-LEN(RIGHT(DEC2HEX(P51), 2)))&amp;RIGHT(DEC2HEX(P51), 2)</f>
        <v>A9</v>
      </c>
      <c r="S51" s="64" t="s">
        <v>218</v>
      </c>
    </row>
    <row r="52" spans="2:19" s="2" customFormat="1" ht="16.5" customHeight="1">
      <c r="B52" s="63" t="s">
        <v>93</v>
      </c>
      <c r="C52" s="102" t="str">
        <f t="shared" si="75"/>
        <v>FF01A0040000A5</v>
      </c>
      <c r="D52" s="60" t="s">
        <v>24</v>
      </c>
      <c r="E52" s="60" t="s">
        <v>23</v>
      </c>
      <c r="F52" s="60" t="s">
        <v>67</v>
      </c>
      <c r="G52" s="60" t="s">
        <v>16</v>
      </c>
      <c r="H52" s="60" t="s">
        <v>16</v>
      </c>
      <c r="I52" s="12" t="str">
        <f t="shared" si="20"/>
        <v>A5</v>
      </c>
      <c r="J52" s="12" t="s">
        <v>9</v>
      </c>
      <c r="K52" s="13">
        <f t="shared" si="76"/>
        <v>1</v>
      </c>
      <c r="L52" s="13">
        <f t="shared" si="77"/>
        <v>160</v>
      </c>
      <c r="M52" s="13">
        <f t="shared" si="78"/>
        <v>4</v>
      </c>
      <c r="N52" s="13">
        <f t="shared" si="79"/>
        <v>0</v>
      </c>
      <c r="O52" s="13">
        <f t="shared" si="80"/>
        <v>0</v>
      </c>
      <c r="P52" s="13">
        <f t="shared" si="94"/>
        <v>165</v>
      </c>
      <c r="Q52" s="28" t="str">
        <f t="shared" si="95"/>
        <v>A5</v>
      </c>
      <c r="S52" s="64" t="s">
        <v>219</v>
      </c>
    </row>
    <row r="53" spans="2:19" s="2" customFormat="1" ht="16.5" customHeight="1">
      <c r="B53" s="63" t="s">
        <v>94</v>
      </c>
      <c r="C53" s="102" t="str">
        <f t="shared" si="75"/>
        <v>FF01A0040001A6</v>
      </c>
      <c r="D53" s="60" t="s">
        <v>24</v>
      </c>
      <c r="E53" s="60" t="s">
        <v>23</v>
      </c>
      <c r="F53" s="60" t="s">
        <v>67</v>
      </c>
      <c r="G53" s="60" t="s">
        <v>16</v>
      </c>
      <c r="H53" s="60" t="s">
        <v>24</v>
      </c>
      <c r="I53" s="12" t="str">
        <f t="shared" si="20"/>
        <v>A6</v>
      </c>
      <c r="J53" s="12" t="s">
        <v>9</v>
      </c>
      <c r="K53" s="13">
        <f t="shared" si="76"/>
        <v>1</v>
      </c>
      <c r="L53" s="13">
        <f t="shared" si="77"/>
        <v>160</v>
      </c>
      <c r="M53" s="13">
        <f t="shared" si="78"/>
        <v>4</v>
      </c>
      <c r="N53" s="13">
        <f t="shared" si="79"/>
        <v>0</v>
      </c>
      <c r="O53" s="13">
        <f t="shared" si="80"/>
        <v>1</v>
      </c>
      <c r="P53" s="13">
        <f t="shared" si="94"/>
        <v>166</v>
      </c>
      <c r="Q53" s="28" t="str">
        <f t="shared" si="95"/>
        <v>A6</v>
      </c>
      <c r="S53" s="64" t="s">
        <v>220</v>
      </c>
    </row>
    <row r="54" spans="2:19" s="2" customFormat="1" ht="16.5" customHeight="1">
      <c r="B54" s="63" t="s">
        <v>95</v>
      </c>
      <c r="C54" s="102" t="str">
        <f t="shared" si="75"/>
        <v>FF01A0050000A6</v>
      </c>
      <c r="D54" s="60" t="s">
        <v>24</v>
      </c>
      <c r="E54" s="60" t="s">
        <v>23</v>
      </c>
      <c r="F54" s="60" t="s">
        <v>92</v>
      </c>
      <c r="G54" s="60" t="s">
        <v>16</v>
      </c>
      <c r="H54" s="60" t="s">
        <v>16</v>
      </c>
      <c r="I54" s="12" t="str">
        <f t="shared" si="20"/>
        <v>A6</v>
      </c>
      <c r="J54" s="12" t="s">
        <v>9</v>
      </c>
      <c r="K54" s="13">
        <f t="shared" si="76"/>
        <v>1</v>
      </c>
      <c r="L54" s="13">
        <f t="shared" si="77"/>
        <v>160</v>
      </c>
      <c r="M54" s="13">
        <f t="shared" si="78"/>
        <v>5</v>
      </c>
      <c r="N54" s="13">
        <f t="shared" si="79"/>
        <v>0</v>
      </c>
      <c r="O54" s="13">
        <f t="shared" si="80"/>
        <v>0</v>
      </c>
      <c r="P54" s="13">
        <f t="shared" si="94"/>
        <v>166</v>
      </c>
      <c r="Q54" s="28" t="str">
        <f t="shared" si="95"/>
        <v>A6</v>
      </c>
      <c r="S54" s="64" t="s">
        <v>221</v>
      </c>
    </row>
    <row r="55" spans="2:19" s="2" customFormat="1" ht="16.5" customHeight="1">
      <c r="B55" s="63" t="s">
        <v>96</v>
      </c>
      <c r="C55" s="102" t="str">
        <f t="shared" si="75"/>
        <v>FF01A0050001A7</v>
      </c>
      <c r="D55" s="60" t="s">
        <v>24</v>
      </c>
      <c r="E55" s="60" t="s">
        <v>23</v>
      </c>
      <c r="F55" s="60" t="s">
        <v>92</v>
      </c>
      <c r="G55" s="60" t="s">
        <v>16</v>
      </c>
      <c r="H55" s="60" t="s">
        <v>24</v>
      </c>
      <c r="I55" s="12" t="str">
        <f t="shared" si="20"/>
        <v>A7</v>
      </c>
      <c r="J55" s="12" t="s">
        <v>9</v>
      </c>
      <c r="K55" s="13">
        <f t="shared" si="76"/>
        <v>1</v>
      </c>
      <c r="L55" s="13">
        <f t="shared" si="77"/>
        <v>160</v>
      </c>
      <c r="M55" s="13">
        <f t="shared" si="78"/>
        <v>5</v>
      </c>
      <c r="N55" s="13">
        <f t="shared" si="79"/>
        <v>0</v>
      </c>
      <c r="O55" s="13">
        <f t="shared" si="80"/>
        <v>1</v>
      </c>
      <c r="P55" s="13">
        <f t="shared" si="94"/>
        <v>167</v>
      </c>
      <c r="Q55" s="28" t="str">
        <f t="shared" si="95"/>
        <v>A7</v>
      </c>
      <c r="S55" s="64" t="s">
        <v>222</v>
      </c>
    </row>
    <row r="56" spans="2:19" s="2" customFormat="1" ht="15.75" customHeight="1">
      <c r="B56" s="63" t="s">
        <v>97</v>
      </c>
      <c r="C56" s="102" t="str">
        <f t="shared" si="75"/>
        <v>FF01A0060000A7</v>
      </c>
      <c r="D56" s="60" t="s">
        <v>24</v>
      </c>
      <c r="E56" s="60" t="s">
        <v>23</v>
      </c>
      <c r="F56" s="60" t="s">
        <v>100</v>
      </c>
      <c r="G56" s="60" t="s">
        <v>16</v>
      </c>
      <c r="H56" s="60" t="s">
        <v>16</v>
      </c>
      <c r="I56" s="12" t="str">
        <f t="shared" si="20"/>
        <v>A7</v>
      </c>
      <c r="J56" s="12" t="s">
        <v>9</v>
      </c>
      <c r="K56" s="13">
        <f t="shared" si="76"/>
        <v>1</v>
      </c>
      <c r="L56" s="13">
        <f t="shared" si="77"/>
        <v>160</v>
      </c>
      <c r="M56" s="13">
        <f t="shared" si="78"/>
        <v>6</v>
      </c>
      <c r="N56" s="13">
        <f t="shared" si="79"/>
        <v>0</v>
      </c>
      <c r="O56" s="13">
        <f t="shared" si="80"/>
        <v>0</v>
      </c>
      <c r="P56" s="13">
        <f t="shared" si="94"/>
        <v>167</v>
      </c>
      <c r="Q56" s="28" t="str">
        <f t="shared" si="95"/>
        <v>A7</v>
      </c>
      <c r="S56" s="64" t="s">
        <v>223</v>
      </c>
    </row>
    <row r="57" spans="2:19" s="2" customFormat="1" ht="15.75" customHeight="1">
      <c r="B57" s="63" t="s">
        <v>98</v>
      </c>
      <c r="C57" s="102" t="str">
        <f t="shared" si="75"/>
        <v>FF01A0060001A8</v>
      </c>
      <c r="D57" s="60" t="s">
        <v>24</v>
      </c>
      <c r="E57" s="60" t="s">
        <v>23</v>
      </c>
      <c r="F57" s="60" t="s">
        <v>100</v>
      </c>
      <c r="G57" s="60" t="s">
        <v>16</v>
      </c>
      <c r="H57" s="60" t="s">
        <v>24</v>
      </c>
      <c r="I57" s="12" t="str">
        <f t="shared" si="20"/>
        <v>A8</v>
      </c>
      <c r="J57" s="12" t="s">
        <v>9</v>
      </c>
      <c r="K57" s="13">
        <f t="shared" si="76"/>
        <v>1</v>
      </c>
      <c r="L57" s="13">
        <f t="shared" si="77"/>
        <v>160</v>
      </c>
      <c r="M57" s="13">
        <f t="shared" si="78"/>
        <v>6</v>
      </c>
      <c r="N57" s="13">
        <f t="shared" si="79"/>
        <v>0</v>
      </c>
      <c r="O57" s="13">
        <f t="shared" si="80"/>
        <v>1</v>
      </c>
      <c r="P57" s="13">
        <f t="shared" si="94"/>
        <v>168</v>
      </c>
      <c r="Q57" s="28" t="str">
        <f t="shared" si="95"/>
        <v>A8</v>
      </c>
      <c r="S57" s="64" t="s">
        <v>224</v>
      </c>
    </row>
    <row r="58" spans="2:19" s="2" customFormat="1" ht="15.75" customHeight="1">
      <c r="B58" s="63" t="s">
        <v>99</v>
      </c>
      <c r="C58" s="102" t="str">
        <f t="shared" si="75"/>
        <v>FF01A0060002A9</v>
      </c>
      <c r="D58" s="60" t="s">
        <v>24</v>
      </c>
      <c r="E58" s="60" t="s">
        <v>23</v>
      </c>
      <c r="F58" s="60" t="s">
        <v>100</v>
      </c>
      <c r="G58" s="60" t="s">
        <v>16</v>
      </c>
      <c r="H58" s="60" t="s">
        <v>17</v>
      </c>
      <c r="I58" s="12" t="str">
        <f t="shared" si="20"/>
        <v>A9</v>
      </c>
      <c r="J58" s="12" t="s">
        <v>9</v>
      </c>
      <c r="K58" s="13">
        <f t="shared" si="76"/>
        <v>1</v>
      </c>
      <c r="L58" s="13">
        <f t="shared" si="77"/>
        <v>160</v>
      </c>
      <c r="M58" s="13">
        <f t="shared" si="78"/>
        <v>6</v>
      </c>
      <c r="N58" s="13">
        <f t="shared" si="79"/>
        <v>0</v>
      </c>
      <c r="O58" s="13">
        <f t="shared" si="80"/>
        <v>2</v>
      </c>
      <c r="P58" s="13">
        <f t="shared" si="94"/>
        <v>169</v>
      </c>
      <c r="Q58" s="28" t="str">
        <f t="shared" si="95"/>
        <v>A9</v>
      </c>
      <c r="S58" s="64" t="s">
        <v>225</v>
      </c>
    </row>
    <row r="59" spans="2:19" s="2" customFormat="1" ht="15.75" customHeight="1">
      <c r="B59" s="63" t="s">
        <v>1247</v>
      </c>
      <c r="C59" s="102" t="str">
        <f t="shared" si="75"/>
        <v>FF01A0070000A8</v>
      </c>
      <c r="D59" s="60" t="s">
        <v>24</v>
      </c>
      <c r="E59" s="60" t="s">
        <v>23</v>
      </c>
      <c r="F59" s="60" t="s">
        <v>101</v>
      </c>
      <c r="G59" s="60" t="s">
        <v>16</v>
      </c>
      <c r="H59" s="60" t="s">
        <v>16</v>
      </c>
      <c r="I59" s="12" t="str">
        <f t="shared" si="20"/>
        <v>A8</v>
      </c>
      <c r="J59" s="12" t="s">
        <v>9</v>
      </c>
      <c r="K59" s="13">
        <f t="shared" si="76"/>
        <v>1</v>
      </c>
      <c r="L59" s="13">
        <f t="shared" si="77"/>
        <v>160</v>
      </c>
      <c r="M59" s="13">
        <f t="shared" si="78"/>
        <v>7</v>
      </c>
      <c r="N59" s="13">
        <f t="shared" si="79"/>
        <v>0</v>
      </c>
      <c r="O59" s="13">
        <f t="shared" si="80"/>
        <v>0</v>
      </c>
      <c r="P59" s="13">
        <f t="shared" si="94"/>
        <v>168</v>
      </c>
      <c r="Q59" s="28" t="str">
        <f t="shared" si="95"/>
        <v>A8</v>
      </c>
      <c r="S59" s="64" t="s">
        <v>1982</v>
      </c>
    </row>
    <row r="60" spans="2:19" s="2" customFormat="1" ht="15.75" customHeight="1">
      <c r="B60" s="63" t="s">
        <v>1248</v>
      </c>
      <c r="C60" s="102" t="str">
        <f t="shared" ref="C60" si="96">"FF01"&amp;E60&amp;""&amp;F60&amp;G60&amp;H60&amp;I60</f>
        <v>FF01A0070001A9</v>
      </c>
      <c r="D60" s="60" t="s">
        <v>24</v>
      </c>
      <c r="E60" s="60" t="s">
        <v>23</v>
      </c>
      <c r="F60" s="60" t="s">
        <v>101</v>
      </c>
      <c r="G60" s="60" t="s">
        <v>16</v>
      </c>
      <c r="H60" s="60" t="s">
        <v>24</v>
      </c>
      <c r="I60" s="12" t="str">
        <f t="shared" ref="I60" si="97">Q60</f>
        <v>A9</v>
      </c>
      <c r="J60" s="12" t="s">
        <v>9</v>
      </c>
      <c r="K60" s="13">
        <f t="shared" ref="K60" si="98">HEX2DEC(D60)</f>
        <v>1</v>
      </c>
      <c r="L60" s="13">
        <f t="shared" ref="L60" si="99">HEX2DEC(E60)</f>
        <v>160</v>
      </c>
      <c r="M60" s="13">
        <f t="shared" ref="M60" si="100">HEX2DEC(F60)</f>
        <v>7</v>
      </c>
      <c r="N60" s="13">
        <f t="shared" ref="N60" si="101">HEX2DEC(G60)</f>
        <v>0</v>
      </c>
      <c r="O60" s="13">
        <f t="shared" ref="O60" si="102">HEX2DEC(H60)</f>
        <v>1</v>
      </c>
      <c r="P60" s="13">
        <f t="shared" ref="P60" si="103">SUM(K60:O60)</f>
        <v>169</v>
      </c>
      <c r="Q60" s="28" t="str">
        <f t="shared" ref="Q60" si="104">REPT("0",2-LEN(RIGHT(DEC2HEX(P60), 2)))&amp;RIGHT(DEC2HEX(P60), 2)</f>
        <v>A9</v>
      </c>
      <c r="S60" s="64" t="s">
        <v>1983</v>
      </c>
    </row>
    <row r="61" spans="2:19" s="2" customFormat="1" ht="15.75" customHeight="1" thickBot="1">
      <c r="B61" s="135" t="s">
        <v>1249</v>
      </c>
      <c r="C61" s="103" t="str">
        <f t="shared" si="75"/>
        <v>FF01A0070002AA</v>
      </c>
      <c r="D61" s="62" t="s">
        <v>24</v>
      </c>
      <c r="E61" s="62" t="s">
        <v>23</v>
      </c>
      <c r="F61" s="62" t="s">
        <v>101</v>
      </c>
      <c r="G61" s="62" t="s">
        <v>16</v>
      </c>
      <c r="H61" s="62" t="s">
        <v>17</v>
      </c>
      <c r="I61" s="34" t="str">
        <f t="shared" si="20"/>
        <v>AA</v>
      </c>
      <c r="J61" s="34" t="s">
        <v>9</v>
      </c>
      <c r="K61" s="35">
        <f t="shared" si="76"/>
        <v>1</v>
      </c>
      <c r="L61" s="35">
        <f t="shared" si="77"/>
        <v>160</v>
      </c>
      <c r="M61" s="35">
        <f t="shared" si="78"/>
        <v>7</v>
      </c>
      <c r="N61" s="35">
        <f t="shared" si="79"/>
        <v>0</v>
      </c>
      <c r="O61" s="35">
        <f t="shared" si="80"/>
        <v>2</v>
      </c>
      <c r="P61" s="35">
        <f t="shared" si="94"/>
        <v>170</v>
      </c>
      <c r="Q61" s="36" t="str">
        <f t="shared" si="95"/>
        <v>AA</v>
      </c>
      <c r="S61" s="64" t="s">
        <v>1984</v>
      </c>
    </row>
    <row r="62" spans="2:19" s="2" customFormat="1" ht="16.5" customHeight="1">
      <c r="B62" s="136" t="s">
        <v>156</v>
      </c>
      <c r="C62" s="87" t="str">
        <f t="shared" si="75"/>
        <v>FF01A1200000C2</v>
      </c>
      <c r="D62" s="100" t="s">
        <v>24</v>
      </c>
      <c r="E62" s="100" t="s">
        <v>80</v>
      </c>
      <c r="F62" s="100" t="s">
        <v>133</v>
      </c>
      <c r="G62" s="100" t="s">
        <v>16</v>
      </c>
      <c r="H62" s="100" t="s">
        <v>16</v>
      </c>
      <c r="I62" s="87" t="str">
        <f>Q62</f>
        <v>C2</v>
      </c>
      <c r="J62" s="87" t="s">
        <v>9</v>
      </c>
      <c r="K62" s="88">
        <f t="shared" si="76"/>
        <v>1</v>
      </c>
      <c r="L62" s="88">
        <f t="shared" si="77"/>
        <v>161</v>
      </c>
      <c r="M62" s="88">
        <f t="shared" si="78"/>
        <v>32</v>
      </c>
      <c r="N62" s="88">
        <f t="shared" si="79"/>
        <v>0</v>
      </c>
      <c r="O62" s="88">
        <f t="shared" si="80"/>
        <v>0</v>
      </c>
      <c r="P62" s="88">
        <f>SUM(K62:O62)</f>
        <v>194</v>
      </c>
      <c r="Q62" s="89" t="str">
        <f>REPT("0",2-LEN(RIGHT(DEC2HEX(P62), 2)))&amp;RIGHT(DEC2HEX(P62), 2)</f>
        <v>C2</v>
      </c>
      <c r="S62" s="64" t="s">
        <v>227</v>
      </c>
    </row>
    <row r="63" spans="2:19" s="2" customFormat="1" ht="15.75" customHeight="1">
      <c r="B63" s="138" t="s">
        <v>45</v>
      </c>
      <c r="C63" s="84" t="str">
        <f t="shared" si="75"/>
        <v>FF01A0210000C2</v>
      </c>
      <c r="D63" s="85" t="s">
        <v>24</v>
      </c>
      <c r="E63" s="85" t="s">
        <v>23</v>
      </c>
      <c r="F63" s="85" t="s">
        <v>18</v>
      </c>
      <c r="G63" s="85" t="s">
        <v>16</v>
      </c>
      <c r="H63" s="85" t="s">
        <v>16</v>
      </c>
      <c r="I63" s="86" t="str">
        <f t="shared" ref="I63" si="105">Q63</f>
        <v>C2</v>
      </c>
      <c r="J63" s="87" t="s">
        <v>9</v>
      </c>
      <c r="K63" s="88">
        <f t="shared" si="76"/>
        <v>1</v>
      </c>
      <c r="L63" s="88">
        <f t="shared" si="77"/>
        <v>160</v>
      </c>
      <c r="M63" s="88">
        <f t="shared" si="78"/>
        <v>33</v>
      </c>
      <c r="N63" s="88">
        <f t="shared" si="79"/>
        <v>0</v>
      </c>
      <c r="O63" s="88">
        <f t="shared" si="80"/>
        <v>0</v>
      </c>
      <c r="P63" s="88">
        <f t="shared" ref="P63:P78" si="106">SUM(K63:O63)</f>
        <v>194</v>
      </c>
      <c r="Q63" s="89" t="str">
        <f t="shared" ref="Q63:Q79" si="107">REPT("0",2-LEN(RIGHT(DEC2HEX(P63), 2)))&amp;RIGHT(DEC2HEX(P63), 2)</f>
        <v>C2</v>
      </c>
      <c r="S63" s="64" t="s">
        <v>228</v>
      </c>
    </row>
    <row r="64" spans="2:19" s="2" customFormat="1" ht="16.5" customHeight="1">
      <c r="B64" s="132" t="s">
        <v>46</v>
      </c>
      <c r="C64" s="10" t="str">
        <f t="shared" si="75"/>
        <v>FF01A0210001C3</v>
      </c>
      <c r="D64" s="5" t="s">
        <v>24</v>
      </c>
      <c r="E64" s="5" t="s">
        <v>23</v>
      </c>
      <c r="F64" s="5" t="s">
        <v>18</v>
      </c>
      <c r="G64" s="5" t="s">
        <v>16</v>
      </c>
      <c r="H64" s="5" t="s">
        <v>24</v>
      </c>
      <c r="I64" s="3" t="str">
        <f t="shared" ref="I64" si="108">Q64</f>
        <v>C3</v>
      </c>
      <c r="J64" s="12" t="s">
        <v>9</v>
      </c>
      <c r="K64" s="13">
        <f t="shared" si="76"/>
        <v>1</v>
      </c>
      <c r="L64" s="13">
        <f t="shared" si="77"/>
        <v>160</v>
      </c>
      <c r="M64" s="13">
        <f t="shared" si="78"/>
        <v>33</v>
      </c>
      <c r="N64" s="13">
        <f t="shared" si="79"/>
        <v>0</v>
      </c>
      <c r="O64" s="13">
        <f t="shared" si="80"/>
        <v>1</v>
      </c>
      <c r="P64" s="13">
        <f t="shared" si="106"/>
        <v>195</v>
      </c>
      <c r="Q64" s="28" t="str">
        <f t="shared" si="107"/>
        <v>C3</v>
      </c>
      <c r="S64" s="64" t="s">
        <v>229</v>
      </c>
    </row>
    <row r="65" spans="2:19" s="2" customFormat="1" ht="16.5" customHeight="1">
      <c r="B65" s="132" t="s">
        <v>48</v>
      </c>
      <c r="C65" s="10" t="str">
        <f t="shared" si="75"/>
        <v>FF01A0220000C3</v>
      </c>
      <c r="D65" s="5" t="s">
        <v>24</v>
      </c>
      <c r="E65" s="5" t="s">
        <v>23</v>
      </c>
      <c r="F65" s="5" t="s">
        <v>49</v>
      </c>
      <c r="G65" s="5" t="s">
        <v>16</v>
      </c>
      <c r="H65" s="5" t="s">
        <v>16</v>
      </c>
      <c r="I65" s="3" t="str">
        <f t="shared" ref="I65" si="109">Q65</f>
        <v>C3</v>
      </c>
      <c r="J65" s="12" t="s">
        <v>9</v>
      </c>
      <c r="K65" s="13">
        <f t="shared" si="76"/>
        <v>1</v>
      </c>
      <c r="L65" s="13">
        <f t="shared" si="77"/>
        <v>160</v>
      </c>
      <c r="M65" s="13">
        <f t="shared" si="78"/>
        <v>34</v>
      </c>
      <c r="N65" s="13">
        <f t="shared" si="79"/>
        <v>0</v>
      </c>
      <c r="O65" s="13">
        <f t="shared" si="80"/>
        <v>0</v>
      </c>
      <c r="P65" s="13">
        <f t="shared" si="106"/>
        <v>195</v>
      </c>
      <c r="Q65" s="28" t="str">
        <f t="shared" si="107"/>
        <v>C3</v>
      </c>
      <c r="S65" s="64" t="s">
        <v>230</v>
      </c>
    </row>
    <row r="66" spans="2:19" s="2" customFormat="1" ht="16.5" customHeight="1">
      <c r="B66" s="132" t="s">
        <v>47</v>
      </c>
      <c r="C66" s="10" t="str">
        <f t="shared" si="75"/>
        <v>FF01A0220001C4</v>
      </c>
      <c r="D66" s="5" t="s">
        <v>24</v>
      </c>
      <c r="E66" s="5" t="s">
        <v>23</v>
      </c>
      <c r="F66" s="5" t="s">
        <v>49</v>
      </c>
      <c r="G66" s="5" t="s">
        <v>16</v>
      </c>
      <c r="H66" s="5" t="s">
        <v>24</v>
      </c>
      <c r="I66" s="3" t="str">
        <f t="shared" ref="I66" si="110">Q66</f>
        <v>C4</v>
      </c>
      <c r="J66" s="12" t="s">
        <v>9</v>
      </c>
      <c r="K66" s="13">
        <f t="shared" si="76"/>
        <v>1</v>
      </c>
      <c r="L66" s="13">
        <f t="shared" si="77"/>
        <v>160</v>
      </c>
      <c r="M66" s="13">
        <f t="shared" si="78"/>
        <v>34</v>
      </c>
      <c r="N66" s="13">
        <f t="shared" si="79"/>
        <v>0</v>
      </c>
      <c r="O66" s="13">
        <f t="shared" si="80"/>
        <v>1</v>
      </c>
      <c r="P66" s="13">
        <f t="shared" si="106"/>
        <v>196</v>
      </c>
      <c r="Q66" s="28" t="str">
        <f t="shared" si="107"/>
        <v>C4</v>
      </c>
      <c r="S66" s="64" t="s">
        <v>231</v>
      </c>
    </row>
    <row r="67" spans="2:19" s="2" customFormat="1" ht="16.5" customHeight="1">
      <c r="B67" s="132" t="s">
        <v>20</v>
      </c>
      <c r="C67" s="10" t="str">
        <f>"FF01"&amp;E67&amp;""&amp;F67&amp;G67&amp;H67&amp;I67</f>
        <v>FF01A0230000C4</v>
      </c>
      <c r="D67" s="5" t="s">
        <v>24</v>
      </c>
      <c r="E67" s="3" t="s">
        <v>23</v>
      </c>
      <c r="F67" s="3">
        <v>23</v>
      </c>
      <c r="G67" s="5" t="s">
        <v>16</v>
      </c>
      <c r="H67" s="5" t="s">
        <v>16</v>
      </c>
      <c r="I67" s="3" t="str">
        <f>Q67</f>
        <v>C4</v>
      </c>
      <c r="J67" s="12" t="s">
        <v>9</v>
      </c>
      <c r="K67" s="13">
        <f>HEX2DEC(D67)</f>
        <v>1</v>
      </c>
      <c r="L67" s="13">
        <f>HEX2DEC(E67)</f>
        <v>160</v>
      </c>
      <c r="M67" s="13">
        <f>HEX2DEC(F67)</f>
        <v>35</v>
      </c>
      <c r="N67" s="13">
        <f>HEX2DEC(G67)</f>
        <v>0</v>
      </c>
      <c r="O67" s="13">
        <f>HEX2DEC(H67)</f>
        <v>0</v>
      </c>
      <c r="P67" s="13">
        <f>SUM(K67:O67)</f>
        <v>196</v>
      </c>
      <c r="Q67" s="28" t="str">
        <f>REPT("0",2-LEN(RIGHT(DEC2HEX(P67), 2)))&amp;RIGHT(DEC2HEX(P67), 2)</f>
        <v>C4</v>
      </c>
      <c r="S67" s="64" t="s">
        <v>233</v>
      </c>
    </row>
    <row r="68" spans="2:19" s="2" customFormat="1" ht="16.5" customHeight="1">
      <c r="B68" s="132" t="s">
        <v>19</v>
      </c>
      <c r="C68" s="10" t="str">
        <f t="shared" si="75"/>
        <v>FF01A0230001C5</v>
      </c>
      <c r="D68" s="5" t="s">
        <v>24</v>
      </c>
      <c r="E68" s="3" t="s">
        <v>23</v>
      </c>
      <c r="F68" s="3">
        <v>23</v>
      </c>
      <c r="G68" s="5" t="s">
        <v>16</v>
      </c>
      <c r="H68" s="5" t="s">
        <v>24</v>
      </c>
      <c r="I68" s="3" t="str">
        <f>Q68</f>
        <v>C5</v>
      </c>
      <c r="J68" s="12" t="s">
        <v>9</v>
      </c>
      <c r="K68" s="13">
        <f t="shared" si="76"/>
        <v>1</v>
      </c>
      <c r="L68" s="13">
        <f t="shared" si="77"/>
        <v>160</v>
      </c>
      <c r="M68" s="13">
        <f t="shared" si="78"/>
        <v>35</v>
      </c>
      <c r="N68" s="13">
        <f t="shared" si="79"/>
        <v>0</v>
      </c>
      <c r="O68" s="13">
        <f t="shared" si="80"/>
        <v>1</v>
      </c>
      <c r="P68" s="13">
        <f>SUM(K68:O68)</f>
        <v>197</v>
      </c>
      <c r="Q68" s="28" t="str">
        <f>REPT("0",2-LEN(RIGHT(DEC2HEX(P68), 2)))&amp;RIGHT(DEC2HEX(P68), 2)</f>
        <v>C5</v>
      </c>
      <c r="S68" s="64" t="s">
        <v>232</v>
      </c>
    </row>
    <row r="69" spans="2:19" s="2" customFormat="1" ht="16.5" customHeight="1">
      <c r="B69" s="132" t="s">
        <v>22</v>
      </c>
      <c r="C69" s="10" t="str">
        <f>"FF01"&amp;E69&amp;""&amp;F69&amp;G69&amp;H69&amp;I69</f>
        <v>FF01A0240000C5</v>
      </c>
      <c r="D69" s="5" t="s">
        <v>24</v>
      </c>
      <c r="E69" s="3" t="s">
        <v>23</v>
      </c>
      <c r="F69" s="3">
        <v>24</v>
      </c>
      <c r="G69" s="5" t="s">
        <v>16</v>
      </c>
      <c r="H69" s="5" t="s">
        <v>16</v>
      </c>
      <c r="I69" s="3" t="str">
        <f>Q69</f>
        <v>C5</v>
      </c>
      <c r="J69" s="12" t="s">
        <v>9</v>
      </c>
      <c r="K69" s="13">
        <f>HEX2DEC(D69)</f>
        <v>1</v>
      </c>
      <c r="L69" s="13">
        <f>HEX2DEC(E69)</f>
        <v>160</v>
      </c>
      <c r="M69" s="13">
        <f>HEX2DEC(F69)</f>
        <v>36</v>
      </c>
      <c r="N69" s="13">
        <f>HEX2DEC(G69)</f>
        <v>0</v>
      </c>
      <c r="O69" s="13">
        <f>HEX2DEC(H69)</f>
        <v>0</v>
      </c>
      <c r="P69" s="13">
        <f>SUM(K69:O69)</f>
        <v>197</v>
      </c>
      <c r="Q69" s="28" t="str">
        <f>REPT("0",2-LEN(RIGHT(DEC2HEX(P69), 2)))&amp;RIGHT(DEC2HEX(P69), 2)</f>
        <v>C5</v>
      </c>
      <c r="S69" s="64" t="s">
        <v>235</v>
      </c>
    </row>
    <row r="70" spans="2:19" s="2" customFormat="1" ht="16.5" customHeight="1">
      <c r="B70" s="132" t="s">
        <v>21</v>
      </c>
      <c r="C70" s="10" t="str">
        <f t="shared" si="75"/>
        <v>FF01A0240001C6</v>
      </c>
      <c r="D70" s="5" t="s">
        <v>24</v>
      </c>
      <c r="E70" s="3" t="s">
        <v>23</v>
      </c>
      <c r="F70" s="3">
        <v>24</v>
      </c>
      <c r="G70" s="5" t="s">
        <v>16</v>
      </c>
      <c r="H70" s="5" t="s">
        <v>24</v>
      </c>
      <c r="I70" s="3" t="str">
        <f>Q70</f>
        <v>C6</v>
      </c>
      <c r="J70" s="12" t="s">
        <v>9</v>
      </c>
      <c r="K70" s="13">
        <f t="shared" si="76"/>
        <v>1</v>
      </c>
      <c r="L70" s="13">
        <f t="shared" si="77"/>
        <v>160</v>
      </c>
      <c r="M70" s="13">
        <f t="shared" si="78"/>
        <v>36</v>
      </c>
      <c r="N70" s="13">
        <f t="shared" si="79"/>
        <v>0</v>
      </c>
      <c r="O70" s="13">
        <f t="shared" si="80"/>
        <v>1</v>
      </c>
      <c r="P70" s="13">
        <f>SUM(K70:O70)</f>
        <v>198</v>
      </c>
      <c r="Q70" s="28" t="str">
        <f>REPT("0",2-LEN(RIGHT(DEC2HEX(P70), 2)))&amp;RIGHT(DEC2HEX(P70), 2)</f>
        <v>C6</v>
      </c>
      <c r="S70" s="64" t="s">
        <v>234</v>
      </c>
    </row>
    <row r="71" spans="2:19" s="2" customFormat="1" ht="16.5" customHeight="1">
      <c r="B71" s="132" t="s">
        <v>50</v>
      </c>
      <c r="C71" s="10" t="str">
        <f t="shared" si="75"/>
        <v>FF01A0250000C6</v>
      </c>
      <c r="D71" s="5" t="s">
        <v>24</v>
      </c>
      <c r="E71" s="5" t="s">
        <v>23</v>
      </c>
      <c r="F71" s="5" t="s">
        <v>51</v>
      </c>
      <c r="G71" s="5" t="s">
        <v>16</v>
      </c>
      <c r="H71" s="5" t="s">
        <v>16</v>
      </c>
      <c r="I71" s="3" t="str">
        <f t="shared" ref="I71" si="111">Q71</f>
        <v>C6</v>
      </c>
      <c r="J71" s="12" t="s">
        <v>9</v>
      </c>
      <c r="K71" s="13">
        <f t="shared" si="76"/>
        <v>1</v>
      </c>
      <c r="L71" s="13">
        <f t="shared" si="77"/>
        <v>160</v>
      </c>
      <c r="M71" s="13">
        <f t="shared" si="78"/>
        <v>37</v>
      </c>
      <c r="N71" s="13">
        <f t="shared" si="79"/>
        <v>0</v>
      </c>
      <c r="O71" s="13">
        <f t="shared" si="80"/>
        <v>0</v>
      </c>
      <c r="P71" s="13">
        <f t="shared" si="106"/>
        <v>198</v>
      </c>
      <c r="Q71" s="28" t="str">
        <f t="shared" si="107"/>
        <v>C6</v>
      </c>
      <c r="S71" s="64" t="s">
        <v>236</v>
      </c>
    </row>
    <row r="72" spans="2:19" s="2" customFormat="1" ht="16.5" customHeight="1">
      <c r="B72" s="132" t="s">
        <v>52</v>
      </c>
      <c r="C72" s="10" t="str">
        <f t="shared" si="75"/>
        <v>FF01A0250001C7</v>
      </c>
      <c r="D72" s="5" t="s">
        <v>24</v>
      </c>
      <c r="E72" s="5" t="s">
        <v>23</v>
      </c>
      <c r="F72" s="5" t="s">
        <v>51</v>
      </c>
      <c r="G72" s="5" t="s">
        <v>16</v>
      </c>
      <c r="H72" s="5" t="s">
        <v>24</v>
      </c>
      <c r="I72" s="3" t="str">
        <f t="shared" ref="I72" si="112">Q72</f>
        <v>C7</v>
      </c>
      <c r="J72" s="12" t="s">
        <v>9</v>
      </c>
      <c r="K72" s="13">
        <f t="shared" si="76"/>
        <v>1</v>
      </c>
      <c r="L72" s="13">
        <f t="shared" si="77"/>
        <v>160</v>
      </c>
      <c r="M72" s="13">
        <f t="shared" si="78"/>
        <v>37</v>
      </c>
      <c r="N72" s="13">
        <f t="shared" si="79"/>
        <v>0</v>
      </c>
      <c r="O72" s="13">
        <f t="shared" si="80"/>
        <v>1</v>
      </c>
      <c r="P72" s="13">
        <f t="shared" si="106"/>
        <v>199</v>
      </c>
      <c r="Q72" s="28" t="str">
        <f t="shared" si="107"/>
        <v>C7</v>
      </c>
      <c r="S72" s="64" t="s">
        <v>237</v>
      </c>
    </row>
    <row r="73" spans="2:19" s="2" customFormat="1" ht="16.5" customHeight="1">
      <c r="B73" s="132" t="s">
        <v>53</v>
      </c>
      <c r="C73" s="10" t="str">
        <f t="shared" si="75"/>
        <v>FF01A0260000C7</v>
      </c>
      <c r="D73" s="5" t="s">
        <v>24</v>
      </c>
      <c r="E73" s="5" t="s">
        <v>23</v>
      </c>
      <c r="F73" s="5" t="s">
        <v>55</v>
      </c>
      <c r="G73" s="5" t="s">
        <v>16</v>
      </c>
      <c r="H73" s="5" t="s">
        <v>16</v>
      </c>
      <c r="I73" s="3" t="str">
        <f t="shared" ref="I73" si="113">Q73</f>
        <v>C7</v>
      </c>
      <c r="J73" s="12" t="s">
        <v>9</v>
      </c>
      <c r="K73" s="13">
        <f t="shared" si="76"/>
        <v>1</v>
      </c>
      <c r="L73" s="13">
        <f t="shared" si="77"/>
        <v>160</v>
      </c>
      <c r="M73" s="13">
        <f t="shared" si="78"/>
        <v>38</v>
      </c>
      <c r="N73" s="13">
        <f t="shared" si="79"/>
        <v>0</v>
      </c>
      <c r="O73" s="13">
        <f t="shared" si="80"/>
        <v>0</v>
      </c>
      <c r="P73" s="13">
        <f t="shared" si="106"/>
        <v>199</v>
      </c>
      <c r="Q73" s="28" t="str">
        <f t="shared" si="107"/>
        <v>C7</v>
      </c>
      <c r="S73" s="64" t="s">
        <v>238</v>
      </c>
    </row>
    <row r="74" spans="2:19" s="2" customFormat="1" ht="16.5" customHeight="1">
      <c r="B74" s="132" t="s">
        <v>54</v>
      </c>
      <c r="C74" s="10" t="str">
        <f t="shared" si="75"/>
        <v>FF01A0260001C8</v>
      </c>
      <c r="D74" s="5" t="s">
        <v>24</v>
      </c>
      <c r="E74" s="5" t="s">
        <v>23</v>
      </c>
      <c r="F74" s="5" t="s">
        <v>55</v>
      </c>
      <c r="G74" s="5" t="s">
        <v>16</v>
      </c>
      <c r="H74" s="5" t="s">
        <v>24</v>
      </c>
      <c r="I74" s="3" t="str">
        <f t="shared" ref="I74" si="114">Q74</f>
        <v>C8</v>
      </c>
      <c r="J74" s="12" t="s">
        <v>9</v>
      </c>
      <c r="K74" s="13">
        <f t="shared" si="76"/>
        <v>1</v>
      </c>
      <c r="L74" s="13">
        <f t="shared" si="77"/>
        <v>160</v>
      </c>
      <c r="M74" s="13">
        <f t="shared" si="78"/>
        <v>38</v>
      </c>
      <c r="N74" s="13">
        <f t="shared" si="79"/>
        <v>0</v>
      </c>
      <c r="O74" s="13">
        <f t="shared" si="80"/>
        <v>1</v>
      </c>
      <c r="P74" s="13">
        <f t="shared" si="106"/>
        <v>200</v>
      </c>
      <c r="Q74" s="28" t="str">
        <f t="shared" si="107"/>
        <v>C8</v>
      </c>
      <c r="S74" s="64" t="s">
        <v>239</v>
      </c>
    </row>
    <row r="75" spans="2:19" s="2" customFormat="1" ht="16.5" customHeight="1">
      <c r="B75" s="132" t="s">
        <v>56</v>
      </c>
      <c r="C75" s="10" t="str">
        <f t="shared" si="75"/>
        <v>FF01A0270000C8</v>
      </c>
      <c r="D75" s="5" t="s">
        <v>24</v>
      </c>
      <c r="E75" s="5" t="s">
        <v>23</v>
      </c>
      <c r="F75" s="5" t="s">
        <v>60</v>
      </c>
      <c r="G75" s="5" t="s">
        <v>16</v>
      </c>
      <c r="H75" s="5" t="s">
        <v>16</v>
      </c>
      <c r="I75" s="3" t="str">
        <f t="shared" ref="I75" si="115">Q75</f>
        <v>C8</v>
      </c>
      <c r="J75" s="12" t="s">
        <v>9</v>
      </c>
      <c r="K75" s="13">
        <f t="shared" si="76"/>
        <v>1</v>
      </c>
      <c r="L75" s="13">
        <f t="shared" si="77"/>
        <v>160</v>
      </c>
      <c r="M75" s="13">
        <f t="shared" si="78"/>
        <v>39</v>
      </c>
      <c r="N75" s="13">
        <f t="shared" si="79"/>
        <v>0</v>
      </c>
      <c r="O75" s="13">
        <f t="shared" si="80"/>
        <v>0</v>
      </c>
      <c r="P75" s="13">
        <f t="shared" si="106"/>
        <v>200</v>
      </c>
      <c r="Q75" s="28" t="str">
        <f t="shared" si="107"/>
        <v>C8</v>
      </c>
      <c r="S75" s="64" t="s">
        <v>240</v>
      </c>
    </row>
    <row r="76" spans="2:19" s="2" customFormat="1" ht="16.5" customHeight="1">
      <c r="B76" s="132" t="s">
        <v>57</v>
      </c>
      <c r="C76" s="10" t="str">
        <f t="shared" si="75"/>
        <v>FF01A027000AD2</v>
      </c>
      <c r="D76" s="5" t="s">
        <v>24</v>
      </c>
      <c r="E76" s="5" t="s">
        <v>23</v>
      </c>
      <c r="F76" s="5" t="s">
        <v>60</v>
      </c>
      <c r="G76" s="5" t="s">
        <v>16</v>
      </c>
      <c r="H76" s="5" t="s">
        <v>61</v>
      </c>
      <c r="I76" s="3" t="str">
        <f t="shared" ref="I76:I77" si="116">Q76</f>
        <v>D2</v>
      </c>
      <c r="J76" s="12" t="s">
        <v>9</v>
      </c>
      <c r="K76" s="13">
        <f t="shared" si="76"/>
        <v>1</v>
      </c>
      <c r="L76" s="13">
        <f t="shared" si="77"/>
        <v>160</v>
      </c>
      <c r="M76" s="13">
        <f t="shared" si="78"/>
        <v>39</v>
      </c>
      <c r="N76" s="13">
        <f t="shared" si="79"/>
        <v>0</v>
      </c>
      <c r="O76" s="13">
        <f t="shared" si="80"/>
        <v>10</v>
      </c>
      <c r="P76" s="13">
        <f t="shared" si="106"/>
        <v>210</v>
      </c>
      <c r="Q76" s="28" t="str">
        <f t="shared" si="107"/>
        <v>D2</v>
      </c>
      <c r="S76" s="64" t="s">
        <v>241</v>
      </c>
    </row>
    <row r="77" spans="2:19" s="2" customFormat="1" ht="16.5" customHeight="1">
      <c r="B77" s="132" t="s">
        <v>58</v>
      </c>
      <c r="C77" s="10" t="str">
        <f t="shared" si="75"/>
        <v>FF01A0270014DC</v>
      </c>
      <c r="D77" s="5" t="s">
        <v>24</v>
      </c>
      <c r="E77" s="5" t="s">
        <v>23</v>
      </c>
      <c r="F77" s="5" t="s">
        <v>60</v>
      </c>
      <c r="G77" s="5" t="s">
        <v>16</v>
      </c>
      <c r="H77" s="5" t="s">
        <v>62</v>
      </c>
      <c r="I77" s="3" t="str">
        <f t="shared" si="116"/>
        <v>DC</v>
      </c>
      <c r="J77" s="12" t="s">
        <v>9</v>
      </c>
      <c r="K77" s="13">
        <f t="shared" si="76"/>
        <v>1</v>
      </c>
      <c r="L77" s="13">
        <f t="shared" si="77"/>
        <v>160</v>
      </c>
      <c r="M77" s="13">
        <f t="shared" si="78"/>
        <v>39</v>
      </c>
      <c r="N77" s="13">
        <f t="shared" si="79"/>
        <v>0</v>
      </c>
      <c r="O77" s="13">
        <f t="shared" si="80"/>
        <v>20</v>
      </c>
      <c r="P77" s="13">
        <f t="shared" si="106"/>
        <v>220</v>
      </c>
      <c r="Q77" s="28" t="str">
        <f t="shared" si="107"/>
        <v>DC</v>
      </c>
      <c r="S77" s="64" t="s">
        <v>242</v>
      </c>
    </row>
    <row r="78" spans="2:19" s="2" customFormat="1" ht="16.5" customHeight="1" thickBot="1">
      <c r="B78" s="137" t="s">
        <v>59</v>
      </c>
      <c r="C78" s="33" t="str">
        <f t="shared" si="75"/>
        <v>FF01A027001EE6</v>
      </c>
      <c r="D78" s="32" t="s">
        <v>24</v>
      </c>
      <c r="E78" s="32" t="s">
        <v>23</v>
      </c>
      <c r="F78" s="32" t="s">
        <v>60</v>
      </c>
      <c r="G78" s="32" t="s">
        <v>16</v>
      </c>
      <c r="H78" s="32" t="s">
        <v>63</v>
      </c>
      <c r="I78" s="30" t="str">
        <f t="shared" ref="I78" si="117">Q78</f>
        <v>E6</v>
      </c>
      <c r="J78" s="34" t="s">
        <v>9</v>
      </c>
      <c r="K78" s="35">
        <f t="shared" si="76"/>
        <v>1</v>
      </c>
      <c r="L78" s="35">
        <f t="shared" si="77"/>
        <v>160</v>
      </c>
      <c r="M78" s="35">
        <f t="shared" si="78"/>
        <v>39</v>
      </c>
      <c r="N78" s="35">
        <f t="shared" si="79"/>
        <v>0</v>
      </c>
      <c r="O78" s="35">
        <f t="shared" si="80"/>
        <v>30</v>
      </c>
      <c r="P78" s="35">
        <f t="shared" si="106"/>
        <v>230</v>
      </c>
      <c r="Q78" s="36" t="str">
        <f t="shared" si="107"/>
        <v>E6</v>
      </c>
      <c r="S78" s="64" t="s">
        <v>243</v>
      </c>
    </row>
    <row r="79" spans="2:19" s="2" customFormat="1" ht="16.5" customHeight="1">
      <c r="B79" s="63" t="s">
        <v>135</v>
      </c>
      <c r="C79" s="12" t="str">
        <f t="shared" si="75"/>
        <v>FF01A1300000D2</v>
      </c>
      <c r="D79" s="60" t="s">
        <v>24</v>
      </c>
      <c r="E79" s="12" t="s">
        <v>80</v>
      </c>
      <c r="F79" s="12">
        <v>30</v>
      </c>
      <c r="G79" s="60" t="s">
        <v>16</v>
      </c>
      <c r="H79" s="60" t="s">
        <v>16</v>
      </c>
      <c r="I79" s="12" t="str">
        <f>Q79</f>
        <v>D2</v>
      </c>
      <c r="J79" s="12" t="s">
        <v>9</v>
      </c>
      <c r="K79" s="13">
        <f t="shared" si="76"/>
        <v>1</v>
      </c>
      <c r="L79" s="13">
        <f t="shared" si="77"/>
        <v>161</v>
      </c>
      <c r="M79" s="13">
        <f t="shared" si="78"/>
        <v>48</v>
      </c>
      <c r="N79" s="13">
        <f t="shared" si="79"/>
        <v>0</v>
      </c>
      <c r="O79" s="13">
        <f t="shared" si="80"/>
        <v>0</v>
      </c>
      <c r="P79" s="13">
        <f>SUM(K79:O79)</f>
        <v>210</v>
      </c>
      <c r="Q79" s="28" t="str">
        <f t="shared" si="107"/>
        <v>D2</v>
      </c>
      <c r="S79" s="64" t="s">
        <v>244</v>
      </c>
    </row>
    <row r="80" spans="2:19" s="2" customFormat="1" ht="16.5" customHeight="1">
      <c r="B80" s="132" t="s">
        <v>136</v>
      </c>
      <c r="C80" s="10" t="str">
        <f t="shared" si="75"/>
        <v>FF01A0310000D2</v>
      </c>
      <c r="D80" s="5" t="s">
        <v>24</v>
      </c>
      <c r="E80" s="3" t="s">
        <v>23</v>
      </c>
      <c r="F80" s="3">
        <v>31</v>
      </c>
      <c r="G80" s="5" t="s">
        <v>16</v>
      </c>
      <c r="H80" s="5" t="s">
        <v>16</v>
      </c>
      <c r="I80" s="3" t="str">
        <f t="shared" ref="I80:I97" si="118">Q80</f>
        <v>D2</v>
      </c>
      <c r="J80" s="12" t="s">
        <v>9</v>
      </c>
      <c r="K80" s="13">
        <f t="shared" si="76"/>
        <v>1</v>
      </c>
      <c r="L80" s="13">
        <f t="shared" si="77"/>
        <v>160</v>
      </c>
      <c r="M80" s="13">
        <f t="shared" si="78"/>
        <v>49</v>
      </c>
      <c r="N80" s="13">
        <f t="shared" si="79"/>
        <v>0</v>
      </c>
      <c r="O80" s="13">
        <f t="shared" si="80"/>
        <v>0</v>
      </c>
      <c r="P80" s="13">
        <f t="shared" ref="P80:P97" si="119">SUM(K80:O80)</f>
        <v>210</v>
      </c>
      <c r="Q80" s="28" t="str">
        <f t="shared" ref="Q80:Q105" si="120">REPT("0",2-LEN(RIGHT(DEC2HEX(P80), 2)))&amp;RIGHT(DEC2HEX(P80), 2)</f>
        <v>D2</v>
      </c>
      <c r="S80" s="64" t="s">
        <v>245</v>
      </c>
    </row>
    <row r="81" spans="2:19" s="2" customFormat="1" ht="16.5" customHeight="1">
      <c r="B81" s="132" t="s">
        <v>137</v>
      </c>
      <c r="C81" s="10" t="str">
        <f t="shared" ref="C81:C121" si="121">"FF01"&amp;E81&amp;""&amp;F81&amp;G81&amp;H81&amp;I81</f>
        <v>FF01A0310001D3</v>
      </c>
      <c r="D81" s="5" t="s">
        <v>24</v>
      </c>
      <c r="E81" s="3" t="s">
        <v>23</v>
      </c>
      <c r="F81" s="3">
        <v>31</v>
      </c>
      <c r="G81" s="5" t="s">
        <v>16</v>
      </c>
      <c r="H81" s="5" t="s">
        <v>24</v>
      </c>
      <c r="I81" s="3" t="str">
        <f t="shared" si="118"/>
        <v>D3</v>
      </c>
      <c r="J81" s="12" t="s">
        <v>9</v>
      </c>
      <c r="K81" s="13">
        <f t="shared" ref="K81:K118" si="122">HEX2DEC(D81)</f>
        <v>1</v>
      </c>
      <c r="L81" s="13">
        <f t="shared" ref="L81:L118" si="123">HEX2DEC(E81)</f>
        <v>160</v>
      </c>
      <c r="M81" s="13">
        <f t="shared" ref="M81:M118" si="124">HEX2DEC(F81)</f>
        <v>49</v>
      </c>
      <c r="N81" s="13">
        <f t="shared" ref="N81:N118" si="125">HEX2DEC(G81)</f>
        <v>0</v>
      </c>
      <c r="O81" s="13">
        <f t="shared" ref="O81:O118" si="126">HEX2DEC(H81)</f>
        <v>1</v>
      </c>
      <c r="P81" s="13">
        <f t="shared" si="119"/>
        <v>211</v>
      </c>
      <c r="Q81" s="28" t="str">
        <f t="shared" si="120"/>
        <v>D3</v>
      </c>
      <c r="S81" s="64" t="s">
        <v>246</v>
      </c>
    </row>
    <row r="82" spans="2:19" s="2" customFormat="1" ht="16.5" customHeight="1">
      <c r="B82" s="132" t="s">
        <v>138</v>
      </c>
      <c r="C82" s="10" t="str">
        <f t="shared" si="121"/>
        <v>FF01A0320000D3</v>
      </c>
      <c r="D82" s="5" t="s">
        <v>24</v>
      </c>
      <c r="E82" s="3" t="s">
        <v>23</v>
      </c>
      <c r="F82" s="3">
        <v>32</v>
      </c>
      <c r="G82" s="5" t="s">
        <v>16</v>
      </c>
      <c r="H82" s="5" t="s">
        <v>16</v>
      </c>
      <c r="I82" s="3" t="str">
        <f t="shared" si="118"/>
        <v>D3</v>
      </c>
      <c r="J82" s="12" t="s">
        <v>9</v>
      </c>
      <c r="K82" s="13">
        <f t="shared" si="122"/>
        <v>1</v>
      </c>
      <c r="L82" s="13">
        <f t="shared" si="123"/>
        <v>160</v>
      </c>
      <c r="M82" s="13">
        <f t="shared" si="124"/>
        <v>50</v>
      </c>
      <c r="N82" s="13">
        <f t="shared" si="125"/>
        <v>0</v>
      </c>
      <c r="O82" s="13">
        <f t="shared" si="126"/>
        <v>0</v>
      </c>
      <c r="P82" s="13">
        <f t="shared" si="119"/>
        <v>211</v>
      </c>
      <c r="Q82" s="28" t="str">
        <f t="shared" si="120"/>
        <v>D3</v>
      </c>
      <c r="S82" s="64" t="s">
        <v>247</v>
      </c>
    </row>
    <row r="83" spans="2:19" s="2" customFormat="1" ht="16.5" customHeight="1">
      <c r="B83" s="132" t="s">
        <v>1241</v>
      </c>
      <c r="C83" s="10" t="str">
        <f t="shared" ref="C83" si="127">"FF01"&amp;E83&amp;""&amp;F83&amp;G83&amp;H83&amp;I83</f>
        <v>FF01A0320014E7</v>
      </c>
      <c r="D83" s="5" t="s">
        <v>24</v>
      </c>
      <c r="E83" s="3" t="s">
        <v>23</v>
      </c>
      <c r="F83" s="3">
        <v>32</v>
      </c>
      <c r="G83" s="5" t="s">
        <v>16</v>
      </c>
      <c r="H83" s="5" t="s">
        <v>62</v>
      </c>
      <c r="I83" s="3" t="str">
        <f t="shared" ref="I83" si="128">Q83</f>
        <v>E7</v>
      </c>
      <c r="J83" s="12" t="s">
        <v>9</v>
      </c>
      <c r="K83" s="13">
        <f t="shared" ref="K83" si="129">HEX2DEC(D83)</f>
        <v>1</v>
      </c>
      <c r="L83" s="13">
        <f t="shared" ref="L83" si="130">HEX2DEC(E83)</f>
        <v>160</v>
      </c>
      <c r="M83" s="13">
        <f t="shared" ref="M83" si="131">HEX2DEC(F83)</f>
        <v>50</v>
      </c>
      <c r="N83" s="13">
        <f t="shared" ref="N83" si="132">HEX2DEC(G83)</f>
        <v>0</v>
      </c>
      <c r="O83" s="13">
        <f t="shared" ref="O83" si="133">HEX2DEC(H83)</f>
        <v>20</v>
      </c>
      <c r="P83" s="13">
        <f t="shared" ref="P83" si="134">SUM(K83:O83)</f>
        <v>231</v>
      </c>
      <c r="Q83" s="28" t="str">
        <f t="shared" ref="Q83" si="135">REPT("0",2-LEN(RIGHT(DEC2HEX(P83), 2)))&amp;RIGHT(DEC2HEX(P83), 2)</f>
        <v>E7</v>
      </c>
      <c r="S83" s="64" t="s">
        <v>1985</v>
      </c>
    </row>
    <row r="84" spans="2:19" s="2" customFormat="1" ht="16.5" customHeight="1">
      <c r="B84" s="132" t="s">
        <v>139</v>
      </c>
      <c r="C84" s="10" t="str">
        <f t="shared" si="121"/>
        <v>FF01A0320028FB</v>
      </c>
      <c r="D84" s="5" t="s">
        <v>24</v>
      </c>
      <c r="E84" s="3" t="s">
        <v>23</v>
      </c>
      <c r="F84" s="3">
        <v>32</v>
      </c>
      <c r="G84" s="5" t="s">
        <v>16</v>
      </c>
      <c r="H84" s="5" t="s">
        <v>140</v>
      </c>
      <c r="I84" s="3" t="str">
        <f t="shared" si="118"/>
        <v>FB</v>
      </c>
      <c r="J84" s="12" t="s">
        <v>9</v>
      </c>
      <c r="K84" s="13">
        <f t="shared" si="122"/>
        <v>1</v>
      </c>
      <c r="L84" s="13">
        <f t="shared" si="123"/>
        <v>160</v>
      </c>
      <c r="M84" s="13">
        <f t="shared" si="124"/>
        <v>50</v>
      </c>
      <c r="N84" s="13">
        <f t="shared" si="125"/>
        <v>0</v>
      </c>
      <c r="O84" s="13">
        <f t="shared" si="126"/>
        <v>40</v>
      </c>
      <c r="P84" s="13">
        <f t="shared" si="119"/>
        <v>251</v>
      </c>
      <c r="Q84" s="28" t="str">
        <f t="shared" si="120"/>
        <v>FB</v>
      </c>
      <c r="S84" s="64" t="s">
        <v>248</v>
      </c>
    </row>
    <row r="85" spans="2:19" s="2" customFormat="1" ht="16.5" customHeight="1">
      <c r="B85" s="132" t="s">
        <v>141</v>
      </c>
      <c r="C85" s="10" t="str">
        <f t="shared" si="121"/>
        <v>FF01A0330000D4</v>
      </c>
      <c r="D85" s="5" t="s">
        <v>24</v>
      </c>
      <c r="E85" s="3" t="s">
        <v>23</v>
      </c>
      <c r="F85" s="3">
        <v>33</v>
      </c>
      <c r="G85" s="5" t="s">
        <v>16</v>
      </c>
      <c r="H85" s="5" t="s">
        <v>16</v>
      </c>
      <c r="I85" s="3" t="str">
        <f t="shared" si="118"/>
        <v>D4</v>
      </c>
      <c r="J85" s="12" t="s">
        <v>9</v>
      </c>
      <c r="K85" s="13">
        <f t="shared" si="122"/>
        <v>1</v>
      </c>
      <c r="L85" s="13">
        <f t="shared" si="123"/>
        <v>160</v>
      </c>
      <c r="M85" s="13">
        <f t="shared" si="124"/>
        <v>51</v>
      </c>
      <c r="N85" s="13">
        <f t="shared" si="125"/>
        <v>0</v>
      </c>
      <c r="O85" s="13">
        <f t="shared" si="126"/>
        <v>0</v>
      </c>
      <c r="P85" s="13">
        <f t="shared" si="119"/>
        <v>212</v>
      </c>
      <c r="Q85" s="28" t="str">
        <f t="shared" si="120"/>
        <v>D4</v>
      </c>
      <c r="S85" s="64" t="s">
        <v>249</v>
      </c>
    </row>
    <row r="86" spans="2:19" s="2" customFormat="1" ht="16.5" customHeight="1">
      <c r="B86" s="132" t="s">
        <v>1242</v>
      </c>
      <c r="C86" s="10" t="str">
        <f t="shared" ref="C86" si="136">"FF01"&amp;E86&amp;""&amp;F86&amp;G86&amp;H86&amp;I86</f>
        <v>FF01A0330014E8</v>
      </c>
      <c r="D86" s="5" t="s">
        <v>24</v>
      </c>
      <c r="E86" s="3" t="s">
        <v>23</v>
      </c>
      <c r="F86" s="3">
        <v>33</v>
      </c>
      <c r="G86" s="5" t="s">
        <v>16</v>
      </c>
      <c r="H86" s="5" t="s">
        <v>62</v>
      </c>
      <c r="I86" s="3" t="str">
        <f t="shared" ref="I86" si="137">Q86</f>
        <v>E8</v>
      </c>
      <c r="J86" s="12" t="s">
        <v>9</v>
      </c>
      <c r="K86" s="13">
        <f t="shared" ref="K86" si="138">HEX2DEC(D86)</f>
        <v>1</v>
      </c>
      <c r="L86" s="13">
        <f t="shared" ref="L86" si="139">HEX2DEC(E86)</f>
        <v>160</v>
      </c>
      <c r="M86" s="13">
        <f t="shared" ref="M86" si="140">HEX2DEC(F86)</f>
        <v>51</v>
      </c>
      <c r="N86" s="13">
        <f t="shared" ref="N86" si="141">HEX2DEC(G86)</f>
        <v>0</v>
      </c>
      <c r="O86" s="13">
        <f t="shared" ref="O86" si="142">HEX2DEC(H86)</f>
        <v>20</v>
      </c>
      <c r="P86" s="13">
        <f t="shared" ref="P86" si="143">SUM(K86:O86)</f>
        <v>232</v>
      </c>
      <c r="Q86" s="28" t="str">
        <f t="shared" ref="Q86" si="144">REPT("0",2-LEN(RIGHT(DEC2HEX(P86), 2)))&amp;RIGHT(DEC2HEX(P86), 2)</f>
        <v>E8</v>
      </c>
      <c r="S86" s="64" t="s">
        <v>1986</v>
      </c>
    </row>
    <row r="87" spans="2:19" s="2" customFormat="1" ht="16.5" customHeight="1">
      <c r="B87" s="132" t="s">
        <v>142</v>
      </c>
      <c r="C87" s="10" t="str">
        <f t="shared" si="121"/>
        <v>FF01A0330028FC</v>
      </c>
      <c r="D87" s="5" t="s">
        <v>24</v>
      </c>
      <c r="E87" s="3" t="s">
        <v>23</v>
      </c>
      <c r="F87" s="3">
        <v>33</v>
      </c>
      <c r="G87" s="5" t="s">
        <v>16</v>
      </c>
      <c r="H87" s="5" t="s">
        <v>140</v>
      </c>
      <c r="I87" s="3" t="str">
        <f t="shared" si="118"/>
        <v>FC</v>
      </c>
      <c r="J87" s="12" t="s">
        <v>9</v>
      </c>
      <c r="K87" s="13">
        <f t="shared" si="122"/>
        <v>1</v>
      </c>
      <c r="L87" s="13">
        <f t="shared" si="123"/>
        <v>160</v>
      </c>
      <c r="M87" s="13">
        <f t="shared" si="124"/>
        <v>51</v>
      </c>
      <c r="N87" s="13">
        <f t="shared" si="125"/>
        <v>0</v>
      </c>
      <c r="O87" s="13">
        <f t="shared" si="126"/>
        <v>40</v>
      </c>
      <c r="P87" s="13">
        <f t="shared" si="119"/>
        <v>252</v>
      </c>
      <c r="Q87" s="28" t="str">
        <f t="shared" si="120"/>
        <v>FC</v>
      </c>
      <c r="S87" s="64" t="s">
        <v>250</v>
      </c>
    </row>
    <row r="88" spans="2:19" s="2" customFormat="1" ht="16.5" customHeight="1">
      <c r="B88" s="132" t="s">
        <v>143</v>
      </c>
      <c r="C88" s="10" t="str">
        <f t="shared" si="121"/>
        <v>FF01A0340000D5</v>
      </c>
      <c r="D88" s="5" t="s">
        <v>24</v>
      </c>
      <c r="E88" s="3" t="s">
        <v>23</v>
      </c>
      <c r="F88" s="3">
        <v>34</v>
      </c>
      <c r="G88" s="5" t="s">
        <v>16</v>
      </c>
      <c r="H88" s="5" t="s">
        <v>16</v>
      </c>
      <c r="I88" s="3" t="str">
        <f t="shared" si="118"/>
        <v>D5</v>
      </c>
      <c r="J88" s="12" t="s">
        <v>9</v>
      </c>
      <c r="K88" s="13">
        <f t="shared" si="122"/>
        <v>1</v>
      </c>
      <c r="L88" s="13">
        <f t="shared" si="123"/>
        <v>160</v>
      </c>
      <c r="M88" s="13">
        <f t="shared" si="124"/>
        <v>52</v>
      </c>
      <c r="N88" s="13">
        <f t="shared" si="125"/>
        <v>0</v>
      </c>
      <c r="O88" s="13">
        <f t="shared" si="126"/>
        <v>0</v>
      </c>
      <c r="P88" s="13">
        <f t="shared" si="119"/>
        <v>213</v>
      </c>
      <c r="Q88" s="28" t="str">
        <f t="shared" si="120"/>
        <v>D5</v>
      </c>
      <c r="S88" s="64" t="s">
        <v>251</v>
      </c>
    </row>
    <row r="89" spans="2:19" s="2" customFormat="1" ht="16.5" customHeight="1">
      <c r="B89" s="132" t="s">
        <v>144</v>
      </c>
      <c r="C89" s="10" t="str">
        <f t="shared" si="121"/>
        <v>FF01A0340001D6</v>
      </c>
      <c r="D89" s="5" t="s">
        <v>24</v>
      </c>
      <c r="E89" s="3" t="s">
        <v>23</v>
      </c>
      <c r="F89" s="3">
        <v>34</v>
      </c>
      <c r="G89" s="5" t="s">
        <v>16</v>
      </c>
      <c r="H89" s="5" t="s">
        <v>24</v>
      </c>
      <c r="I89" s="3" t="str">
        <f t="shared" si="118"/>
        <v>D6</v>
      </c>
      <c r="J89" s="12" t="s">
        <v>9</v>
      </c>
      <c r="K89" s="13">
        <f t="shared" si="122"/>
        <v>1</v>
      </c>
      <c r="L89" s="13">
        <f t="shared" si="123"/>
        <v>160</v>
      </c>
      <c r="M89" s="13">
        <f t="shared" si="124"/>
        <v>52</v>
      </c>
      <c r="N89" s="13">
        <f t="shared" si="125"/>
        <v>0</v>
      </c>
      <c r="O89" s="13">
        <f t="shared" si="126"/>
        <v>1</v>
      </c>
      <c r="P89" s="13">
        <f t="shared" si="119"/>
        <v>214</v>
      </c>
      <c r="Q89" s="28" t="str">
        <f t="shared" si="120"/>
        <v>D6</v>
      </c>
      <c r="S89" s="64" t="s">
        <v>252</v>
      </c>
    </row>
    <row r="90" spans="2:19" s="2" customFormat="1" ht="16.5" customHeight="1">
      <c r="B90" s="132" t="s">
        <v>25</v>
      </c>
      <c r="C90" s="10" t="str">
        <f t="shared" si="121"/>
        <v>FF01A0350000D6</v>
      </c>
      <c r="D90" s="5" t="s">
        <v>24</v>
      </c>
      <c r="E90" s="3" t="s">
        <v>23</v>
      </c>
      <c r="F90" s="3">
        <v>35</v>
      </c>
      <c r="G90" s="5" t="s">
        <v>16</v>
      </c>
      <c r="H90" s="5" t="s">
        <v>16</v>
      </c>
      <c r="I90" s="3" t="str">
        <f t="shared" si="118"/>
        <v>D6</v>
      </c>
      <c r="J90" s="12" t="s">
        <v>9</v>
      </c>
      <c r="K90" s="13">
        <f t="shared" si="122"/>
        <v>1</v>
      </c>
      <c r="L90" s="13">
        <f t="shared" si="123"/>
        <v>160</v>
      </c>
      <c r="M90" s="13">
        <f t="shared" si="124"/>
        <v>53</v>
      </c>
      <c r="N90" s="13">
        <f t="shared" si="125"/>
        <v>0</v>
      </c>
      <c r="O90" s="13">
        <f t="shared" si="126"/>
        <v>0</v>
      </c>
      <c r="P90" s="13">
        <f t="shared" si="119"/>
        <v>214</v>
      </c>
      <c r="Q90" s="28" t="str">
        <f t="shared" si="120"/>
        <v>D6</v>
      </c>
      <c r="S90" s="64" t="s">
        <v>253</v>
      </c>
    </row>
    <row r="91" spans="2:19" s="2" customFormat="1" ht="16.5" customHeight="1">
      <c r="B91" s="132" t="s">
        <v>26</v>
      </c>
      <c r="C91" s="10" t="str">
        <f t="shared" si="121"/>
        <v>FF01A0350001D7</v>
      </c>
      <c r="D91" s="5" t="s">
        <v>24</v>
      </c>
      <c r="E91" s="3" t="s">
        <v>23</v>
      </c>
      <c r="F91" s="3">
        <v>35</v>
      </c>
      <c r="G91" s="5" t="s">
        <v>16</v>
      </c>
      <c r="H91" s="5" t="s">
        <v>24</v>
      </c>
      <c r="I91" s="3" t="str">
        <f t="shared" si="118"/>
        <v>D7</v>
      </c>
      <c r="J91" s="12" t="s">
        <v>9</v>
      </c>
      <c r="K91" s="13">
        <f t="shared" si="122"/>
        <v>1</v>
      </c>
      <c r="L91" s="13">
        <f t="shared" si="123"/>
        <v>160</v>
      </c>
      <c r="M91" s="13">
        <f t="shared" si="124"/>
        <v>53</v>
      </c>
      <c r="N91" s="13">
        <f t="shared" si="125"/>
        <v>0</v>
      </c>
      <c r="O91" s="13">
        <f t="shared" si="126"/>
        <v>1</v>
      </c>
      <c r="P91" s="13">
        <f t="shared" si="119"/>
        <v>215</v>
      </c>
      <c r="Q91" s="28" t="str">
        <f t="shared" si="120"/>
        <v>D7</v>
      </c>
      <c r="S91" s="64" t="s">
        <v>254</v>
      </c>
    </row>
    <row r="92" spans="2:19" s="2" customFormat="1" ht="16.5" customHeight="1">
      <c r="B92" s="133" t="s">
        <v>27</v>
      </c>
      <c r="C92" s="17" t="str">
        <f t="shared" si="121"/>
        <v>FF01A0350002D8</v>
      </c>
      <c r="D92" s="16" t="s">
        <v>24</v>
      </c>
      <c r="E92" s="14" t="s">
        <v>23</v>
      </c>
      <c r="F92" s="14">
        <v>35</v>
      </c>
      <c r="G92" s="16" t="s">
        <v>16</v>
      </c>
      <c r="H92" s="16" t="s">
        <v>17</v>
      </c>
      <c r="I92" s="14" t="str">
        <f t="shared" si="118"/>
        <v>D8</v>
      </c>
      <c r="J92" s="18" t="s">
        <v>9</v>
      </c>
      <c r="K92" s="19">
        <f t="shared" si="122"/>
        <v>1</v>
      </c>
      <c r="L92" s="19">
        <f t="shared" si="123"/>
        <v>160</v>
      </c>
      <c r="M92" s="19">
        <f t="shared" si="124"/>
        <v>53</v>
      </c>
      <c r="N92" s="19">
        <f t="shared" si="125"/>
        <v>0</v>
      </c>
      <c r="O92" s="19">
        <f t="shared" si="126"/>
        <v>2</v>
      </c>
      <c r="P92" s="19">
        <f t="shared" si="119"/>
        <v>216</v>
      </c>
      <c r="Q92" s="59" t="str">
        <f t="shared" si="120"/>
        <v>D8</v>
      </c>
      <c r="S92" s="64" t="s">
        <v>255</v>
      </c>
    </row>
    <row r="93" spans="2:19" s="2" customFormat="1" ht="16.5" customHeight="1">
      <c r="B93" s="133" t="s">
        <v>145</v>
      </c>
      <c r="C93" s="17" t="str">
        <f t="shared" si="121"/>
        <v>FF01A0360000D7</v>
      </c>
      <c r="D93" s="16" t="s">
        <v>24</v>
      </c>
      <c r="E93" s="14" t="s">
        <v>23</v>
      </c>
      <c r="F93" s="14">
        <v>36</v>
      </c>
      <c r="G93" s="16" t="s">
        <v>16</v>
      </c>
      <c r="H93" s="16" t="s">
        <v>16</v>
      </c>
      <c r="I93" s="14" t="str">
        <f t="shared" si="118"/>
        <v>D7</v>
      </c>
      <c r="J93" s="18" t="s">
        <v>9</v>
      </c>
      <c r="K93" s="19">
        <f t="shared" si="122"/>
        <v>1</v>
      </c>
      <c r="L93" s="19">
        <f t="shared" si="123"/>
        <v>160</v>
      </c>
      <c r="M93" s="19">
        <f t="shared" si="124"/>
        <v>54</v>
      </c>
      <c r="N93" s="19">
        <f t="shared" si="125"/>
        <v>0</v>
      </c>
      <c r="O93" s="19">
        <f t="shared" si="126"/>
        <v>0</v>
      </c>
      <c r="P93" s="19">
        <f t="shared" si="119"/>
        <v>215</v>
      </c>
      <c r="Q93" s="59" t="str">
        <f t="shared" si="120"/>
        <v>D7</v>
      </c>
      <c r="S93" s="64" t="s">
        <v>256</v>
      </c>
    </row>
    <row r="94" spans="2:19" s="2" customFormat="1" ht="16.5" customHeight="1">
      <c r="B94" s="133" t="s">
        <v>146</v>
      </c>
      <c r="C94" s="17" t="str">
        <f t="shared" si="121"/>
        <v>FF01A0360001D8</v>
      </c>
      <c r="D94" s="16" t="s">
        <v>24</v>
      </c>
      <c r="E94" s="14" t="s">
        <v>23</v>
      </c>
      <c r="F94" s="14">
        <v>36</v>
      </c>
      <c r="G94" s="16" t="s">
        <v>16</v>
      </c>
      <c r="H94" s="16" t="s">
        <v>24</v>
      </c>
      <c r="I94" s="14" t="str">
        <f t="shared" si="118"/>
        <v>D8</v>
      </c>
      <c r="J94" s="18" t="s">
        <v>9</v>
      </c>
      <c r="K94" s="19">
        <f t="shared" si="122"/>
        <v>1</v>
      </c>
      <c r="L94" s="19">
        <f t="shared" si="123"/>
        <v>160</v>
      </c>
      <c r="M94" s="19">
        <f t="shared" si="124"/>
        <v>54</v>
      </c>
      <c r="N94" s="19">
        <f t="shared" si="125"/>
        <v>0</v>
      </c>
      <c r="O94" s="19">
        <f t="shared" si="126"/>
        <v>1</v>
      </c>
      <c r="P94" s="19">
        <f t="shared" si="119"/>
        <v>216</v>
      </c>
      <c r="Q94" s="59" t="str">
        <f t="shared" si="120"/>
        <v>D8</v>
      </c>
      <c r="S94" s="64" t="s">
        <v>257</v>
      </c>
    </row>
    <row r="95" spans="2:19" s="2" customFormat="1" ht="16.5" customHeight="1">
      <c r="B95" s="133" t="s">
        <v>147</v>
      </c>
      <c r="C95" s="17" t="str">
        <f t="shared" si="121"/>
        <v>FF01A0360002D9</v>
      </c>
      <c r="D95" s="16" t="s">
        <v>24</v>
      </c>
      <c r="E95" s="14" t="s">
        <v>23</v>
      </c>
      <c r="F95" s="14">
        <v>36</v>
      </c>
      <c r="G95" s="16" t="s">
        <v>16</v>
      </c>
      <c r="H95" s="16" t="s">
        <v>17</v>
      </c>
      <c r="I95" s="14" t="str">
        <f t="shared" si="118"/>
        <v>D9</v>
      </c>
      <c r="J95" s="18" t="s">
        <v>9</v>
      </c>
      <c r="K95" s="19">
        <f t="shared" si="122"/>
        <v>1</v>
      </c>
      <c r="L95" s="19">
        <f t="shared" si="123"/>
        <v>160</v>
      </c>
      <c r="M95" s="19">
        <f t="shared" si="124"/>
        <v>54</v>
      </c>
      <c r="N95" s="19">
        <f t="shared" si="125"/>
        <v>0</v>
      </c>
      <c r="O95" s="19">
        <f t="shared" si="126"/>
        <v>2</v>
      </c>
      <c r="P95" s="19">
        <f t="shared" si="119"/>
        <v>217</v>
      </c>
      <c r="Q95" s="59" t="str">
        <f t="shared" si="120"/>
        <v>D9</v>
      </c>
      <c r="S95" s="64" t="s">
        <v>258</v>
      </c>
    </row>
    <row r="96" spans="2:19" s="2" customFormat="1" ht="16.5" customHeight="1" thickBot="1">
      <c r="B96" s="137" t="s">
        <v>148</v>
      </c>
      <c r="C96" s="33" t="str">
        <f t="shared" si="121"/>
        <v>FF01A0360003DA</v>
      </c>
      <c r="D96" s="32" t="s">
        <v>24</v>
      </c>
      <c r="E96" s="30" t="s">
        <v>23</v>
      </c>
      <c r="F96" s="30">
        <v>36</v>
      </c>
      <c r="G96" s="32" t="s">
        <v>16</v>
      </c>
      <c r="H96" s="32" t="s">
        <v>91</v>
      </c>
      <c r="I96" s="30" t="str">
        <f t="shared" si="118"/>
        <v>DA</v>
      </c>
      <c r="J96" s="34" t="s">
        <v>9</v>
      </c>
      <c r="K96" s="35">
        <f t="shared" si="122"/>
        <v>1</v>
      </c>
      <c r="L96" s="35">
        <f t="shared" si="123"/>
        <v>160</v>
      </c>
      <c r="M96" s="35">
        <f t="shared" si="124"/>
        <v>54</v>
      </c>
      <c r="N96" s="35">
        <f t="shared" si="125"/>
        <v>0</v>
      </c>
      <c r="O96" s="35">
        <f t="shared" si="126"/>
        <v>3</v>
      </c>
      <c r="P96" s="35">
        <f t="shared" si="119"/>
        <v>218</v>
      </c>
      <c r="Q96" s="36" t="str">
        <f t="shared" si="120"/>
        <v>DA</v>
      </c>
      <c r="S96" s="64" t="s">
        <v>259</v>
      </c>
    </row>
    <row r="97" spans="2:19" s="2" customFormat="1" ht="16.5" customHeight="1">
      <c r="B97" s="134" t="s">
        <v>157</v>
      </c>
      <c r="C97" s="24" t="str">
        <f t="shared" ref="C97" si="145">"FF01"&amp;E97&amp;""&amp;F97&amp;G97&amp;H97&amp;I97</f>
        <v>FF01A1400000E2</v>
      </c>
      <c r="D97" s="61" t="s">
        <v>24</v>
      </c>
      <c r="E97" s="24" t="s">
        <v>80</v>
      </c>
      <c r="F97" s="24">
        <v>40</v>
      </c>
      <c r="G97" s="61" t="s">
        <v>16</v>
      </c>
      <c r="H97" s="61" t="s">
        <v>16</v>
      </c>
      <c r="I97" s="24" t="str">
        <f t="shared" si="118"/>
        <v>E2</v>
      </c>
      <c r="J97" s="24" t="s">
        <v>9</v>
      </c>
      <c r="K97" s="25">
        <f t="shared" ref="K97" si="146">HEX2DEC(D97)</f>
        <v>1</v>
      </c>
      <c r="L97" s="25">
        <f t="shared" ref="L97" si="147">HEX2DEC(E97)</f>
        <v>161</v>
      </c>
      <c r="M97" s="25">
        <f t="shared" ref="M97" si="148">HEX2DEC(F97)</f>
        <v>64</v>
      </c>
      <c r="N97" s="25">
        <f t="shared" ref="N97" si="149">HEX2DEC(G97)</f>
        <v>0</v>
      </c>
      <c r="O97" s="25">
        <f t="shared" ref="O97" si="150">HEX2DEC(H97)</f>
        <v>0</v>
      </c>
      <c r="P97" s="25">
        <f t="shared" si="119"/>
        <v>226</v>
      </c>
      <c r="Q97" s="26" t="str">
        <f t="shared" si="120"/>
        <v>E2</v>
      </c>
      <c r="S97" s="64" t="s">
        <v>260</v>
      </c>
    </row>
    <row r="98" spans="2:19" s="2" customFormat="1" ht="16.5" customHeight="1">
      <c r="B98" s="133" t="s">
        <v>150</v>
      </c>
      <c r="C98" s="17" t="str">
        <f t="shared" si="121"/>
        <v>FF01A0410000E2</v>
      </c>
      <c r="D98" s="16" t="s">
        <v>24</v>
      </c>
      <c r="E98" s="14" t="s">
        <v>23</v>
      </c>
      <c r="F98" s="14">
        <v>41</v>
      </c>
      <c r="G98" s="16" t="s">
        <v>16</v>
      </c>
      <c r="H98" s="16" t="s">
        <v>16</v>
      </c>
      <c r="I98" s="14" t="str">
        <f t="shared" ref="I98" si="151">Q98</f>
        <v>E2</v>
      </c>
      <c r="J98" s="18" t="s">
        <v>9</v>
      </c>
      <c r="K98" s="19">
        <f t="shared" si="122"/>
        <v>1</v>
      </c>
      <c r="L98" s="19">
        <f t="shared" si="123"/>
        <v>160</v>
      </c>
      <c r="M98" s="19">
        <f t="shared" si="124"/>
        <v>65</v>
      </c>
      <c r="N98" s="19">
        <f t="shared" si="125"/>
        <v>0</v>
      </c>
      <c r="O98" s="19">
        <f t="shared" si="126"/>
        <v>0</v>
      </c>
      <c r="P98" s="19">
        <f t="shared" ref="P98" si="152">SUM(K98:O98)</f>
        <v>226</v>
      </c>
      <c r="Q98" s="59" t="str">
        <f t="shared" si="120"/>
        <v>E2</v>
      </c>
      <c r="S98" s="64" t="s">
        <v>261</v>
      </c>
    </row>
    <row r="99" spans="2:19" s="2" customFormat="1" ht="16.5" customHeight="1">
      <c r="B99" s="133" t="s">
        <v>151</v>
      </c>
      <c r="C99" s="17" t="str">
        <f t="shared" si="121"/>
        <v>FF01A0420000E3</v>
      </c>
      <c r="D99" s="16" t="s">
        <v>24</v>
      </c>
      <c r="E99" s="14" t="s">
        <v>23</v>
      </c>
      <c r="F99" s="14">
        <v>42</v>
      </c>
      <c r="G99" s="16" t="s">
        <v>16</v>
      </c>
      <c r="H99" s="16" t="s">
        <v>16</v>
      </c>
      <c r="I99" s="14" t="str">
        <f t="shared" ref="I99:I109" si="153">Q99</f>
        <v>E3</v>
      </c>
      <c r="J99" s="18" t="s">
        <v>9</v>
      </c>
      <c r="K99" s="19">
        <f t="shared" si="122"/>
        <v>1</v>
      </c>
      <c r="L99" s="19">
        <f t="shared" si="123"/>
        <v>160</v>
      </c>
      <c r="M99" s="19">
        <f t="shared" si="124"/>
        <v>66</v>
      </c>
      <c r="N99" s="19">
        <f t="shared" si="125"/>
        <v>0</v>
      </c>
      <c r="O99" s="19">
        <f t="shared" si="126"/>
        <v>0</v>
      </c>
      <c r="P99" s="19">
        <f t="shared" ref="P99:P104" si="154">SUM(K99:O99)</f>
        <v>227</v>
      </c>
      <c r="Q99" s="59" t="str">
        <f t="shared" si="120"/>
        <v>E3</v>
      </c>
      <c r="S99" s="64" t="s">
        <v>262</v>
      </c>
    </row>
    <row r="100" spans="2:19" s="2" customFormat="1" ht="16.5" customHeight="1">
      <c r="B100" s="133" t="s">
        <v>152</v>
      </c>
      <c r="C100" s="17" t="str">
        <f t="shared" si="121"/>
        <v>FF01A0420001E4</v>
      </c>
      <c r="D100" s="16" t="s">
        <v>24</v>
      </c>
      <c r="E100" s="14" t="s">
        <v>23</v>
      </c>
      <c r="F100" s="14">
        <v>42</v>
      </c>
      <c r="G100" s="16" t="s">
        <v>16</v>
      </c>
      <c r="H100" s="16" t="s">
        <v>24</v>
      </c>
      <c r="I100" s="14" t="str">
        <f t="shared" si="153"/>
        <v>E4</v>
      </c>
      <c r="J100" s="18" t="s">
        <v>9</v>
      </c>
      <c r="K100" s="19">
        <f t="shared" si="122"/>
        <v>1</v>
      </c>
      <c r="L100" s="19">
        <f t="shared" si="123"/>
        <v>160</v>
      </c>
      <c r="M100" s="19">
        <f t="shared" si="124"/>
        <v>66</v>
      </c>
      <c r="N100" s="19">
        <f t="shared" si="125"/>
        <v>0</v>
      </c>
      <c r="O100" s="19">
        <f t="shared" si="126"/>
        <v>1</v>
      </c>
      <c r="P100" s="19">
        <f t="shared" si="154"/>
        <v>228</v>
      </c>
      <c r="Q100" s="59" t="str">
        <f t="shared" si="120"/>
        <v>E4</v>
      </c>
      <c r="S100" s="64" t="s">
        <v>263</v>
      </c>
    </row>
    <row r="101" spans="2:19" s="2" customFormat="1" ht="16.5" customHeight="1">
      <c r="B101" s="133" t="s">
        <v>153</v>
      </c>
      <c r="C101" s="17" t="str">
        <f t="shared" si="121"/>
        <v>FF01A0420002E5</v>
      </c>
      <c r="D101" s="16" t="s">
        <v>24</v>
      </c>
      <c r="E101" s="14" t="s">
        <v>23</v>
      </c>
      <c r="F101" s="14">
        <v>42</v>
      </c>
      <c r="G101" s="16" t="s">
        <v>16</v>
      </c>
      <c r="H101" s="16" t="s">
        <v>17</v>
      </c>
      <c r="I101" s="14" t="str">
        <f t="shared" si="153"/>
        <v>E5</v>
      </c>
      <c r="J101" s="18" t="s">
        <v>9</v>
      </c>
      <c r="K101" s="19">
        <f t="shared" si="122"/>
        <v>1</v>
      </c>
      <c r="L101" s="19">
        <f t="shared" si="123"/>
        <v>160</v>
      </c>
      <c r="M101" s="19">
        <f t="shared" si="124"/>
        <v>66</v>
      </c>
      <c r="N101" s="19">
        <f t="shared" si="125"/>
        <v>0</v>
      </c>
      <c r="O101" s="19">
        <f t="shared" si="126"/>
        <v>2</v>
      </c>
      <c r="P101" s="19">
        <f t="shared" si="154"/>
        <v>229</v>
      </c>
      <c r="Q101" s="59" t="str">
        <f t="shared" si="120"/>
        <v>E5</v>
      </c>
      <c r="S101" s="64" t="s">
        <v>264</v>
      </c>
    </row>
    <row r="102" spans="2:19" s="2" customFormat="1" ht="16.5" customHeight="1">
      <c r="B102" s="133" t="s">
        <v>154</v>
      </c>
      <c r="C102" s="17" t="str">
        <f t="shared" si="121"/>
        <v>FF01A0430001E5</v>
      </c>
      <c r="D102" s="16" t="s">
        <v>24</v>
      </c>
      <c r="E102" s="14" t="s">
        <v>23</v>
      </c>
      <c r="F102" s="14">
        <v>43</v>
      </c>
      <c r="G102" s="16" t="s">
        <v>16</v>
      </c>
      <c r="H102" s="16" t="s">
        <v>24</v>
      </c>
      <c r="I102" s="14" t="str">
        <f t="shared" si="153"/>
        <v>E5</v>
      </c>
      <c r="J102" s="18" t="s">
        <v>9</v>
      </c>
      <c r="K102" s="19">
        <f t="shared" si="122"/>
        <v>1</v>
      </c>
      <c r="L102" s="19">
        <f t="shared" si="123"/>
        <v>160</v>
      </c>
      <c r="M102" s="19">
        <f t="shared" si="124"/>
        <v>67</v>
      </c>
      <c r="N102" s="19">
        <f t="shared" si="125"/>
        <v>0</v>
      </c>
      <c r="O102" s="19">
        <f t="shared" si="126"/>
        <v>1</v>
      </c>
      <c r="P102" s="19">
        <f t="shared" si="154"/>
        <v>229</v>
      </c>
      <c r="Q102" s="59" t="str">
        <f t="shared" si="120"/>
        <v>E5</v>
      </c>
      <c r="S102" s="64" t="s">
        <v>265</v>
      </c>
    </row>
    <row r="103" spans="2:19" s="2" customFormat="1" ht="16.5" customHeight="1">
      <c r="B103" s="133" t="s">
        <v>1243</v>
      </c>
      <c r="C103" s="17" t="str">
        <f t="shared" ref="C103" si="155">"FF01"&amp;E103&amp;""&amp;F103&amp;G103&amp;H103&amp;I103</f>
        <v>FF01A043001E02</v>
      </c>
      <c r="D103" s="16" t="s">
        <v>24</v>
      </c>
      <c r="E103" s="14" t="s">
        <v>23</v>
      </c>
      <c r="F103" s="14">
        <v>43</v>
      </c>
      <c r="G103" s="16" t="s">
        <v>16</v>
      </c>
      <c r="H103" s="16" t="s">
        <v>63</v>
      </c>
      <c r="I103" s="14" t="str">
        <f t="shared" ref="I103" si="156">Q103</f>
        <v>02</v>
      </c>
      <c r="J103" s="18" t="s">
        <v>9</v>
      </c>
      <c r="K103" s="19">
        <f t="shared" ref="K103" si="157">HEX2DEC(D103)</f>
        <v>1</v>
      </c>
      <c r="L103" s="19">
        <f t="shared" ref="L103" si="158">HEX2DEC(E103)</f>
        <v>160</v>
      </c>
      <c r="M103" s="19">
        <f t="shared" ref="M103" si="159">HEX2DEC(F103)</f>
        <v>67</v>
      </c>
      <c r="N103" s="19">
        <f t="shared" ref="N103" si="160">HEX2DEC(G103)</f>
        <v>0</v>
      </c>
      <c r="O103" s="19">
        <f t="shared" ref="O103" si="161">HEX2DEC(H103)</f>
        <v>30</v>
      </c>
      <c r="P103" s="19">
        <f t="shared" ref="P103" si="162">SUM(K103:O103)</f>
        <v>258</v>
      </c>
      <c r="Q103" s="59" t="str">
        <f t="shared" ref="Q103" si="163">REPT("0",2-LEN(RIGHT(DEC2HEX(P103), 2)))&amp;RIGHT(DEC2HEX(P103), 2)</f>
        <v>02</v>
      </c>
      <c r="S103" s="64" t="s">
        <v>1987</v>
      </c>
    </row>
    <row r="104" spans="2:19" s="2" customFormat="1" ht="16.5" customHeight="1" thickBot="1">
      <c r="B104" s="137" t="s">
        <v>155</v>
      </c>
      <c r="C104" s="33" t="str">
        <f t="shared" si="121"/>
        <v>FF01A04300B498</v>
      </c>
      <c r="D104" s="32" t="s">
        <v>24</v>
      </c>
      <c r="E104" s="30" t="s">
        <v>23</v>
      </c>
      <c r="F104" s="32">
        <v>43</v>
      </c>
      <c r="G104" s="32" t="s">
        <v>16</v>
      </c>
      <c r="H104" s="32" t="s">
        <v>124</v>
      </c>
      <c r="I104" s="30" t="str">
        <f t="shared" si="153"/>
        <v>98</v>
      </c>
      <c r="J104" s="34" t="s">
        <v>9</v>
      </c>
      <c r="K104" s="35">
        <f t="shared" si="122"/>
        <v>1</v>
      </c>
      <c r="L104" s="35">
        <f t="shared" si="123"/>
        <v>160</v>
      </c>
      <c r="M104" s="35">
        <f t="shared" si="124"/>
        <v>67</v>
      </c>
      <c r="N104" s="35">
        <f t="shared" si="125"/>
        <v>0</v>
      </c>
      <c r="O104" s="35">
        <f t="shared" si="126"/>
        <v>180</v>
      </c>
      <c r="P104" s="35">
        <f t="shared" si="154"/>
        <v>408</v>
      </c>
      <c r="Q104" s="36" t="str">
        <f t="shared" si="120"/>
        <v>98</v>
      </c>
      <c r="S104" s="64" t="s">
        <v>266</v>
      </c>
    </row>
    <row r="105" spans="2:19" s="2" customFormat="1" ht="16.5" customHeight="1">
      <c r="B105" s="136" t="s">
        <v>158</v>
      </c>
      <c r="C105" s="87" t="str">
        <f t="shared" ref="C105" si="164">"FF01"&amp;E105&amp;""&amp;F105&amp;G105&amp;H105&amp;I105</f>
        <v>FF01A1500000F2</v>
      </c>
      <c r="D105" s="100" t="s">
        <v>24</v>
      </c>
      <c r="E105" s="87" t="s">
        <v>80</v>
      </c>
      <c r="F105" s="100" t="s">
        <v>162</v>
      </c>
      <c r="G105" s="100" t="s">
        <v>16</v>
      </c>
      <c r="H105" s="100" t="s">
        <v>16</v>
      </c>
      <c r="I105" s="87" t="str">
        <f>Q105</f>
        <v>F2</v>
      </c>
      <c r="J105" s="87" t="s">
        <v>9</v>
      </c>
      <c r="K105" s="88">
        <f t="shared" ref="K105" si="165">HEX2DEC(D105)</f>
        <v>1</v>
      </c>
      <c r="L105" s="88">
        <f t="shared" ref="L105" si="166">HEX2DEC(E105)</f>
        <v>161</v>
      </c>
      <c r="M105" s="88">
        <f t="shared" ref="M105" si="167">HEX2DEC(F105)</f>
        <v>80</v>
      </c>
      <c r="N105" s="88">
        <f t="shared" ref="N105" si="168">HEX2DEC(G105)</f>
        <v>0</v>
      </c>
      <c r="O105" s="88">
        <f t="shared" ref="O105" si="169">HEX2DEC(H105)</f>
        <v>0</v>
      </c>
      <c r="P105" s="88">
        <f>SUM(K105:O105)</f>
        <v>242</v>
      </c>
      <c r="Q105" s="89" t="str">
        <f t="shared" si="120"/>
        <v>F2</v>
      </c>
      <c r="S105" s="64" t="s">
        <v>267</v>
      </c>
    </row>
    <row r="106" spans="2:19" s="2" customFormat="1" ht="16.5" customHeight="1">
      <c r="B106" s="63" t="s">
        <v>163</v>
      </c>
      <c r="C106" s="12" t="str">
        <f t="shared" si="121"/>
        <v>FF01A0510000F2</v>
      </c>
      <c r="D106" s="60" t="s">
        <v>24</v>
      </c>
      <c r="E106" s="12" t="s">
        <v>23</v>
      </c>
      <c r="F106" s="60" t="s">
        <v>166</v>
      </c>
      <c r="G106" s="60" t="s">
        <v>16</v>
      </c>
      <c r="H106" s="60" t="s">
        <v>16</v>
      </c>
      <c r="I106" s="12" t="str">
        <f t="shared" ref="I106:I107" si="170">Q106</f>
        <v>F2</v>
      </c>
      <c r="J106" s="12" t="s">
        <v>9</v>
      </c>
      <c r="K106" s="13">
        <f t="shared" si="122"/>
        <v>1</v>
      </c>
      <c r="L106" s="13">
        <f t="shared" si="123"/>
        <v>160</v>
      </c>
      <c r="M106" s="13">
        <f t="shared" si="124"/>
        <v>81</v>
      </c>
      <c r="N106" s="13">
        <f t="shared" si="125"/>
        <v>0</v>
      </c>
      <c r="O106" s="13">
        <f t="shared" si="126"/>
        <v>0</v>
      </c>
      <c r="P106" s="13">
        <f t="shared" ref="P106:P107" si="171">SUM(K106:O106)</f>
        <v>242</v>
      </c>
      <c r="Q106" s="28" t="str">
        <f t="shared" ref="Q106:Q107" si="172">REPT("0",2-LEN(RIGHT(DEC2HEX(P106), 2)))&amp;RIGHT(DEC2HEX(P106), 2)</f>
        <v>F2</v>
      </c>
      <c r="S106" s="64" t="s">
        <v>2359</v>
      </c>
    </row>
    <row r="107" spans="2:19" s="2" customFormat="1" ht="16.5" customHeight="1">
      <c r="B107" s="63" t="s">
        <v>164</v>
      </c>
      <c r="C107" s="12" t="str">
        <f t="shared" si="121"/>
        <v>FF01A0520000F3</v>
      </c>
      <c r="D107" s="60" t="s">
        <v>24</v>
      </c>
      <c r="E107" s="12" t="s">
        <v>23</v>
      </c>
      <c r="F107" s="60" t="s">
        <v>167</v>
      </c>
      <c r="G107" s="60" t="s">
        <v>16</v>
      </c>
      <c r="H107" s="60" t="s">
        <v>16</v>
      </c>
      <c r="I107" s="12" t="str">
        <f t="shared" si="170"/>
        <v>F3</v>
      </c>
      <c r="J107" s="12" t="s">
        <v>9</v>
      </c>
      <c r="K107" s="13">
        <f t="shared" si="122"/>
        <v>1</v>
      </c>
      <c r="L107" s="13">
        <f t="shared" si="123"/>
        <v>160</v>
      </c>
      <c r="M107" s="13">
        <f t="shared" si="124"/>
        <v>82</v>
      </c>
      <c r="N107" s="13">
        <f t="shared" si="125"/>
        <v>0</v>
      </c>
      <c r="O107" s="13">
        <f t="shared" si="126"/>
        <v>0</v>
      </c>
      <c r="P107" s="13">
        <f t="shared" si="171"/>
        <v>243</v>
      </c>
      <c r="Q107" s="28" t="str">
        <f t="shared" si="172"/>
        <v>F3</v>
      </c>
      <c r="S107" s="64" t="s">
        <v>268</v>
      </c>
    </row>
    <row r="108" spans="2:19" s="2" customFormat="1" ht="16.5" customHeight="1">
      <c r="B108" s="63" t="s">
        <v>165</v>
      </c>
      <c r="C108" s="12" t="str">
        <f t="shared" si="121"/>
        <v>FF01A0520001F4</v>
      </c>
      <c r="D108" s="60" t="s">
        <v>24</v>
      </c>
      <c r="E108" s="12" t="s">
        <v>23</v>
      </c>
      <c r="F108" s="60" t="s">
        <v>167</v>
      </c>
      <c r="G108" s="60" t="s">
        <v>16</v>
      </c>
      <c r="H108" s="60" t="s">
        <v>24</v>
      </c>
      <c r="I108" s="12" t="str">
        <f t="shared" si="153"/>
        <v>F4</v>
      </c>
      <c r="J108" s="12" t="s">
        <v>9</v>
      </c>
      <c r="K108" s="13">
        <f t="shared" si="122"/>
        <v>1</v>
      </c>
      <c r="L108" s="13">
        <f t="shared" si="123"/>
        <v>160</v>
      </c>
      <c r="M108" s="13">
        <f t="shared" si="124"/>
        <v>82</v>
      </c>
      <c r="N108" s="13">
        <f t="shared" si="125"/>
        <v>0</v>
      </c>
      <c r="O108" s="13">
        <f t="shared" si="126"/>
        <v>1</v>
      </c>
      <c r="P108" s="13">
        <f t="shared" ref="P108:P109" si="173">SUM(K108:O108)</f>
        <v>244</v>
      </c>
      <c r="Q108" s="28" t="str">
        <f t="shared" ref="Q108:Q109" si="174">REPT("0",2-LEN(RIGHT(DEC2HEX(P108), 2)))&amp;RIGHT(DEC2HEX(P108), 2)</f>
        <v>F4</v>
      </c>
      <c r="S108" s="64" t="s">
        <v>269</v>
      </c>
    </row>
    <row r="109" spans="2:19" s="2" customFormat="1" ht="16.5" customHeight="1">
      <c r="B109" s="63" t="s">
        <v>169</v>
      </c>
      <c r="C109" s="12" t="str">
        <f t="shared" si="121"/>
        <v>FF01A0530000F4</v>
      </c>
      <c r="D109" s="60" t="s">
        <v>24</v>
      </c>
      <c r="E109" s="12" t="s">
        <v>23</v>
      </c>
      <c r="F109" s="60" t="s">
        <v>168</v>
      </c>
      <c r="G109" s="60" t="s">
        <v>16</v>
      </c>
      <c r="H109" s="60" t="s">
        <v>16</v>
      </c>
      <c r="I109" s="12" t="str">
        <f t="shared" si="153"/>
        <v>F4</v>
      </c>
      <c r="J109" s="12" t="s">
        <v>9</v>
      </c>
      <c r="K109" s="13">
        <f t="shared" si="122"/>
        <v>1</v>
      </c>
      <c r="L109" s="13">
        <f t="shared" si="123"/>
        <v>160</v>
      </c>
      <c r="M109" s="13">
        <f t="shared" si="124"/>
        <v>83</v>
      </c>
      <c r="N109" s="13">
        <f t="shared" si="125"/>
        <v>0</v>
      </c>
      <c r="O109" s="13">
        <f t="shared" si="126"/>
        <v>0</v>
      </c>
      <c r="P109" s="13">
        <f t="shared" si="173"/>
        <v>244</v>
      </c>
      <c r="Q109" s="28" t="str">
        <f t="shared" si="174"/>
        <v>F4</v>
      </c>
      <c r="S109" s="64" t="s">
        <v>270</v>
      </c>
    </row>
    <row r="110" spans="2:19" s="2" customFormat="1" ht="16.5" customHeight="1" thickBot="1">
      <c r="B110" s="65" t="s">
        <v>170</v>
      </c>
      <c r="C110" s="18" t="str">
        <f t="shared" si="121"/>
        <v>FF01A0530001F5</v>
      </c>
      <c r="D110" s="66" t="s">
        <v>24</v>
      </c>
      <c r="E110" s="18" t="s">
        <v>23</v>
      </c>
      <c r="F110" s="66" t="s">
        <v>168</v>
      </c>
      <c r="G110" s="66" t="s">
        <v>16</v>
      </c>
      <c r="H110" s="66" t="s">
        <v>24</v>
      </c>
      <c r="I110" s="18" t="str">
        <f t="shared" ref="I110" si="175">Q110</f>
        <v>F5</v>
      </c>
      <c r="J110" s="18" t="s">
        <v>9</v>
      </c>
      <c r="K110" s="19">
        <f t="shared" si="122"/>
        <v>1</v>
      </c>
      <c r="L110" s="19">
        <f t="shared" si="123"/>
        <v>160</v>
      </c>
      <c r="M110" s="19">
        <f t="shared" si="124"/>
        <v>83</v>
      </c>
      <c r="N110" s="19">
        <f t="shared" si="125"/>
        <v>0</v>
      </c>
      <c r="O110" s="19">
        <f t="shared" si="126"/>
        <v>1</v>
      </c>
      <c r="P110" s="19">
        <f t="shared" ref="P110" si="176">SUM(K110:O110)</f>
        <v>245</v>
      </c>
      <c r="Q110" s="59" t="str">
        <f t="shared" ref="Q110" si="177">REPT("0",2-LEN(RIGHT(DEC2HEX(P110), 2)))&amp;RIGHT(DEC2HEX(P110), 2)</f>
        <v>F5</v>
      </c>
      <c r="S110" s="64" t="s">
        <v>271</v>
      </c>
    </row>
    <row r="111" spans="2:19" s="2" customFormat="1" ht="15.75" customHeight="1">
      <c r="B111" s="134" t="s">
        <v>159</v>
      </c>
      <c r="C111" s="24" t="str">
        <f t="shared" ref="C111" si="178">"FF01"&amp;E111&amp;""&amp;F111&amp;G111&amp;H111&amp;I111</f>
        <v>FF01E1000000E2</v>
      </c>
      <c r="D111" s="61" t="s">
        <v>24</v>
      </c>
      <c r="E111" s="24" t="s">
        <v>161</v>
      </c>
      <c r="F111" s="61" t="s">
        <v>16</v>
      </c>
      <c r="G111" s="61" t="s">
        <v>16</v>
      </c>
      <c r="H111" s="61" t="s">
        <v>16</v>
      </c>
      <c r="I111" s="24" t="str">
        <f>Q111</f>
        <v>E2</v>
      </c>
      <c r="J111" s="24" t="s">
        <v>9</v>
      </c>
      <c r="K111" s="25">
        <f t="shared" ref="K111" si="179">HEX2DEC(D111)</f>
        <v>1</v>
      </c>
      <c r="L111" s="25">
        <f t="shared" ref="L111" si="180">HEX2DEC(E111)</f>
        <v>225</v>
      </c>
      <c r="M111" s="25">
        <f t="shared" ref="M111" si="181">HEX2DEC(F111)</f>
        <v>0</v>
      </c>
      <c r="N111" s="25">
        <f t="shared" ref="N111" si="182">HEX2DEC(G111)</f>
        <v>0</v>
      </c>
      <c r="O111" s="25">
        <f t="shared" ref="O111" si="183">HEX2DEC(H111)</f>
        <v>0</v>
      </c>
      <c r="P111" s="25">
        <f t="shared" ref="P111" si="184">SUM(K111:O111)</f>
        <v>226</v>
      </c>
      <c r="Q111" s="26" t="str">
        <f>REPT("0",2-LEN(RIGHT(DEC2HEX(P111), 2)))&amp;RIGHT(DEC2HEX(P111), 2)</f>
        <v>E2</v>
      </c>
      <c r="S111" s="64" t="s">
        <v>2213</v>
      </c>
    </row>
    <row r="112" spans="2:19" s="2" customFormat="1" ht="16.5" customHeight="1">
      <c r="B112" s="63" t="s">
        <v>73</v>
      </c>
      <c r="C112" s="12" t="str">
        <f t="shared" si="121"/>
        <v>FF010055000056</v>
      </c>
      <c r="D112" s="60" t="s">
        <v>24</v>
      </c>
      <c r="E112" s="60" t="s">
        <v>16</v>
      </c>
      <c r="F112" s="60" t="s">
        <v>74</v>
      </c>
      <c r="G112" s="60" t="s">
        <v>16</v>
      </c>
      <c r="H112" s="60" t="s">
        <v>16</v>
      </c>
      <c r="I112" s="12" t="str">
        <f t="shared" ref="I112" si="185">Q112</f>
        <v>56</v>
      </c>
      <c r="J112" s="12" t="s">
        <v>9</v>
      </c>
      <c r="K112" s="13">
        <f t="shared" si="122"/>
        <v>1</v>
      </c>
      <c r="L112" s="13">
        <f t="shared" si="123"/>
        <v>0</v>
      </c>
      <c r="M112" s="13">
        <f t="shared" si="124"/>
        <v>85</v>
      </c>
      <c r="N112" s="13">
        <f t="shared" si="125"/>
        <v>0</v>
      </c>
      <c r="O112" s="13">
        <f t="shared" si="126"/>
        <v>0</v>
      </c>
      <c r="P112" s="13">
        <f t="shared" ref="P112" si="186">SUM(K112:O112)</f>
        <v>86</v>
      </c>
      <c r="Q112" s="28" t="str">
        <f t="shared" ref="Q112" si="187">REPT("0",2-LEN(RIGHT(DEC2HEX(P112), 2)))&amp;RIGHT(DEC2HEX(P112), 2)</f>
        <v>56</v>
      </c>
      <c r="S112" s="64" t="s">
        <v>186</v>
      </c>
    </row>
    <row r="113" spans="2:19" s="2" customFormat="1" ht="16.5" customHeight="1">
      <c r="B113" s="63" t="s">
        <v>75</v>
      </c>
      <c r="C113" s="12" t="str">
        <f t="shared" si="121"/>
        <v>FF010155000057</v>
      </c>
      <c r="D113" s="60" t="s">
        <v>24</v>
      </c>
      <c r="E113" s="60" t="s">
        <v>24</v>
      </c>
      <c r="F113" s="60" t="s">
        <v>74</v>
      </c>
      <c r="G113" s="60" t="s">
        <v>16</v>
      </c>
      <c r="H113" s="60" t="s">
        <v>16</v>
      </c>
      <c r="I113" s="12" t="str">
        <f>Q113</f>
        <v>57</v>
      </c>
      <c r="J113" s="12" t="s">
        <v>9</v>
      </c>
      <c r="K113" s="13">
        <f t="shared" si="122"/>
        <v>1</v>
      </c>
      <c r="L113" s="13">
        <f t="shared" si="123"/>
        <v>1</v>
      </c>
      <c r="M113" s="13">
        <f t="shared" si="124"/>
        <v>85</v>
      </c>
      <c r="N113" s="13">
        <f t="shared" si="125"/>
        <v>0</v>
      </c>
      <c r="O113" s="13">
        <f t="shared" si="126"/>
        <v>0</v>
      </c>
      <c r="P113" s="13">
        <f>SUM(K113:O113)</f>
        <v>87</v>
      </c>
      <c r="Q113" s="28" t="str">
        <f>REPT("0",2-LEN(RIGHT(DEC2HEX(P113), 2)))&amp;RIGHT(DEC2HEX(P113), 2)</f>
        <v>57</v>
      </c>
      <c r="S113" s="64" t="s">
        <v>190</v>
      </c>
    </row>
    <row r="114" spans="2:19" s="2" customFormat="1" ht="16.5" customHeight="1">
      <c r="B114" s="63" t="s">
        <v>108</v>
      </c>
      <c r="C114" s="12" t="str">
        <f t="shared" si="121"/>
        <v>FF01A1100000B2</v>
      </c>
      <c r="D114" s="60" t="s">
        <v>24</v>
      </c>
      <c r="E114" s="60" t="s">
        <v>80</v>
      </c>
      <c r="F114" s="60" t="s">
        <v>109</v>
      </c>
      <c r="G114" s="60" t="s">
        <v>16</v>
      </c>
      <c r="H114" s="60" t="s">
        <v>16</v>
      </c>
      <c r="I114" s="12" t="str">
        <f>Q114</f>
        <v>B2</v>
      </c>
      <c r="J114" s="12" t="s">
        <v>9</v>
      </c>
      <c r="K114" s="13">
        <f t="shared" si="122"/>
        <v>1</v>
      </c>
      <c r="L114" s="13">
        <f t="shared" si="123"/>
        <v>161</v>
      </c>
      <c r="M114" s="13">
        <f t="shared" si="124"/>
        <v>16</v>
      </c>
      <c r="N114" s="13">
        <f t="shared" si="125"/>
        <v>0</v>
      </c>
      <c r="O114" s="13">
        <f t="shared" si="126"/>
        <v>0</v>
      </c>
      <c r="P114" s="13">
        <f>SUM(K114:O114)</f>
        <v>178</v>
      </c>
      <c r="Q114" s="28" t="str">
        <f>REPT("0",2-LEN(RIGHT(DEC2HEX(P114), 2)))&amp;RIGHT(DEC2HEX(P114), 2)</f>
        <v>B2</v>
      </c>
      <c r="S114" s="64" t="s">
        <v>193</v>
      </c>
    </row>
    <row r="115" spans="2:19" s="2" customFormat="1" ht="16.5" customHeight="1">
      <c r="B115" s="63" t="s">
        <v>171</v>
      </c>
      <c r="C115" s="12" t="str">
        <f t="shared" si="121"/>
        <v>FF01E130000012</v>
      </c>
      <c r="D115" s="60" t="s">
        <v>24</v>
      </c>
      <c r="E115" s="12" t="s">
        <v>161</v>
      </c>
      <c r="F115" s="60" t="s">
        <v>172</v>
      </c>
      <c r="G115" s="60" t="s">
        <v>16</v>
      </c>
      <c r="H115" s="60" t="s">
        <v>16</v>
      </c>
      <c r="I115" s="12" t="str">
        <f>Q115</f>
        <v>12</v>
      </c>
      <c r="J115" s="12" t="s">
        <v>9</v>
      </c>
      <c r="K115" s="13">
        <f t="shared" si="122"/>
        <v>1</v>
      </c>
      <c r="L115" s="13">
        <f t="shared" si="123"/>
        <v>225</v>
      </c>
      <c r="M115" s="13">
        <f t="shared" si="124"/>
        <v>48</v>
      </c>
      <c r="N115" s="13">
        <f t="shared" si="125"/>
        <v>0</v>
      </c>
      <c r="O115" s="13">
        <f t="shared" si="126"/>
        <v>0</v>
      </c>
      <c r="P115" s="13">
        <f>SUM(K115:O115)</f>
        <v>274</v>
      </c>
      <c r="Q115" s="28" t="str">
        <f>REPT("0",2-LEN(RIGHT(DEC2HEX(P115), 2)))&amp;RIGHT(DEC2HEX(P115), 2)</f>
        <v>12</v>
      </c>
      <c r="S115" s="64" t="s">
        <v>2360</v>
      </c>
    </row>
    <row r="116" spans="2:19" s="2" customFormat="1" ht="16.5" customHeight="1">
      <c r="B116" s="63" t="s">
        <v>156</v>
      </c>
      <c r="C116" s="12" t="str">
        <f t="shared" si="121"/>
        <v>FF01A1200000C2</v>
      </c>
      <c r="D116" s="60" t="s">
        <v>24</v>
      </c>
      <c r="E116" s="60" t="s">
        <v>80</v>
      </c>
      <c r="F116" s="60" t="s">
        <v>133</v>
      </c>
      <c r="G116" s="60" t="s">
        <v>16</v>
      </c>
      <c r="H116" s="60" t="s">
        <v>16</v>
      </c>
      <c r="I116" s="12" t="str">
        <f>Q116</f>
        <v>C2</v>
      </c>
      <c r="J116" s="12" t="s">
        <v>9</v>
      </c>
      <c r="K116" s="13">
        <f t="shared" si="122"/>
        <v>1</v>
      </c>
      <c r="L116" s="13">
        <f t="shared" si="123"/>
        <v>161</v>
      </c>
      <c r="M116" s="13">
        <f t="shared" si="124"/>
        <v>32</v>
      </c>
      <c r="N116" s="13">
        <f t="shared" si="125"/>
        <v>0</v>
      </c>
      <c r="O116" s="13">
        <f t="shared" si="126"/>
        <v>0</v>
      </c>
      <c r="P116" s="13">
        <f>SUM(K116:O116)</f>
        <v>194</v>
      </c>
      <c r="Q116" s="28" t="str">
        <f>REPT("0",2-LEN(RIGHT(DEC2HEX(P116), 2)))&amp;RIGHT(DEC2HEX(P116), 2)</f>
        <v>C2</v>
      </c>
      <c r="S116" s="64" t="s">
        <v>227</v>
      </c>
    </row>
    <row r="117" spans="2:19" s="2" customFormat="1" ht="16.5" customHeight="1">
      <c r="B117" s="63" t="s">
        <v>158</v>
      </c>
      <c r="C117" s="12" t="str">
        <f t="shared" si="121"/>
        <v>FF01A1500000F2</v>
      </c>
      <c r="D117" s="60" t="s">
        <v>24</v>
      </c>
      <c r="E117" s="12" t="s">
        <v>80</v>
      </c>
      <c r="F117" s="60" t="s">
        <v>162</v>
      </c>
      <c r="G117" s="60" t="s">
        <v>16</v>
      </c>
      <c r="H117" s="60" t="s">
        <v>16</v>
      </c>
      <c r="I117" s="12" t="str">
        <f>Q117</f>
        <v>F2</v>
      </c>
      <c r="J117" s="12" t="s">
        <v>9</v>
      </c>
      <c r="K117" s="13">
        <f t="shared" si="122"/>
        <v>1</v>
      </c>
      <c r="L117" s="13">
        <f t="shared" si="123"/>
        <v>161</v>
      </c>
      <c r="M117" s="13">
        <f t="shared" si="124"/>
        <v>80</v>
      </c>
      <c r="N117" s="13">
        <f t="shared" si="125"/>
        <v>0</v>
      </c>
      <c r="O117" s="13">
        <f t="shared" si="126"/>
        <v>0</v>
      </c>
      <c r="P117" s="13">
        <f>SUM(K117:O117)</f>
        <v>242</v>
      </c>
      <c r="Q117" s="28" t="str">
        <f t="shared" ref="Q117:Q120" si="188">REPT("0",2-LEN(RIGHT(DEC2HEX(P117), 2)))&amp;RIGHT(DEC2HEX(P117), 2)</f>
        <v>F2</v>
      </c>
      <c r="S117" s="64" t="s">
        <v>267</v>
      </c>
    </row>
    <row r="118" spans="2:19" s="2" customFormat="1" ht="16.5" customHeight="1">
      <c r="B118" s="63" t="s">
        <v>157</v>
      </c>
      <c r="C118" s="12" t="str">
        <f t="shared" si="121"/>
        <v>FF01A1400000E2</v>
      </c>
      <c r="D118" s="60" t="s">
        <v>24</v>
      </c>
      <c r="E118" s="12" t="s">
        <v>80</v>
      </c>
      <c r="F118" s="12">
        <v>40</v>
      </c>
      <c r="G118" s="60" t="s">
        <v>16</v>
      </c>
      <c r="H118" s="60" t="s">
        <v>16</v>
      </c>
      <c r="I118" s="12" t="str">
        <f t="shared" ref="I118" si="189">Q118</f>
        <v>E2</v>
      </c>
      <c r="J118" s="12" t="s">
        <v>9</v>
      </c>
      <c r="K118" s="13">
        <f t="shared" si="122"/>
        <v>1</v>
      </c>
      <c r="L118" s="13">
        <f t="shared" si="123"/>
        <v>161</v>
      </c>
      <c r="M118" s="13">
        <f t="shared" si="124"/>
        <v>64</v>
      </c>
      <c r="N118" s="13">
        <f t="shared" si="125"/>
        <v>0</v>
      </c>
      <c r="O118" s="13">
        <f t="shared" si="126"/>
        <v>0</v>
      </c>
      <c r="P118" s="13">
        <f t="shared" ref="P118" si="190">SUM(K118:O118)</f>
        <v>226</v>
      </c>
      <c r="Q118" s="28" t="str">
        <f t="shared" si="188"/>
        <v>E2</v>
      </c>
      <c r="S118" s="64" t="s">
        <v>260</v>
      </c>
    </row>
    <row r="119" spans="2:19" s="2" customFormat="1" ht="16.5" customHeight="1">
      <c r="B119" s="63" t="s">
        <v>135</v>
      </c>
      <c r="C119" s="12" t="str">
        <f t="shared" si="121"/>
        <v>FF01A1300000D2</v>
      </c>
      <c r="D119" s="60" t="s">
        <v>24</v>
      </c>
      <c r="E119" s="12" t="s">
        <v>80</v>
      </c>
      <c r="F119" s="12">
        <v>30</v>
      </c>
      <c r="G119" s="60" t="s">
        <v>16</v>
      </c>
      <c r="H119" s="60" t="s">
        <v>16</v>
      </c>
      <c r="I119" s="12" t="str">
        <f>Q119</f>
        <v>D2</v>
      </c>
      <c r="J119" s="12" t="s">
        <v>9</v>
      </c>
      <c r="K119" s="13">
        <f t="shared" ref="K119:O119" si="191">HEX2DEC(D119)</f>
        <v>1</v>
      </c>
      <c r="L119" s="13">
        <f t="shared" si="191"/>
        <v>161</v>
      </c>
      <c r="M119" s="13">
        <f t="shared" si="191"/>
        <v>48</v>
      </c>
      <c r="N119" s="13">
        <f t="shared" si="191"/>
        <v>0</v>
      </c>
      <c r="O119" s="13">
        <f t="shared" si="191"/>
        <v>0</v>
      </c>
      <c r="P119" s="13">
        <f>SUM(K119:O119)</f>
        <v>210</v>
      </c>
      <c r="Q119" s="28" t="str">
        <f t="shared" si="188"/>
        <v>D2</v>
      </c>
      <c r="S119" s="64" t="s">
        <v>244</v>
      </c>
    </row>
    <row r="120" spans="2:19" s="2" customFormat="1" ht="16.5" customHeight="1">
      <c r="B120" s="63" t="s">
        <v>134</v>
      </c>
      <c r="C120" s="12" t="str">
        <f t="shared" si="121"/>
        <v>FF01A1000000A2</v>
      </c>
      <c r="D120" s="60" t="s">
        <v>16</v>
      </c>
      <c r="E120" s="60" t="s">
        <v>80</v>
      </c>
      <c r="F120" s="60" t="s">
        <v>16</v>
      </c>
      <c r="G120" s="60" t="s">
        <v>16</v>
      </c>
      <c r="H120" s="60" t="s">
        <v>16</v>
      </c>
      <c r="I120" s="12" t="str">
        <f>Q120</f>
        <v>A2</v>
      </c>
      <c r="J120" s="12" t="s">
        <v>9</v>
      </c>
      <c r="K120" s="13">
        <v>1</v>
      </c>
      <c r="L120" s="13">
        <f t="shared" ref="L120:O120" si="192">HEX2DEC(E120)</f>
        <v>161</v>
      </c>
      <c r="M120" s="13">
        <f t="shared" si="192"/>
        <v>0</v>
      </c>
      <c r="N120" s="13">
        <f t="shared" si="192"/>
        <v>0</v>
      </c>
      <c r="O120" s="13">
        <f t="shared" si="192"/>
        <v>0</v>
      </c>
      <c r="P120" s="13">
        <f>SUM(K120:O120)</f>
        <v>162</v>
      </c>
      <c r="Q120" s="28" t="str">
        <f t="shared" si="188"/>
        <v>A2</v>
      </c>
      <c r="S120" s="64" t="s">
        <v>208</v>
      </c>
    </row>
    <row r="121" spans="2:19" s="2" customFormat="1" ht="16.5" customHeight="1" thickBot="1">
      <c r="B121" s="135" t="s">
        <v>160</v>
      </c>
      <c r="C121" s="34" t="str">
        <f t="shared" si="121"/>
        <v>FF01E1100000F2</v>
      </c>
      <c r="D121" s="62" t="s">
        <v>24</v>
      </c>
      <c r="E121" s="34" t="s">
        <v>161</v>
      </c>
      <c r="F121" s="62" t="s">
        <v>109</v>
      </c>
      <c r="G121" s="62" t="s">
        <v>16</v>
      </c>
      <c r="H121" s="62" t="s">
        <v>16</v>
      </c>
      <c r="I121" s="34" t="str">
        <f>Q121</f>
        <v>F2</v>
      </c>
      <c r="J121" s="34" t="s">
        <v>9</v>
      </c>
      <c r="K121" s="35">
        <f>HEX2DEC(D121)</f>
        <v>1</v>
      </c>
      <c r="L121" s="35">
        <f>HEX2DEC(E121)</f>
        <v>225</v>
      </c>
      <c r="M121" s="35">
        <f>HEX2DEC(F121)</f>
        <v>16</v>
      </c>
      <c r="N121" s="35">
        <f>HEX2DEC(G121)</f>
        <v>0</v>
      </c>
      <c r="O121" s="35">
        <f>HEX2DEC(H121)</f>
        <v>0</v>
      </c>
      <c r="P121" s="35">
        <f>SUM(K121:O121)</f>
        <v>242</v>
      </c>
      <c r="Q121" s="36" t="str">
        <f>REPT("0",2-LEN(RIGHT(DEC2HEX(P121), 2)))&amp;RIGHT(DEC2HEX(P121), 2)</f>
        <v>F2</v>
      </c>
      <c r="S121" s="64" t="s">
        <v>272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H1 H122:H104857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2AE5-296A-4A53-A69F-D6F31FDFEA61}">
  <dimension ref="B1:T157"/>
  <sheetViews>
    <sheetView topLeftCell="A58" zoomScaleNormal="100" workbookViewId="0">
      <selection activeCell="O92" sqref="O92"/>
    </sheetView>
  </sheetViews>
  <sheetFormatPr defaultColWidth="11.5546875" defaultRowHeight="17.25"/>
  <cols>
    <col min="1" max="1" width="2.6640625" customWidth="1"/>
    <col min="2" max="2" width="17.33203125" bestFit="1" customWidth="1"/>
    <col min="3" max="3" width="14.44140625" customWidth="1"/>
    <col min="5" max="6" width="0" hidden="1" customWidth="1"/>
    <col min="7" max="7" width="21.88671875" bestFit="1" customWidth="1"/>
    <col min="8" max="8" width="6.44140625" bestFit="1" customWidth="1"/>
    <col min="14" max="14" width="7.109375" bestFit="1" customWidth="1"/>
    <col min="15" max="15" width="11.5546875" style="6"/>
    <col min="20" max="20" width="14.44140625" customWidth="1"/>
  </cols>
  <sheetData>
    <row r="1" spans="2:20">
      <c r="B1" s="69"/>
      <c r="C1" s="69" t="s">
        <v>535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75"/>
      <c r="P1" s="69"/>
      <c r="Q1" s="69"/>
      <c r="R1" s="69"/>
      <c r="S1" s="69"/>
      <c r="T1" s="69" t="s">
        <v>8</v>
      </c>
    </row>
    <row r="2" spans="2:20" s="2" customFormat="1">
      <c r="B2" s="76" t="s">
        <v>701</v>
      </c>
      <c r="C2" s="76" t="s">
        <v>178</v>
      </c>
      <c r="D2" s="76" t="s">
        <v>839</v>
      </c>
      <c r="E2" s="76" t="s">
        <v>840</v>
      </c>
      <c r="F2" s="76" t="s">
        <v>841</v>
      </c>
      <c r="G2" s="76" t="s">
        <v>842</v>
      </c>
      <c r="H2" s="76" t="s">
        <v>843</v>
      </c>
      <c r="I2" s="76" t="s">
        <v>844</v>
      </c>
      <c r="J2" s="76" t="s">
        <v>845</v>
      </c>
      <c r="K2" s="76" t="s">
        <v>846</v>
      </c>
      <c r="L2" s="76" t="s">
        <v>847</v>
      </c>
      <c r="M2" s="76" t="s">
        <v>848</v>
      </c>
      <c r="N2" s="76" t="s">
        <v>849</v>
      </c>
      <c r="O2" s="77" t="s">
        <v>850</v>
      </c>
      <c r="P2" s="76" t="s">
        <v>851</v>
      </c>
      <c r="Q2" s="76" t="s">
        <v>852</v>
      </c>
      <c r="R2" s="76"/>
      <c r="S2" s="76" t="s">
        <v>853</v>
      </c>
      <c r="T2" s="76" t="s">
        <v>7</v>
      </c>
    </row>
    <row r="3" spans="2:20" s="2" customFormat="1" ht="27">
      <c r="B3" s="78" t="s">
        <v>854</v>
      </c>
      <c r="C3" s="78" t="str">
        <f>T3</f>
        <v>FF002012000032</v>
      </c>
      <c r="D3" s="78" t="s">
        <v>855</v>
      </c>
      <c r="E3" s="78" t="s">
        <v>856</v>
      </c>
      <c r="F3" s="78" t="s">
        <v>857</v>
      </c>
      <c r="G3" s="78" t="s">
        <v>858</v>
      </c>
      <c r="H3" s="79">
        <v>0</v>
      </c>
      <c r="I3" s="78" t="s">
        <v>859</v>
      </c>
      <c r="J3" s="78" t="s">
        <v>860</v>
      </c>
      <c r="K3" s="78" t="str">
        <f xml:space="preserve"> SUBSTITUTE(D3, "0x","")</f>
        <v>2012</v>
      </c>
      <c r="L3" s="78" t="str">
        <f>LEFT(K3,2)</f>
        <v>20</v>
      </c>
      <c r="M3" s="78" t="str">
        <f>RIGHT(K3,2)</f>
        <v>12</v>
      </c>
      <c r="N3" s="78"/>
      <c r="O3" s="80" t="s">
        <v>861</v>
      </c>
      <c r="P3" s="78" t="str">
        <f t="shared" ref="P3:P53" si="0">LEFT(O3, 2)</f>
        <v>00</v>
      </c>
      <c r="Q3" s="78" t="str">
        <f t="shared" ref="Q3:Q53" si="1">RIGHT(O3, 2)</f>
        <v>00</v>
      </c>
      <c r="R3" s="78" t="str">
        <f t="shared" ref="R3:R52" si="2">DEC2HEX(SUM(HEX2DEC(L3), HEX2DEC(M3), HEX2DEC(P3), HEX2DEC(Q3)))</f>
        <v>32</v>
      </c>
      <c r="S3" s="78" t="str">
        <f t="shared" ref="S3:S54" si="3">RIGHT(R3,2)</f>
        <v>32</v>
      </c>
      <c r="T3" s="78" t="str">
        <f t="shared" ref="T3:T53" si="4">"FF00"&amp;K3&amp;""&amp;P3&amp;Q3&amp;S3</f>
        <v>FF002012000032</v>
      </c>
    </row>
    <row r="4" spans="2:20" s="2" customFormat="1" ht="27">
      <c r="B4" s="78" t="s">
        <v>862</v>
      </c>
      <c r="C4" s="78" t="str">
        <f t="shared" ref="C4:C74" si="5">T4</f>
        <v>FF002012000133</v>
      </c>
      <c r="D4" s="78" t="s">
        <v>855</v>
      </c>
      <c r="E4" s="78" t="s">
        <v>856</v>
      </c>
      <c r="F4" s="78" t="s">
        <v>857</v>
      </c>
      <c r="G4" s="78" t="s">
        <v>858</v>
      </c>
      <c r="H4" s="79">
        <v>0</v>
      </c>
      <c r="I4" s="78" t="s">
        <v>859</v>
      </c>
      <c r="J4" s="78" t="s">
        <v>860</v>
      </c>
      <c r="K4" s="78" t="str">
        <f xml:space="preserve"> SUBSTITUTE(D4, "0x","")</f>
        <v>2012</v>
      </c>
      <c r="L4" s="78" t="str">
        <f t="shared" ref="L4:L54" si="6">LEFT(K4,2)</f>
        <v>20</v>
      </c>
      <c r="M4" s="78" t="str">
        <f t="shared" ref="M4:M54" si="7">RIGHT(K4,2)</f>
        <v>12</v>
      </c>
      <c r="N4" s="78"/>
      <c r="O4" s="80" t="s">
        <v>863</v>
      </c>
      <c r="P4" s="78" t="str">
        <f t="shared" si="0"/>
        <v>00</v>
      </c>
      <c r="Q4" s="78" t="str">
        <f t="shared" si="1"/>
        <v>01</v>
      </c>
      <c r="R4" s="78" t="str">
        <f t="shared" si="2"/>
        <v>33</v>
      </c>
      <c r="S4" s="78" t="str">
        <f t="shared" si="3"/>
        <v>33</v>
      </c>
      <c r="T4" s="78" t="str">
        <f t="shared" si="4"/>
        <v>FF002012000133</v>
      </c>
    </row>
    <row r="5" spans="2:20" s="2" customFormat="1">
      <c r="B5" s="78" t="s">
        <v>864</v>
      </c>
      <c r="C5" s="78" t="str">
        <f t="shared" si="5"/>
        <v>FF002022000042</v>
      </c>
      <c r="D5" s="78" t="s">
        <v>865</v>
      </c>
      <c r="E5" s="78" t="s">
        <v>866</v>
      </c>
      <c r="F5" s="78" t="s">
        <v>857</v>
      </c>
      <c r="G5" s="78" t="s">
        <v>867</v>
      </c>
      <c r="H5" s="79">
        <v>0</v>
      </c>
      <c r="I5" s="81"/>
      <c r="J5" s="78" t="s">
        <v>860</v>
      </c>
      <c r="K5" s="78" t="str">
        <f xml:space="preserve"> SUBSTITUTE(D5, "0x","")</f>
        <v>2022</v>
      </c>
      <c r="L5" s="78" t="str">
        <f t="shared" si="6"/>
        <v>20</v>
      </c>
      <c r="M5" s="78" t="str">
        <f t="shared" si="7"/>
        <v>22</v>
      </c>
      <c r="N5" s="78"/>
      <c r="O5" s="80" t="s">
        <v>861</v>
      </c>
      <c r="P5" s="78" t="str">
        <f t="shared" si="0"/>
        <v>00</v>
      </c>
      <c r="Q5" s="78" t="str">
        <f t="shared" si="1"/>
        <v>00</v>
      </c>
      <c r="R5" s="78" t="str">
        <f t="shared" si="2"/>
        <v>42</v>
      </c>
      <c r="S5" s="78" t="str">
        <f t="shared" si="3"/>
        <v>42</v>
      </c>
      <c r="T5" s="78" t="str">
        <f t="shared" si="4"/>
        <v>FF002022000042</v>
      </c>
    </row>
    <row r="6" spans="2:20" s="2" customFormat="1">
      <c r="B6" s="78" t="s">
        <v>868</v>
      </c>
      <c r="C6" s="78" t="str">
        <f t="shared" si="5"/>
        <v>FF002022000143</v>
      </c>
      <c r="D6" s="78" t="s">
        <v>865</v>
      </c>
      <c r="E6" s="78" t="s">
        <v>866</v>
      </c>
      <c r="F6" s="78" t="s">
        <v>857</v>
      </c>
      <c r="G6" s="78" t="s">
        <v>867</v>
      </c>
      <c r="H6" s="79">
        <v>0</v>
      </c>
      <c r="I6" s="81"/>
      <c r="J6" s="78" t="s">
        <v>860</v>
      </c>
      <c r="K6" s="78" t="str">
        <f xml:space="preserve"> SUBSTITUTE(D6, "0x","")</f>
        <v>2022</v>
      </c>
      <c r="L6" s="78" t="str">
        <f t="shared" si="6"/>
        <v>20</v>
      </c>
      <c r="M6" s="78" t="str">
        <f t="shared" si="7"/>
        <v>22</v>
      </c>
      <c r="N6" s="78"/>
      <c r="O6" s="80" t="s">
        <v>863</v>
      </c>
      <c r="P6" s="78" t="str">
        <f t="shared" si="0"/>
        <v>00</v>
      </c>
      <c r="Q6" s="78" t="str">
        <f t="shared" si="1"/>
        <v>01</v>
      </c>
      <c r="R6" s="78" t="str">
        <f t="shared" si="2"/>
        <v>43</v>
      </c>
      <c r="S6" s="78" t="str">
        <f t="shared" si="3"/>
        <v>43</v>
      </c>
      <c r="T6" s="78" t="str">
        <f t="shared" si="4"/>
        <v>FF002022000143</v>
      </c>
    </row>
    <row r="7" spans="2:20" s="2" customFormat="1">
      <c r="B7" s="78" t="s">
        <v>869</v>
      </c>
      <c r="C7" s="78" t="str">
        <f t="shared" si="5"/>
        <v>FF002023000043</v>
      </c>
      <c r="D7" s="78" t="s">
        <v>870</v>
      </c>
      <c r="E7" s="78" t="s">
        <v>866</v>
      </c>
      <c r="F7" s="78" t="s">
        <v>857</v>
      </c>
      <c r="G7" s="78" t="s">
        <v>867</v>
      </c>
      <c r="H7" s="79">
        <v>0</v>
      </c>
      <c r="I7" s="78" t="s">
        <v>871</v>
      </c>
      <c r="J7" s="78" t="s">
        <v>860</v>
      </c>
      <c r="K7" s="78" t="str">
        <f t="shared" ref="K7:K54" si="8" xml:space="preserve"> SUBSTITUTE(D7, "0x","")</f>
        <v>2023</v>
      </c>
      <c r="L7" s="78" t="str">
        <f t="shared" si="6"/>
        <v>20</v>
      </c>
      <c r="M7" s="78" t="str">
        <f t="shared" si="7"/>
        <v>23</v>
      </c>
      <c r="N7" s="78"/>
      <c r="O7" s="80" t="s">
        <v>861</v>
      </c>
      <c r="P7" s="78" t="str">
        <f t="shared" si="0"/>
        <v>00</v>
      </c>
      <c r="Q7" s="78" t="str">
        <f t="shared" si="1"/>
        <v>00</v>
      </c>
      <c r="R7" s="78" t="str">
        <f t="shared" si="2"/>
        <v>43</v>
      </c>
      <c r="S7" s="78" t="str">
        <f t="shared" si="3"/>
        <v>43</v>
      </c>
      <c r="T7" s="78" t="str">
        <f t="shared" si="4"/>
        <v>FF002023000043</v>
      </c>
    </row>
    <row r="8" spans="2:20" s="2" customFormat="1">
      <c r="B8" s="78" t="s">
        <v>872</v>
      </c>
      <c r="C8" s="78" t="str">
        <f t="shared" si="5"/>
        <v>FF002023000144</v>
      </c>
      <c r="D8" s="78" t="s">
        <v>870</v>
      </c>
      <c r="E8" s="78" t="s">
        <v>866</v>
      </c>
      <c r="F8" s="78" t="s">
        <v>857</v>
      </c>
      <c r="G8" s="78" t="s">
        <v>867</v>
      </c>
      <c r="H8" s="79">
        <v>0</v>
      </c>
      <c r="I8" s="78" t="s">
        <v>871</v>
      </c>
      <c r="J8" s="78" t="s">
        <v>860</v>
      </c>
      <c r="K8" s="78" t="str">
        <f t="shared" si="8"/>
        <v>2023</v>
      </c>
      <c r="L8" s="78" t="str">
        <f t="shared" si="6"/>
        <v>20</v>
      </c>
      <c r="M8" s="78" t="str">
        <f t="shared" si="7"/>
        <v>23</v>
      </c>
      <c r="N8" s="78"/>
      <c r="O8" s="80" t="s">
        <v>863</v>
      </c>
      <c r="P8" s="78" t="str">
        <f t="shared" si="0"/>
        <v>00</v>
      </c>
      <c r="Q8" s="78" t="str">
        <f t="shared" si="1"/>
        <v>01</v>
      </c>
      <c r="R8" s="78" t="str">
        <f t="shared" si="2"/>
        <v>44</v>
      </c>
      <c r="S8" s="78" t="str">
        <f t="shared" si="3"/>
        <v>44</v>
      </c>
      <c r="T8" s="78" t="str">
        <f t="shared" si="4"/>
        <v>FF002023000144</v>
      </c>
    </row>
    <row r="9" spans="2:20" s="2" customFormat="1">
      <c r="B9" s="78" t="s">
        <v>873</v>
      </c>
      <c r="C9" s="78" t="str">
        <f t="shared" si="5"/>
        <v>FF002024000044</v>
      </c>
      <c r="D9" s="78" t="s">
        <v>874</v>
      </c>
      <c r="E9" s="78" t="s">
        <v>866</v>
      </c>
      <c r="F9" s="78" t="s">
        <v>857</v>
      </c>
      <c r="G9" s="78" t="s">
        <v>867</v>
      </c>
      <c r="H9" s="79">
        <v>0</v>
      </c>
      <c r="I9" s="81"/>
      <c r="J9" s="78" t="s">
        <v>860</v>
      </c>
      <c r="K9" s="78" t="str">
        <f t="shared" si="8"/>
        <v>2024</v>
      </c>
      <c r="L9" s="78" t="str">
        <f t="shared" si="6"/>
        <v>20</v>
      </c>
      <c r="M9" s="78" t="str">
        <f t="shared" si="7"/>
        <v>24</v>
      </c>
      <c r="N9" s="78"/>
      <c r="O9" s="80" t="s">
        <v>861</v>
      </c>
      <c r="P9" s="78" t="str">
        <f t="shared" si="0"/>
        <v>00</v>
      </c>
      <c r="Q9" s="78" t="str">
        <f t="shared" si="1"/>
        <v>00</v>
      </c>
      <c r="R9" s="78" t="str">
        <f t="shared" si="2"/>
        <v>44</v>
      </c>
      <c r="S9" s="78" t="str">
        <f t="shared" si="3"/>
        <v>44</v>
      </c>
      <c r="T9" s="78" t="str">
        <f t="shared" si="4"/>
        <v>FF002024000044</v>
      </c>
    </row>
    <row r="10" spans="2:20" s="2" customFormat="1">
      <c r="B10" s="78" t="s">
        <v>875</v>
      </c>
      <c r="C10" s="78" t="str">
        <f t="shared" si="5"/>
        <v>FF002024000145</v>
      </c>
      <c r="D10" s="78" t="s">
        <v>874</v>
      </c>
      <c r="E10" s="78" t="s">
        <v>866</v>
      </c>
      <c r="F10" s="78" t="s">
        <v>857</v>
      </c>
      <c r="G10" s="78" t="s">
        <v>867</v>
      </c>
      <c r="H10" s="79">
        <v>0</v>
      </c>
      <c r="I10" s="81"/>
      <c r="J10" s="78" t="s">
        <v>860</v>
      </c>
      <c r="K10" s="78" t="str">
        <f t="shared" si="8"/>
        <v>2024</v>
      </c>
      <c r="L10" s="78" t="str">
        <f t="shared" si="6"/>
        <v>20</v>
      </c>
      <c r="M10" s="78" t="str">
        <f t="shared" si="7"/>
        <v>24</v>
      </c>
      <c r="N10" s="78"/>
      <c r="O10" s="80" t="s">
        <v>863</v>
      </c>
      <c r="P10" s="78" t="str">
        <f t="shared" si="0"/>
        <v>00</v>
      </c>
      <c r="Q10" s="78" t="str">
        <f t="shared" si="1"/>
        <v>01</v>
      </c>
      <c r="R10" s="78" t="str">
        <f t="shared" si="2"/>
        <v>45</v>
      </c>
      <c r="S10" s="78" t="str">
        <f t="shared" si="3"/>
        <v>45</v>
      </c>
      <c r="T10" s="78" t="str">
        <f t="shared" si="4"/>
        <v>FF002024000145</v>
      </c>
    </row>
    <row r="11" spans="2:20" s="2" customFormat="1">
      <c r="B11" s="78" t="s">
        <v>876</v>
      </c>
      <c r="C11" s="78" t="str">
        <f t="shared" si="5"/>
        <v>FF002030000050</v>
      </c>
      <c r="D11" s="78" t="s">
        <v>877</v>
      </c>
      <c r="E11" s="78" t="s">
        <v>878</v>
      </c>
      <c r="F11" s="78" t="s">
        <v>879</v>
      </c>
      <c r="G11" s="78" t="s">
        <v>880</v>
      </c>
      <c r="H11" s="82">
        <v>0</v>
      </c>
      <c r="I11" s="81"/>
      <c r="J11" s="78" t="s">
        <v>860</v>
      </c>
      <c r="K11" s="78" t="str">
        <f t="shared" si="8"/>
        <v>2030</v>
      </c>
      <c r="L11" s="78" t="str">
        <f t="shared" si="6"/>
        <v>20</v>
      </c>
      <c r="M11" s="78" t="str">
        <f t="shared" si="7"/>
        <v>30</v>
      </c>
      <c r="N11" s="78"/>
      <c r="O11" s="80" t="s">
        <v>861</v>
      </c>
      <c r="P11" s="78" t="str">
        <f t="shared" si="0"/>
        <v>00</v>
      </c>
      <c r="Q11" s="78" t="str">
        <f t="shared" si="1"/>
        <v>00</v>
      </c>
      <c r="R11" s="78" t="str">
        <f t="shared" si="2"/>
        <v>50</v>
      </c>
      <c r="S11" s="78" t="str">
        <f t="shared" si="3"/>
        <v>50</v>
      </c>
      <c r="T11" s="78" t="str">
        <f t="shared" si="4"/>
        <v>FF002030000050</v>
      </c>
    </row>
    <row r="12" spans="2:20" s="2" customFormat="1">
      <c r="B12" s="78" t="s">
        <v>881</v>
      </c>
      <c r="C12" s="78" t="str">
        <f t="shared" si="5"/>
        <v>FF002030000151</v>
      </c>
      <c r="D12" s="78" t="s">
        <v>877</v>
      </c>
      <c r="E12" s="78" t="s">
        <v>878</v>
      </c>
      <c r="F12" s="78" t="s">
        <v>879</v>
      </c>
      <c r="G12" s="78" t="s">
        <v>880</v>
      </c>
      <c r="H12" s="82">
        <v>0</v>
      </c>
      <c r="I12" s="81"/>
      <c r="J12" s="78" t="s">
        <v>860</v>
      </c>
      <c r="K12" s="78" t="str">
        <f t="shared" si="8"/>
        <v>2030</v>
      </c>
      <c r="L12" s="78" t="str">
        <f t="shared" si="6"/>
        <v>20</v>
      </c>
      <c r="M12" s="78" t="str">
        <f t="shared" si="7"/>
        <v>30</v>
      </c>
      <c r="N12" s="78"/>
      <c r="O12" s="80" t="s">
        <v>863</v>
      </c>
      <c r="P12" s="78" t="str">
        <f t="shared" si="0"/>
        <v>00</v>
      </c>
      <c r="Q12" s="78" t="str">
        <f t="shared" si="1"/>
        <v>01</v>
      </c>
      <c r="R12" s="78" t="str">
        <f t="shared" si="2"/>
        <v>51</v>
      </c>
      <c r="S12" s="78" t="str">
        <f t="shared" si="3"/>
        <v>51</v>
      </c>
      <c r="T12" s="78" t="str">
        <f t="shared" si="4"/>
        <v>FF002030000151</v>
      </c>
    </row>
    <row r="13" spans="2:20" s="2" customFormat="1">
      <c r="B13" s="78" t="s">
        <v>882</v>
      </c>
      <c r="C13" s="78" t="str">
        <f t="shared" si="5"/>
        <v>FF002031000051</v>
      </c>
      <c r="D13" s="78" t="s">
        <v>883</v>
      </c>
      <c r="E13" s="78" t="s">
        <v>884</v>
      </c>
      <c r="F13" s="78" t="s">
        <v>857</v>
      </c>
      <c r="G13" s="78" t="s">
        <v>885</v>
      </c>
      <c r="H13" s="79">
        <v>1</v>
      </c>
      <c r="I13" s="81"/>
      <c r="J13" s="78" t="s">
        <v>860</v>
      </c>
      <c r="K13" s="78" t="str">
        <f t="shared" si="8"/>
        <v>2031</v>
      </c>
      <c r="L13" s="78" t="str">
        <f t="shared" si="6"/>
        <v>20</v>
      </c>
      <c r="M13" s="78" t="str">
        <f t="shared" si="7"/>
        <v>31</v>
      </c>
      <c r="N13" s="78"/>
      <c r="O13" s="80" t="s">
        <v>861</v>
      </c>
      <c r="P13" s="78" t="str">
        <f t="shared" si="0"/>
        <v>00</v>
      </c>
      <c r="Q13" s="78" t="str">
        <f t="shared" si="1"/>
        <v>00</v>
      </c>
      <c r="R13" s="78" t="str">
        <f t="shared" si="2"/>
        <v>51</v>
      </c>
      <c r="S13" s="78" t="str">
        <f t="shared" si="3"/>
        <v>51</v>
      </c>
      <c r="T13" s="78" t="str">
        <f t="shared" si="4"/>
        <v>FF002031000051</v>
      </c>
    </row>
    <row r="14" spans="2:20" s="2" customFormat="1">
      <c r="B14" s="78" t="s">
        <v>886</v>
      </c>
      <c r="C14" s="78" t="str">
        <f t="shared" si="5"/>
        <v>FF002031000152</v>
      </c>
      <c r="D14" s="78" t="s">
        <v>883</v>
      </c>
      <c r="E14" s="78" t="s">
        <v>884</v>
      </c>
      <c r="F14" s="78" t="s">
        <v>857</v>
      </c>
      <c r="G14" s="78" t="s">
        <v>885</v>
      </c>
      <c r="H14" s="79">
        <v>1</v>
      </c>
      <c r="I14" s="81"/>
      <c r="J14" s="78" t="s">
        <v>860</v>
      </c>
      <c r="K14" s="78" t="str">
        <f t="shared" si="8"/>
        <v>2031</v>
      </c>
      <c r="L14" s="78" t="str">
        <f t="shared" si="6"/>
        <v>20</v>
      </c>
      <c r="M14" s="78" t="str">
        <f t="shared" si="7"/>
        <v>31</v>
      </c>
      <c r="N14" s="78"/>
      <c r="O14" s="80" t="s">
        <v>863</v>
      </c>
      <c r="P14" s="78" t="str">
        <f t="shared" si="0"/>
        <v>00</v>
      </c>
      <c r="Q14" s="78" t="str">
        <f t="shared" si="1"/>
        <v>01</v>
      </c>
      <c r="R14" s="78" t="str">
        <f t="shared" si="2"/>
        <v>52</v>
      </c>
      <c r="S14" s="78" t="str">
        <f t="shared" si="3"/>
        <v>52</v>
      </c>
      <c r="T14" s="78" t="str">
        <f t="shared" si="4"/>
        <v>FF002031000152</v>
      </c>
    </row>
    <row r="15" spans="2:20" s="2" customFormat="1">
      <c r="B15" s="78" t="s">
        <v>887</v>
      </c>
      <c r="C15" s="78" t="str">
        <f t="shared" si="5"/>
        <v>FF002031000253</v>
      </c>
      <c r="D15" s="78" t="s">
        <v>883</v>
      </c>
      <c r="E15" s="78" t="s">
        <v>884</v>
      </c>
      <c r="F15" s="78" t="s">
        <v>857</v>
      </c>
      <c r="G15" s="78" t="s">
        <v>885</v>
      </c>
      <c r="H15" s="79">
        <v>1</v>
      </c>
      <c r="I15" s="81"/>
      <c r="J15" s="78" t="s">
        <v>860</v>
      </c>
      <c r="K15" s="78" t="str">
        <f t="shared" si="8"/>
        <v>2031</v>
      </c>
      <c r="L15" s="78" t="str">
        <f t="shared" si="6"/>
        <v>20</v>
      </c>
      <c r="M15" s="78" t="str">
        <f t="shared" si="7"/>
        <v>31</v>
      </c>
      <c r="N15" s="78"/>
      <c r="O15" s="80" t="s">
        <v>888</v>
      </c>
      <c r="P15" s="78" t="str">
        <f t="shared" si="0"/>
        <v>00</v>
      </c>
      <c r="Q15" s="78" t="str">
        <f t="shared" si="1"/>
        <v>02</v>
      </c>
      <c r="R15" s="78" t="str">
        <f t="shared" si="2"/>
        <v>53</v>
      </c>
      <c r="S15" s="78" t="str">
        <f t="shared" si="3"/>
        <v>53</v>
      </c>
      <c r="T15" s="78" t="str">
        <f t="shared" si="4"/>
        <v>FF002031000253</v>
      </c>
    </row>
    <row r="16" spans="2:20" s="2" customFormat="1">
      <c r="B16" s="78" t="s">
        <v>889</v>
      </c>
      <c r="C16" s="78" t="str">
        <f t="shared" si="5"/>
        <v>FF002032000A5C</v>
      </c>
      <c r="D16" s="78" t="s">
        <v>890</v>
      </c>
      <c r="E16" s="78" t="s">
        <v>884</v>
      </c>
      <c r="F16" s="78" t="s">
        <v>857</v>
      </c>
      <c r="G16" s="78" t="s">
        <v>885</v>
      </c>
      <c r="H16" s="79">
        <v>300</v>
      </c>
      <c r="I16" s="81"/>
      <c r="J16" s="78" t="s">
        <v>860</v>
      </c>
      <c r="K16" s="78" t="str">
        <f t="shared" si="8"/>
        <v>2032</v>
      </c>
      <c r="L16" s="78" t="str">
        <f t="shared" si="6"/>
        <v>20</v>
      </c>
      <c r="M16" s="78" t="str">
        <f t="shared" si="7"/>
        <v>32</v>
      </c>
      <c r="N16" s="78">
        <v>10</v>
      </c>
      <c r="O16" s="78" t="str">
        <f>REPT("0", 4 - LEN(DEC2HEX(N16))) &amp; DEC2HEX(N16)</f>
        <v>000A</v>
      </c>
      <c r="P16" s="78" t="str">
        <f t="shared" si="0"/>
        <v>00</v>
      </c>
      <c r="Q16" s="78" t="str">
        <f t="shared" si="1"/>
        <v>0A</v>
      </c>
      <c r="R16" s="78" t="str">
        <f t="shared" si="2"/>
        <v>5C</v>
      </c>
      <c r="S16" s="78" t="str">
        <f t="shared" si="3"/>
        <v>5C</v>
      </c>
      <c r="T16" s="78" t="str">
        <f t="shared" si="4"/>
        <v>FF002032000A5C</v>
      </c>
    </row>
    <row r="17" spans="2:20" s="2" customFormat="1">
      <c r="B17" s="78" t="s">
        <v>891</v>
      </c>
      <c r="C17" s="78" t="str">
        <f t="shared" si="5"/>
        <v>FF0020320258AC</v>
      </c>
      <c r="D17" s="78" t="s">
        <v>890</v>
      </c>
      <c r="E17" s="78" t="s">
        <v>884</v>
      </c>
      <c r="F17" s="78" t="s">
        <v>857</v>
      </c>
      <c r="G17" s="78" t="s">
        <v>885</v>
      </c>
      <c r="H17" s="79">
        <v>300</v>
      </c>
      <c r="I17" s="81"/>
      <c r="J17" s="78" t="s">
        <v>860</v>
      </c>
      <c r="K17" s="78" t="str">
        <f t="shared" si="8"/>
        <v>2032</v>
      </c>
      <c r="L17" s="78" t="str">
        <f t="shared" si="6"/>
        <v>20</v>
      </c>
      <c r="M17" s="78" t="str">
        <f t="shared" si="7"/>
        <v>32</v>
      </c>
      <c r="N17" s="78">
        <v>600</v>
      </c>
      <c r="O17" s="78" t="str">
        <f>REPT("0", 4 - LEN(DEC2HEX(N17))) &amp; DEC2HEX(N17)</f>
        <v>0258</v>
      </c>
      <c r="P17" s="78" t="str">
        <f t="shared" si="0"/>
        <v>02</v>
      </c>
      <c r="Q17" s="78" t="str">
        <f t="shared" si="1"/>
        <v>58</v>
      </c>
      <c r="R17" s="78" t="str">
        <f t="shared" si="2"/>
        <v>AC</v>
      </c>
      <c r="S17" s="78" t="str">
        <f t="shared" si="3"/>
        <v>AC</v>
      </c>
      <c r="T17" s="78" t="str">
        <f t="shared" si="4"/>
        <v>FF0020320258AC</v>
      </c>
    </row>
    <row r="18" spans="2:20" s="2" customFormat="1">
      <c r="B18" s="78" t="s">
        <v>892</v>
      </c>
      <c r="C18" s="78" t="str">
        <f t="shared" si="5"/>
        <v>FF0021B00000D1</v>
      </c>
      <c r="D18" s="78" t="s">
        <v>893</v>
      </c>
      <c r="E18" s="78" t="s">
        <v>894</v>
      </c>
      <c r="F18" s="81"/>
      <c r="G18" s="78" t="s">
        <v>895</v>
      </c>
      <c r="H18" s="79">
        <v>0</v>
      </c>
      <c r="I18" s="81"/>
      <c r="J18" s="78" t="s">
        <v>860</v>
      </c>
      <c r="K18" s="78" t="str">
        <f t="shared" si="8"/>
        <v>21B0</v>
      </c>
      <c r="L18" s="78" t="str">
        <f t="shared" si="6"/>
        <v>21</v>
      </c>
      <c r="M18" s="78" t="str">
        <f t="shared" si="7"/>
        <v>B0</v>
      </c>
      <c r="N18" s="78"/>
      <c r="O18" s="80" t="s">
        <v>861</v>
      </c>
      <c r="P18" s="78" t="str">
        <f t="shared" si="0"/>
        <v>00</v>
      </c>
      <c r="Q18" s="78" t="str">
        <f t="shared" si="1"/>
        <v>00</v>
      </c>
      <c r="R18" s="78" t="str">
        <f t="shared" si="2"/>
        <v>D1</v>
      </c>
      <c r="S18" s="78" t="str">
        <f t="shared" si="3"/>
        <v>D1</v>
      </c>
      <c r="T18" s="78" t="str">
        <f t="shared" si="4"/>
        <v>FF0021B00000D1</v>
      </c>
    </row>
    <row r="19" spans="2:20" s="2" customFormat="1">
      <c r="B19" s="78" t="s">
        <v>896</v>
      </c>
      <c r="C19" s="78" t="str">
        <f t="shared" si="5"/>
        <v>FF0021B00001D2</v>
      </c>
      <c r="D19" s="78" t="s">
        <v>893</v>
      </c>
      <c r="E19" s="78" t="s">
        <v>894</v>
      </c>
      <c r="F19" s="81"/>
      <c r="G19" s="78" t="s">
        <v>895</v>
      </c>
      <c r="H19" s="79">
        <v>0</v>
      </c>
      <c r="I19" s="81"/>
      <c r="J19" s="78" t="s">
        <v>860</v>
      </c>
      <c r="K19" s="78" t="str">
        <f t="shared" si="8"/>
        <v>21B0</v>
      </c>
      <c r="L19" s="78" t="str">
        <f t="shared" si="6"/>
        <v>21</v>
      </c>
      <c r="M19" s="78" t="str">
        <f t="shared" si="7"/>
        <v>B0</v>
      </c>
      <c r="N19" s="78"/>
      <c r="O19" s="80" t="s">
        <v>863</v>
      </c>
      <c r="P19" s="78" t="str">
        <f t="shared" si="0"/>
        <v>00</v>
      </c>
      <c r="Q19" s="78" t="str">
        <f t="shared" si="1"/>
        <v>01</v>
      </c>
      <c r="R19" s="78" t="str">
        <f t="shared" si="2"/>
        <v>D2</v>
      </c>
      <c r="S19" s="78" t="str">
        <f t="shared" si="3"/>
        <v>D2</v>
      </c>
      <c r="T19" s="78" t="str">
        <f t="shared" si="4"/>
        <v>FF0021B00001D2</v>
      </c>
    </row>
    <row r="20" spans="2:20" s="2" customFormat="1">
      <c r="B20" s="78" t="s">
        <v>897</v>
      </c>
      <c r="C20" s="78" t="str">
        <f t="shared" si="5"/>
        <v>FF0021B00002D3</v>
      </c>
      <c r="D20" s="78" t="s">
        <v>893</v>
      </c>
      <c r="E20" s="78" t="s">
        <v>894</v>
      </c>
      <c r="F20" s="81"/>
      <c r="G20" s="78" t="s">
        <v>895</v>
      </c>
      <c r="H20" s="79">
        <v>0</v>
      </c>
      <c r="I20" s="81"/>
      <c r="J20" s="78" t="s">
        <v>860</v>
      </c>
      <c r="K20" s="78" t="str">
        <f t="shared" si="8"/>
        <v>21B0</v>
      </c>
      <c r="L20" s="78" t="str">
        <f t="shared" si="6"/>
        <v>21</v>
      </c>
      <c r="M20" s="78" t="str">
        <f t="shared" si="7"/>
        <v>B0</v>
      </c>
      <c r="N20" s="78"/>
      <c r="O20" s="80" t="s">
        <v>888</v>
      </c>
      <c r="P20" s="78" t="str">
        <f t="shared" si="0"/>
        <v>00</v>
      </c>
      <c r="Q20" s="78" t="str">
        <f t="shared" si="1"/>
        <v>02</v>
      </c>
      <c r="R20" s="78" t="str">
        <f t="shared" si="2"/>
        <v>D3</v>
      </c>
      <c r="S20" s="78" t="str">
        <f t="shared" si="3"/>
        <v>D3</v>
      </c>
      <c r="T20" s="78" t="str">
        <f t="shared" si="4"/>
        <v>FF0021B00002D3</v>
      </c>
    </row>
    <row r="21" spans="2:20" s="2" customFormat="1" ht="54">
      <c r="B21" s="78" t="s">
        <v>898</v>
      </c>
      <c r="C21" s="78" t="str">
        <f t="shared" si="5"/>
        <v>FF002100000021</v>
      </c>
      <c r="D21" s="78" t="s">
        <v>899</v>
      </c>
      <c r="E21" s="78" t="s">
        <v>884</v>
      </c>
      <c r="F21" s="78" t="s">
        <v>857</v>
      </c>
      <c r="G21" s="78" t="s">
        <v>900</v>
      </c>
      <c r="H21" s="79">
        <v>2</v>
      </c>
      <c r="I21" s="81"/>
      <c r="J21" s="78" t="s">
        <v>860</v>
      </c>
      <c r="K21" s="78" t="str">
        <f t="shared" si="8"/>
        <v>2100</v>
      </c>
      <c r="L21" s="78" t="str">
        <f t="shared" si="6"/>
        <v>21</v>
      </c>
      <c r="M21" s="78" t="str">
        <f t="shared" si="7"/>
        <v>00</v>
      </c>
      <c r="N21" s="78"/>
      <c r="O21" s="80" t="s">
        <v>861</v>
      </c>
      <c r="P21" s="78" t="str">
        <f t="shared" si="0"/>
        <v>00</v>
      </c>
      <c r="Q21" s="78" t="str">
        <f t="shared" si="1"/>
        <v>00</v>
      </c>
      <c r="R21" s="78" t="str">
        <f t="shared" si="2"/>
        <v>21</v>
      </c>
      <c r="S21" s="78" t="str">
        <f t="shared" si="3"/>
        <v>21</v>
      </c>
      <c r="T21" s="78" t="str">
        <f t="shared" si="4"/>
        <v>FF002100000021</v>
      </c>
    </row>
    <row r="22" spans="2:20" s="2" customFormat="1">
      <c r="B22" s="78" t="s">
        <v>901</v>
      </c>
      <c r="C22" s="78" t="str">
        <f t="shared" si="5"/>
        <v>FF002100000122</v>
      </c>
      <c r="D22" s="78" t="s">
        <v>899</v>
      </c>
      <c r="E22" s="78" t="s">
        <v>884</v>
      </c>
      <c r="F22" s="78" t="s">
        <v>857</v>
      </c>
      <c r="G22" s="78"/>
      <c r="H22" s="79">
        <v>2</v>
      </c>
      <c r="I22" s="81"/>
      <c r="J22" s="78" t="s">
        <v>860</v>
      </c>
      <c r="K22" s="78" t="str">
        <f t="shared" si="8"/>
        <v>2100</v>
      </c>
      <c r="L22" s="78" t="str">
        <f t="shared" si="6"/>
        <v>21</v>
      </c>
      <c r="M22" s="78" t="str">
        <f t="shared" si="7"/>
        <v>00</v>
      </c>
      <c r="N22" s="78"/>
      <c r="O22" s="80" t="s">
        <v>863</v>
      </c>
      <c r="P22" s="78" t="str">
        <f t="shared" si="0"/>
        <v>00</v>
      </c>
      <c r="Q22" s="78" t="str">
        <f t="shared" si="1"/>
        <v>01</v>
      </c>
      <c r="R22" s="78" t="str">
        <f t="shared" si="2"/>
        <v>22</v>
      </c>
      <c r="S22" s="78" t="str">
        <f t="shared" si="3"/>
        <v>22</v>
      </c>
      <c r="T22" s="78" t="str">
        <f t="shared" si="4"/>
        <v>FF002100000122</v>
      </c>
    </row>
    <row r="23" spans="2:20" s="2" customFormat="1">
      <c r="B23" s="78" t="s">
        <v>902</v>
      </c>
      <c r="C23" s="78" t="str">
        <f t="shared" si="5"/>
        <v>FF002100000223</v>
      </c>
      <c r="D23" s="78" t="s">
        <v>899</v>
      </c>
      <c r="E23" s="78" t="s">
        <v>884</v>
      </c>
      <c r="F23" s="78" t="s">
        <v>857</v>
      </c>
      <c r="G23" s="78"/>
      <c r="H23" s="79">
        <v>2</v>
      </c>
      <c r="I23" s="81"/>
      <c r="J23" s="78" t="s">
        <v>860</v>
      </c>
      <c r="K23" s="78" t="str">
        <f t="shared" si="8"/>
        <v>2100</v>
      </c>
      <c r="L23" s="78" t="str">
        <f t="shared" si="6"/>
        <v>21</v>
      </c>
      <c r="M23" s="78" t="str">
        <f t="shared" si="7"/>
        <v>00</v>
      </c>
      <c r="N23" s="78"/>
      <c r="O23" s="80" t="s">
        <v>888</v>
      </c>
      <c r="P23" s="78" t="str">
        <f t="shared" si="0"/>
        <v>00</v>
      </c>
      <c r="Q23" s="78" t="str">
        <f t="shared" si="1"/>
        <v>02</v>
      </c>
      <c r="R23" s="78" t="str">
        <f t="shared" si="2"/>
        <v>23</v>
      </c>
      <c r="S23" s="78" t="str">
        <f t="shared" si="3"/>
        <v>23</v>
      </c>
      <c r="T23" s="78" t="str">
        <f t="shared" si="4"/>
        <v>FF002100000223</v>
      </c>
    </row>
    <row r="24" spans="2:20" s="2" customFormat="1">
      <c r="B24" s="78" t="s">
        <v>903</v>
      </c>
      <c r="C24" s="78" t="str">
        <f t="shared" si="5"/>
        <v>FF002100000324</v>
      </c>
      <c r="D24" s="78" t="s">
        <v>899</v>
      </c>
      <c r="E24" s="78" t="s">
        <v>884</v>
      </c>
      <c r="F24" s="78" t="s">
        <v>857</v>
      </c>
      <c r="G24" s="78"/>
      <c r="H24" s="79">
        <v>2</v>
      </c>
      <c r="I24" s="81"/>
      <c r="J24" s="78" t="s">
        <v>860</v>
      </c>
      <c r="K24" s="78" t="str">
        <f t="shared" si="8"/>
        <v>2100</v>
      </c>
      <c r="L24" s="78" t="str">
        <f t="shared" si="6"/>
        <v>21</v>
      </c>
      <c r="M24" s="78" t="str">
        <f t="shared" si="7"/>
        <v>00</v>
      </c>
      <c r="N24" s="78"/>
      <c r="O24" s="80" t="s">
        <v>904</v>
      </c>
      <c r="P24" s="78" t="str">
        <f t="shared" si="0"/>
        <v>00</v>
      </c>
      <c r="Q24" s="78" t="str">
        <f t="shared" si="1"/>
        <v>03</v>
      </c>
      <c r="R24" s="78" t="str">
        <f t="shared" si="2"/>
        <v>24</v>
      </c>
      <c r="S24" s="78" t="str">
        <f t="shared" si="3"/>
        <v>24</v>
      </c>
      <c r="T24" s="78" t="str">
        <f t="shared" si="4"/>
        <v>FF002100000324</v>
      </c>
    </row>
    <row r="25" spans="2:20" s="2" customFormat="1">
      <c r="B25" s="78" t="s">
        <v>905</v>
      </c>
      <c r="C25" s="78" t="str">
        <f t="shared" si="5"/>
        <v>FF002101000527</v>
      </c>
      <c r="D25" s="78" t="s">
        <v>906</v>
      </c>
      <c r="E25" s="78" t="s">
        <v>884</v>
      </c>
      <c r="F25" s="78" t="s">
        <v>857</v>
      </c>
      <c r="G25" s="78" t="s">
        <v>907</v>
      </c>
      <c r="H25" s="79">
        <v>50</v>
      </c>
      <c r="I25" s="81"/>
      <c r="J25" s="78" t="s">
        <v>860</v>
      </c>
      <c r="K25" s="78" t="str">
        <f t="shared" si="8"/>
        <v>2101</v>
      </c>
      <c r="L25" s="78" t="str">
        <f t="shared" si="6"/>
        <v>21</v>
      </c>
      <c r="M25" s="78" t="str">
        <f t="shared" si="7"/>
        <v>01</v>
      </c>
      <c r="N25" s="78"/>
      <c r="O25" s="80" t="s">
        <v>908</v>
      </c>
      <c r="P25" s="78" t="str">
        <f t="shared" si="0"/>
        <v>00</v>
      </c>
      <c r="Q25" s="78" t="str">
        <f t="shared" si="1"/>
        <v>05</v>
      </c>
      <c r="R25" s="78" t="str">
        <f t="shared" si="2"/>
        <v>27</v>
      </c>
      <c r="S25" s="78" t="str">
        <f t="shared" si="3"/>
        <v>27</v>
      </c>
      <c r="T25" s="78" t="str">
        <f t="shared" si="4"/>
        <v>FF002101000527</v>
      </c>
    </row>
    <row r="26" spans="2:20" s="2" customFormat="1">
      <c r="B26" s="78" t="s">
        <v>1104</v>
      </c>
      <c r="C26" s="78" t="str">
        <f t="shared" ref="C26" si="9">T26</f>
        <v>FF002101003254</v>
      </c>
      <c r="D26" s="78" t="s">
        <v>906</v>
      </c>
      <c r="E26" s="78" t="s">
        <v>884</v>
      </c>
      <c r="F26" s="78" t="s">
        <v>857</v>
      </c>
      <c r="G26" s="78"/>
      <c r="H26" s="79">
        <v>50</v>
      </c>
      <c r="I26" s="81"/>
      <c r="J26" s="78" t="s">
        <v>860</v>
      </c>
      <c r="K26" s="78" t="str">
        <f t="shared" ref="K26" si="10" xml:space="preserve"> SUBSTITUTE(D26, "0x","")</f>
        <v>2101</v>
      </c>
      <c r="L26" s="78" t="str">
        <f t="shared" ref="L26" si="11">LEFT(K26,2)</f>
        <v>21</v>
      </c>
      <c r="M26" s="78" t="str">
        <f t="shared" ref="M26" si="12">RIGHT(K26,2)</f>
        <v>01</v>
      </c>
      <c r="N26" s="78">
        <v>50</v>
      </c>
      <c r="O26" s="78" t="str">
        <f>REPT("0", 4 - LEN(DEC2HEX(N26))) &amp; DEC2HEX(N26)</f>
        <v>0032</v>
      </c>
      <c r="P26" s="78" t="str">
        <f t="shared" ref="P26" si="13">LEFT(O26, 2)</f>
        <v>00</v>
      </c>
      <c r="Q26" s="78" t="str">
        <f t="shared" ref="Q26" si="14">RIGHT(O26, 2)</f>
        <v>32</v>
      </c>
      <c r="R26" s="78" t="str">
        <f t="shared" ref="R26" si="15">DEC2HEX(SUM(HEX2DEC(L26), HEX2DEC(M26), HEX2DEC(P26), HEX2DEC(Q26)))</f>
        <v>54</v>
      </c>
      <c r="S26" s="78" t="str">
        <f t="shared" ref="S26" si="16">RIGHT(R26,2)</f>
        <v>54</v>
      </c>
      <c r="T26" s="78" t="str">
        <f t="shared" ref="T26" si="17">"FF00"&amp;K26&amp;""&amp;P26&amp;Q26&amp;S26</f>
        <v>FF002101003254</v>
      </c>
    </row>
    <row r="27" spans="2:20" s="2" customFormat="1">
      <c r="B27" s="78" t="s">
        <v>909</v>
      </c>
      <c r="C27" s="78" t="str">
        <f t="shared" si="5"/>
        <v>FF002101003C5E</v>
      </c>
      <c r="D27" s="78" t="s">
        <v>906</v>
      </c>
      <c r="E27" s="78" t="s">
        <v>884</v>
      </c>
      <c r="F27" s="78" t="s">
        <v>857</v>
      </c>
      <c r="G27" s="78"/>
      <c r="H27" s="79">
        <v>50</v>
      </c>
      <c r="I27" s="81"/>
      <c r="J27" s="78" t="s">
        <v>860</v>
      </c>
      <c r="K27" s="78" t="str">
        <f t="shared" si="8"/>
        <v>2101</v>
      </c>
      <c r="L27" s="78" t="str">
        <f t="shared" si="6"/>
        <v>21</v>
      </c>
      <c r="M27" s="78" t="str">
        <f t="shared" si="7"/>
        <v>01</v>
      </c>
      <c r="N27" s="78">
        <v>60</v>
      </c>
      <c r="O27" s="78" t="str">
        <f>REPT("0", 4 - LEN(DEC2HEX(N27))) &amp; DEC2HEX(N27)</f>
        <v>003C</v>
      </c>
      <c r="P27" s="78" t="str">
        <f t="shared" si="0"/>
        <v>00</v>
      </c>
      <c r="Q27" s="78" t="str">
        <f t="shared" si="1"/>
        <v>3C</v>
      </c>
      <c r="R27" s="78" t="str">
        <f t="shared" si="2"/>
        <v>5E</v>
      </c>
      <c r="S27" s="78" t="str">
        <f t="shared" si="3"/>
        <v>5E</v>
      </c>
      <c r="T27" s="78" t="str">
        <f t="shared" si="4"/>
        <v>FF002101003C5E</v>
      </c>
    </row>
    <row r="28" spans="2:20" s="2" customFormat="1">
      <c r="B28" s="78" t="s">
        <v>910</v>
      </c>
      <c r="C28" s="78" t="str">
        <f t="shared" si="5"/>
        <v>FF0021028001A4</v>
      </c>
      <c r="D28" s="78" t="s">
        <v>911</v>
      </c>
      <c r="E28" s="78" t="s">
        <v>884</v>
      </c>
      <c r="F28" s="78" t="s">
        <v>857</v>
      </c>
      <c r="G28" s="78"/>
      <c r="H28" s="79">
        <v>10</v>
      </c>
      <c r="I28" s="81"/>
      <c r="J28" s="78" t="s">
        <v>860</v>
      </c>
      <c r="K28" s="78" t="str">
        <f t="shared" si="8"/>
        <v>2102</v>
      </c>
      <c r="L28" s="78" t="str">
        <f t="shared" si="6"/>
        <v>21</v>
      </c>
      <c r="M28" s="78" t="str">
        <f t="shared" si="7"/>
        <v>02</v>
      </c>
      <c r="N28" s="78">
        <v>-32767</v>
      </c>
      <c r="O28" s="78" t="str">
        <f>TEXT(DEC2HEX(65536 + N28), "0000")</f>
        <v>8001</v>
      </c>
      <c r="P28" s="78" t="str">
        <f t="shared" si="0"/>
        <v>80</v>
      </c>
      <c r="Q28" s="78" t="str">
        <f t="shared" si="1"/>
        <v>01</v>
      </c>
      <c r="R28" s="78" t="str">
        <f t="shared" si="2"/>
        <v>A4</v>
      </c>
      <c r="S28" s="78" t="str">
        <f t="shared" si="3"/>
        <v>A4</v>
      </c>
      <c r="T28" s="78" t="str">
        <f t="shared" si="4"/>
        <v>FF0021028001A4</v>
      </c>
    </row>
    <row r="29" spans="2:20" s="2" customFormat="1">
      <c r="B29" s="78" t="s">
        <v>912</v>
      </c>
      <c r="C29" s="78" t="str">
        <f t="shared" si="5"/>
        <v>FF0021027FFFA1</v>
      </c>
      <c r="D29" s="78" t="s">
        <v>911</v>
      </c>
      <c r="E29" s="78" t="s">
        <v>884</v>
      </c>
      <c r="F29" s="78" t="s">
        <v>857</v>
      </c>
      <c r="G29" s="78"/>
      <c r="H29" s="79">
        <v>10</v>
      </c>
      <c r="I29" s="81"/>
      <c r="J29" s="78" t="s">
        <v>860</v>
      </c>
      <c r="K29" s="78" t="str">
        <f t="shared" si="8"/>
        <v>2102</v>
      </c>
      <c r="L29" s="78" t="str">
        <f t="shared" si="6"/>
        <v>21</v>
      </c>
      <c r="M29" s="78" t="str">
        <f t="shared" si="7"/>
        <v>02</v>
      </c>
      <c r="N29" s="78">
        <v>32767</v>
      </c>
      <c r="O29" s="78" t="str">
        <f>REPT("0", 4 - LEN(DEC2HEX(N29))) &amp; DEC2HEX(N29)</f>
        <v>7FFF</v>
      </c>
      <c r="P29" s="78" t="str">
        <f t="shared" si="0"/>
        <v>7F</v>
      </c>
      <c r="Q29" s="78" t="str">
        <f t="shared" si="1"/>
        <v>FF</v>
      </c>
      <c r="R29" s="78" t="str">
        <f t="shared" si="2"/>
        <v>1A1</v>
      </c>
      <c r="S29" s="78" t="str">
        <f t="shared" si="3"/>
        <v>A1</v>
      </c>
      <c r="T29" s="78" t="str">
        <f t="shared" si="4"/>
        <v>FF0021027FFFA1</v>
      </c>
    </row>
    <row r="30" spans="2:20" s="2" customFormat="1">
      <c r="B30" s="78" t="s">
        <v>913</v>
      </c>
      <c r="C30" s="78" t="str">
        <f t="shared" si="5"/>
        <v>FF0021038001A5</v>
      </c>
      <c r="D30" s="78" t="s">
        <v>914</v>
      </c>
      <c r="E30" s="78" t="s">
        <v>884</v>
      </c>
      <c r="F30" s="78" t="s">
        <v>857</v>
      </c>
      <c r="G30" s="78"/>
      <c r="H30" s="79">
        <v>35</v>
      </c>
      <c r="I30" s="81"/>
      <c r="J30" s="78" t="s">
        <v>860</v>
      </c>
      <c r="K30" s="78" t="str">
        <f t="shared" si="8"/>
        <v>2103</v>
      </c>
      <c r="L30" s="78" t="str">
        <f t="shared" si="6"/>
        <v>21</v>
      </c>
      <c r="M30" s="78" t="str">
        <f t="shared" si="7"/>
        <v>03</v>
      </c>
      <c r="N30" s="78">
        <v>-32767</v>
      </c>
      <c r="O30" s="78" t="str">
        <f>TEXT(DEC2HEX(65536 + N30), "0000")</f>
        <v>8001</v>
      </c>
      <c r="P30" s="78" t="str">
        <f t="shared" si="0"/>
        <v>80</v>
      </c>
      <c r="Q30" s="78" t="str">
        <f t="shared" si="1"/>
        <v>01</v>
      </c>
      <c r="R30" s="78" t="str">
        <f t="shared" si="2"/>
        <v>A5</v>
      </c>
      <c r="S30" s="78" t="str">
        <f t="shared" si="3"/>
        <v>A5</v>
      </c>
      <c r="T30" s="78" t="str">
        <f t="shared" si="4"/>
        <v>FF0021038001A5</v>
      </c>
    </row>
    <row r="31" spans="2:20" s="2" customFormat="1">
      <c r="B31" s="78" t="s">
        <v>915</v>
      </c>
      <c r="C31" s="78" t="str">
        <f t="shared" si="5"/>
        <v>FF0021037FFFA2</v>
      </c>
      <c r="D31" s="78" t="s">
        <v>914</v>
      </c>
      <c r="E31" s="78" t="s">
        <v>884</v>
      </c>
      <c r="F31" s="78" t="s">
        <v>857</v>
      </c>
      <c r="G31" s="78"/>
      <c r="H31" s="79">
        <v>35</v>
      </c>
      <c r="I31" s="81"/>
      <c r="J31" s="78" t="s">
        <v>860</v>
      </c>
      <c r="K31" s="78" t="str">
        <f t="shared" si="8"/>
        <v>2103</v>
      </c>
      <c r="L31" s="78" t="str">
        <f t="shared" si="6"/>
        <v>21</v>
      </c>
      <c r="M31" s="78" t="str">
        <f t="shared" si="7"/>
        <v>03</v>
      </c>
      <c r="N31" s="78">
        <v>32767</v>
      </c>
      <c r="O31" s="78" t="str">
        <f>REPT("0", 4 - LEN(DEC2HEX(N31))) &amp; DEC2HEX(N31)</f>
        <v>7FFF</v>
      </c>
      <c r="P31" s="78" t="str">
        <f t="shared" si="0"/>
        <v>7F</v>
      </c>
      <c r="Q31" s="78" t="str">
        <f t="shared" si="1"/>
        <v>FF</v>
      </c>
      <c r="R31" s="78" t="str">
        <f t="shared" si="2"/>
        <v>1A2</v>
      </c>
      <c r="S31" s="78" t="str">
        <f t="shared" si="3"/>
        <v>A2</v>
      </c>
      <c r="T31" s="78" t="str">
        <f t="shared" si="4"/>
        <v>FF0021037FFFA2</v>
      </c>
    </row>
    <row r="32" spans="2:20" s="2" customFormat="1">
      <c r="B32" s="78" t="s">
        <v>916</v>
      </c>
      <c r="C32" s="78" t="str">
        <f t="shared" si="5"/>
        <v>FF002104FFCEF2</v>
      </c>
      <c r="D32" s="78" t="s">
        <v>917</v>
      </c>
      <c r="E32" s="78" t="s">
        <v>884</v>
      </c>
      <c r="F32" s="78" t="s">
        <v>857</v>
      </c>
      <c r="G32" s="78"/>
      <c r="H32" s="79">
        <v>0</v>
      </c>
      <c r="I32" s="81"/>
      <c r="J32" s="78" t="s">
        <v>860</v>
      </c>
      <c r="K32" s="78" t="str">
        <f t="shared" si="8"/>
        <v>2104</v>
      </c>
      <c r="L32" s="78" t="str">
        <f t="shared" si="6"/>
        <v>21</v>
      </c>
      <c r="M32" s="78" t="str">
        <f t="shared" si="7"/>
        <v>04</v>
      </c>
      <c r="N32" s="78">
        <v>-50</v>
      </c>
      <c r="O32" s="78" t="str">
        <f>TEXT(DEC2HEX(65536 + N32), "0000")</f>
        <v>FFCE</v>
      </c>
      <c r="P32" s="78" t="str">
        <f t="shared" si="0"/>
        <v>FF</v>
      </c>
      <c r="Q32" s="78" t="str">
        <f t="shared" si="1"/>
        <v>CE</v>
      </c>
      <c r="R32" s="78" t="str">
        <f t="shared" si="2"/>
        <v>1F2</v>
      </c>
      <c r="S32" s="78" t="str">
        <f t="shared" si="3"/>
        <v>F2</v>
      </c>
      <c r="T32" s="78" t="str">
        <f t="shared" si="4"/>
        <v>FF002104FFCEF2</v>
      </c>
    </row>
    <row r="33" spans="2:20" s="2" customFormat="1">
      <c r="B33" s="78" t="s">
        <v>1102</v>
      </c>
      <c r="C33" s="78" t="str">
        <f t="shared" ref="C33" si="18">T33</f>
        <v>FF002104000025</v>
      </c>
      <c r="D33" s="78" t="s">
        <v>917</v>
      </c>
      <c r="E33" s="78" t="s">
        <v>884</v>
      </c>
      <c r="F33" s="78" t="s">
        <v>857</v>
      </c>
      <c r="G33" s="78"/>
      <c r="H33" s="79">
        <v>0</v>
      </c>
      <c r="I33" s="81"/>
      <c r="J33" s="78" t="s">
        <v>860</v>
      </c>
      <c r="K33" s="78" t="str">
        <f t="shared" ref="K33" si="19" xml:space="preserve"> SUBSTITUTE(D33, "0x","")</f>
        <v>2104</v>
      </c>
      <c r="L33" s="78" t="str">
        <f t="shared" ref="L33" si="20">LEFT(K33,2)</f>
        <v>21</v>
      </c>
      <c r="M33" s="78" t="str">
        <f t="shared" ref="M33" si="21">RIGHT(K33,2)</f>
        <v>04</v>
      </c>
      <c r="N33" s="78">
        <v>0</v>
      </c>
      <c r="O33" s="78" t="str">
        <f>REPT("0", 4 - LEN(DEC2HEX(N33))) &amp; DEC2HEX(N33)</f>
        <v>0000</v>
      </c>
      <c r="P33" s="78" t="str">
        <f t="shared" ref="P33" si="22">LEFT(O33, 2)</f>
        <v>00</v>
      </c>
      <c r="Q33" s="78" t="str">
        <f t="shared" ref="Q33" si="23">RIGHT(O33, 2)</f>
        <v>00</v>
      </c>
      <c r="R33" s="78" t="str">
        <f t="shared" ref="R33" si="24">DEC2HEX(SUM(HEX2DEC(L33), HEX2DEC(M33), HEX2DEC(P33), HEX2DEC(Q33)))</f>
        <v>25</v>
      </c>
      <c r="S33" s="78" t="str">
        <f t="shared" ref="S33" si="25">RIGHT(R33,2)</f>
        <v>25</v>
      </c>
      <c r="T33" s="78" t="str">
        <f t="shared" ref="T33" si="26">"FF00"&amp;K33&amp;""&amp;P33&amp;Q33&amp;S33</f>
        <v>FF002104000025</v>
      </c>
    </row>
    <row r="34" spans="2:20" s="2" customFormat="1">
      <c r="B34" s="78" t="s">
        <v>918</v>
      </c>
      <c r="C34" s="78" t="str">
        <f t="shared" si="5"/>
        <v>FF002104003257</v>
      </c>
      <c r="D34" s="78" t="s">
        <v>917</v>
      </c>
      <c r="E34" s="78" t="s">
        <v>884</v>
      </c>
      <c r="F34" s="78" t="s">
        <v>857</v>
      </c>
      <c r="G34" s="78"/>
      <c r="H34" s="79">
        <v>0</v>
      </c>
      <c r="I34" s="81"/>
      <c r="J34" s="78" t="s">
        <v>860</v>
      </c>
      <c r="K34" s="78" t="str">
        <f t="shared" si="8"/>
        <v>2104</v>
      </c>
      <c r="L34" s="78" t="str">
        <f t="shared" si="6"/>
        <v>21</v>
      </c>
      <c r="M34" s="78" t="str">
        <f t="shared" si="7"/>
        <v>04</v>
      </c>
      <c r="N34" s="78">
        <v>50</v>
      </c>
      <c r="O34" s="78" t="str">
        <f>REPT("0", 4 - LEN(DEC2HEX(N34))) &amp; DEC2HEX(N34)</f>
        <v>0032</v>
      </c>
      <c r="P34" s="78" t="str">
        <f t="shared" si="0"/>
        <v>00</v>
      </c>
      <c r="Q34" s="78" t="str">
        <f t="shared" si="1"/>
        <v>32</v>
      </c>
      <c r="R34" s="78" t="str">
        <f t="shared" si="2"/>
        <v>57</v>
      </c>
      <c r="S34" s="78" t="str">
        <f t="shared" si="3"/>
        <v>57</v>
      </c>
      <c r="T34" s="78" t="str">
        <f t="shared" si="4"/>
        <v>FF002104003257</v>
      </c>
    </row>
    <row r="35" spans="2:20" s="2" customFormat="1">
      <c r="B35" s="78" t="s">
        <v>1099</v>
      </c>
      <c r="C35" s="78" t="str">
        <f t="shared" ref="C35:C37" si="27">T35</f>
        <v>FF002105FFCEF3</v>
      </c>
      <c r="D35" s="78" t="s">
        <v>1101</v>
      </c>
      <c r="E35" s="78" t="s">
        <v>884</v>
      </c>
      <c r="F35" s="78" t="s">
        <v>857</v>
      </c>
      <c r="G35" s="78"/>
      <c r="H35" s="79">
        <v>0</v>
      </c>
      <c r="I35" s="81"/>
      <c r="J35" s="78" t="s">
        <v>860</v>
      </c>
      <c r="K35" s="78" t="str">
        <f t="shared" ref="K35:K37" si="28" xml:space="preserve"> SUBSTITUTE(D35, "0x","")</f>
        <v>2105</v>
      </c>
      <c r="L35" s="78" t="str">
        <f t="shared" ref="L35:L37" si="29">LEFT(K35,2)</f>
        <v>21</v>
      </c>
      <c r="M35" s="78" t="str">
        <f t="shared" ref="M35:M37" si="30">RIGHT(K35,2)</f>
        <v>05</v>
      </c>
      <c r="N35" s="78">
        <v>-50</v>
      </c>
      <c r="O35" s="78" t="str">
        <f>TEXT(DEC2HEX(65536 + N35), "0000")</f>
        <v>FFCE</v>
      </c>
      <c r="P35" s="78" t="str">
        <f t="shared" ref="P35:P37" si="31">LEFT(O35, 2)</f>
        <v>FF</v>
      </c>
      <c r="Q35" s="78" t="str">
        <f t="shared" ref="Q35:Q37" si="32">RIGHT(O35, 2)</f>
        <v>CE</v>
      </c>
      <c r="R35" s="78" t="str">
        <f t="shared" ref="R35:R37" si="33">DEC2HEX(SUM(HEX2DEC(L35), HEX2DEC(M35), HEX2DEC(P35), HEX2DEC(Q35)))</f>
        <v>1F3</v>
      </c>
      <c r="S35" s="78" t="str">
        <f t="shared" ref="S35:S37" si="34">RIGHT(R35,2)</f>
        <v>F3</v>
      </c>
      <c r="T35" s="78" t="str">
        <f t="shared" ref="T35:T37" si="35">"FF00"&amp;K35&amp;""&amp;P35&amp;Q35&amp;S35</f>
        <v>FF002105FFCEF3</v>
      </c>
    </row>
    <row r="36" spans="2:20" s="2" customFormat="1">
      <c r="B36" s="78" t="s">
        <v>1103</v>
      </c>
      <c r="C36" s="78" t="str">
        <f t="shared" ref="C36" si="36">T36</f>
        <v>FF002105000026</v>
      </c>
      <c r="D36" s="78" t="s">
        <v>1101</v>
      </c>
      <c r="E36" s="78" t="s">
        <v>884</v>
      </c>
      <c r="F36" s="78" t="s">
        <v>857</v>
      </c>
      <c r="G36" s="78"/>
      <c r="H36" s="79">
        <v>0</v>
      </c>
      <c r="I36" s="81"/>
      <c r="J36" s="78" t="s">
        <v>860</v>
      </c>
      <c r="K36" s="78" t="str">
        <f t="shared" ref="K36" si="37" xml:space="preserve"> SUBSTITUTE(D36, "0x","")</f>
        <v>2105</v>
      </c>
      <c r="L36" s="78" t="str">
        <f t="shared" ref="L36" si="38">LEFT(K36,2)</f>
        <v>21</v>
      </c>
      <c r="M36" s="78" t="str">
        <f t="shared" ref="M36" si="39">RIGHT(K36,2)</f>
        <v>05</v>
      </c>
      <c r="N36" s="78">
        <v>0</v>
      </c>
      <c r="O36" s="78" t="str">
        <f>REPT("0", 4 - LEN(DEC2HEX(N36))) &amp; DEC2HEX(N36)</f>
        <v>0000</v>
      </c>
      <c r="P36" s="78" t="str">
        <f t="shared" ref="P36" si="40">LEFT(O36, 2)</f>
        <v>00</v>
      </c>
      <c r="Q36" s="78" t="str">
        <f t="shared" ref="Q36" si="41">RIGHT(O36, 2)</f>
        <v>00</v>
      </c>
      <c r="R36" s="78" t="str">
        <f t="shared" ref="R36" si="42">DEC2HEX(SUM(HEX2DEC(L36), HEX2DEC(M36), HEX2DEC(P36), HEX2DEC(Q36)))</f>
        <v>26</v>
      </c>
      <c r="S36" s="78" t="str">
        <f t="shared" ref="S36" si="43">RIGHT(R36,2)</f>
        <v>26</v>
      </c>
      <c r="T36" s="78" t="str">
        <f t="shared" ref="T36" si="44">"FF00"&amp;K36&amp;""&amp;P36&amp;Q36&amp;S36</f>
        <v>FF002105000026</v>
      </c>
    </row>
    <row r="37" spans="2:20" s="2" customFormat="1">
      <c r="B37" s="78" t="s">
        <v>1100</v>
      </c>
      <c r="C37" s="78" t="str">
        <f t="shared" si="27"/>
        <v>FF002105003258</v>
      </c>
      <c r="D37" s="78" t="s">
        <v>1101</v>
      </c>
      <c r="E37" s="78" t="s">
        <v>884</v>
      </c>
      <c r="F37" s="78" t="s">
        <v>857</v>
      </c>
      <c r="G37" s="78"/>
      <c r="H37" s="79">
        <v>0</v>
      </c>
      <c r="I37" s="81"/>
      <c r="J37" s="78" t="s">
        <v>860</v>
      </c>
      <c r="K37" s="78" t="str">
        <f t="shared" si="28"/>
        <v>2105</v>
      </c>
      <c r="L37" s="78" t="str">
        <f t="shared" si="29"/>
        <v>21</v>
      </c>
      <c r="M37" s="78" t="str">
        <f t="shared" si="30"/>
        <v>05</v>
      </c>
      <c r="N37" s="78">
        <v>50</v>
      </c>
      <c r="O37" s="78" t="str">
        <f>REPT("0", 4 - LEN(DEC2HEX(N37))) &amp; DEC2HEX(N37)</f>
        <v>0032</v>
      </c>
      <c r="P37" s="78" t="str">
        <f t="shared" si="31"/>
        <v>00</v>
      </c>
      <c r="Q37" s="78" t="str">
        <f t="shared" si="32"/>
        <v>32</v>
      </c>
      <c r="R37" s="78" t="str">
        <f t="shared" si="33"/>
        <v>58</v>
      </c>
      <c r="S37" s="78" t="str">
        <f t="shared" si="34"/>
        <v>58</v>
      </c>
      <c r="T37" s="78" t="str">
        <f t="shared" si="35"/>
        <v>FF002105003258</v>
      </c>
    </row>
    <row r="38" spans="2:20" s="2" customFormat="1">
      <c r="B38" s="78" t="s">
        <v>919</v>
      </c>
      <c r="C38" s="78" t="str">
        <f t="shared" si="5"/>
        <v>FF002110000031</v>
      </c>
      <c r="D38" s="78" t="s">
        <v>920</v>
      </c>
      <c r="E38" s="78" t="s">
        <v>884</v>
      </c>
      <c r="F38" s="78" t="s">
        <v>857</v>
      </c>
      <c r="G38" s="78"/>
      <c r="H38" s="79">
        <v>15</v>
      </c>
      <c r="I38" s="81"/>
      <c r="J38" s="78" t="s">
        <v>860</v>
      </c>
      <c r="K38" s="78" t="str">
        <f t="shared" si="8"/>
        <v>2110</v>
      </c>
      <c r="L38" s="78" t="str">
        <f t="shared" si="6"/>
        <v>21</v>
      </c>
      <c r="M38" s="78" t="str">
        <f t="shared" si="7"/>
        <v>10</v>
      </c>
      <c r="N38" s="78">
        <v>0</v>
      </c>
      <c r="O38" s="78" t="str">
        <f>REPT("0", 4 - LEN(DEC2HEX(N38))) &amp; DEC2HEX(N38)</f>
        <v>0000</v>
      </c>
      <c r="P38" s="78" t="str">
        <f t="shared" si="0"/>
        <v>00</v>
      </c>
      <c r="Q38" s="78" t="str">
        <f t="shared" si="1"/>
        <v>00</v>
      </c>
      <c r="R38" s="78" t="str">
        <f t="shared" si="2"/>
        <v>31</v>
      </c>
      <c r="S38" s="78" t="str">
        <f t="shared" si="3"/>
        <v>31</v>
      </c>
      <c r="T38" s="78" t="str">
        <f t="shared" si="4"/>
        <v>FF002110000031</v>
      </c>
    </row>
    <row r="39" spans="2:20" s="2" customFormat="1">
      <c r="B39" s="78" t="s">
        <v>1096</v>
      </c>
      <c r="C39" s="78" t="str">
        <f t="shared" ref="C39" si="45">T39</f>
        <v>FF002110000A3B</v>
      </c>
      <c r="D39" s="78" t="s">
        <v>920</v>
      </c>
      <c r="E39" s="78" t="s">
        <v>884</v>
      </c>
      <c r="F39" s="78" t="s">
        <v>857</v>
      </c>
      <c r="G39" s="78"/>
      <c r="H39" s="79">
        <v>15</v>
      </c>
      <c r="I39" s="81"/>
      <c r="J39" s="78" t="s">
        <v>860</v>
      </c>
      <c r="K39" s="78" t="str">
        <f t="shared" ref="K39" si="46" xml:space="preserve"> SUBSTITUTE(D39, "0x","")</f>
        <v>2110</v>
      </c>
      <c r="L39" s="78" t="str">
        <f t="shared" ref="L39" si="47">LEFT(K39,2)</f>
        <v>21</v>
      </c>
      <c r="M39" s="78" t="str">
        <f t="shared" ref="M39" si="48">RIGHT(K39,2)</f>
        <v>10</v>
      </c>
      <c r="N39" s="78">
        <v>10</v>
      </c>
      <c r="O39" s="78" t="str">
        <f>REPT("0", 4 - LEN(DEC2HEX(N39))) &amp; DEC2HEX(N39)</f>
        <v>000A</v>
      </c>
      <c r="P39" s="78" t="str">
        <f t="shared" ref="P39" si="49">LEFT(O39, 2)</f>
        <v>00</v>
      </c>
      <c r="Q39" s="78" t="str">
        <f t="shared" ref="Q39" si="50">RIGHT(O39, 2)</f>
        <v>0A</v>
      </c>
      <c r="R39" s="78" t="str">
        <f t="shared" ref="R39" si="51">DEC2HEX(SUM(HEX2DEC(L39), HEX2DEC(M39), HEX2DEC(P39), HEX2DEC(Q39)))</f>
        <v>3B</v>
      </c>
      <c r="S39" s="78" t="str">
        <f t="shared" ref="S39" si="52">RIGHT(R39,2)</f>
        <v>3B</v>
      </c>
      <c r="T39" s="78" t="str">
        <f t="shared" ref="T39" si="53">"FF00"&amp;K39&amp;""&amp;P39&amp;Q39&amp;S39</f>
        <v>FF002110000A3B</v>
      </c>
    </row>
    <row r="40" spans="2:20" s="2" customFormat="1">
      <c r="B40" s="78" t="s">
        <v>921</v>
      </c>
      <c r="C40" s="78" t="str">
        <f t="shared" si="5"/>
        <v>FF002110001E4F</v>
      </c>
      <c r="D40" s="78" t="s">
        <v>920</v>
      </c>
      <c r="E40" s="78" t="s">
        <v>884</v>
      </c>
      <c r="F40" s="78" t="s">
        <v>857</v>
      </c>
      <c r="G40" s="78"/>
      <c r="H40" s="79">
        <v>15</v>
      </c>
      <c r="I40" s="81"/>
      <c r="J40" s="78" t="s">
        <v>860</v>
      </c>
      <c r="K40" s="78" t="str">
        <f t="shared" si="8"/>
        <v>2110</v>
      </c>
      <c r="L40" s="78" t="str">
        <f t="shared" si="6"/>
        <v>21</v>
      </c>
      <c r="M40" s="78" t="str">
        <f t="shared" si="7"/>
        <v>10</v>
      </c>
      <c r="N40" s="78">
        <v>30</v>
      </c>
      <c r="O40" s="78" t="str">
        <f>REPT("0", 4 - LEN(DEC2HEX(N40))) &amp; DEC2HEX(N40)</f>
        <v>001E</v>
      </c>
      <c r="P40" s="78" t="str">
        <f t="shared" si="0"/>
        <v>00</v>
      </c>
      <c r="Q40" s="78" t="str">
        <f t="shared" si="1"/>
        <v>1E</v>
      </c>
      <c r="R40" s="78" t="str">
        <f t="shared" si="2"/>
        <v>4F</v>
      </c>
      <c r="S40" s="78" t="str">
        <f t="shared" si="3"/>
        <v>4F</v>
      </c>
      <c r="T40" s="78" t="str">
        <f t="shared" si="4"/>
        <v>FF002110001E4F</v>
      </c>
    </row>
    <row r="41" spans="2:20" s="2" customFormat="1">
      <c r="B41" s="78" t="s">
        <v>922</v>
      </c>
      <c r="C41" s="78" t="str">
        <f t="shared" si="5"/>
        <v>FF002112000033</v>
      </c>
      <c r="D41" s="78" t="s">
        <v>923</v>
      </c>
      <c r="E41" s="78" t="s">
        <v>884</v>
      </c>
      <c r="F41" s="78" t="s">
        <v>857</v>
      </c>
      <c r="G41" s="78"/>
      <c r="H41" s="79">
        <v>3</v>
      </c>
      <c r="I41" s="81"/>
      <c r="J41" s="78" t="s">
        <v>860</v>
      </c>
      <c r="K41" s="78" t="str">
        <f t="shared" si="8"/>
        <v>2112</v>
      </c>
      <c r="L41" s="78" t="str">
        <f t="shared" si="6"/>
        <v>21</v>
      </c>
      <c r="M41" s="78" t="str">
        <f t="shared" si="7"/>
        <v>12</v>
      </c>
      <c r="N41" s="78">
        <v>0</v>
      </c>
      <c r="O41" s="80" t="s">
        <v>861</v>
      </c>
      <c r="P41" s="78" t="str">
        <f t="shared" si="0"/>
        <v>00</v>
      </c>
      <c r="Q41" s="78" t="str">
        <f t="shared" si="1"/>
        <v>00</v>
      </c>
      <c r="R41" s="78" t="str">
        <f t="shared" si="2"/>
        <v>33</v>
      </c>
      <c r="S41" s="78" t="str">
        <f t="shared" si="3"/>
        <v>33</v>
      </c>
      <c r="T41" s="78" t="str">
        <f t="shared" si="4"/>
        <v>FF002112000033</v>
      </c>
    </row>
    <row r="42" spans="2:20" s="2" customFormat="1">
      <c r="B42" s="78" t="s">
        <v>1106</v>
      </c>
      <c r="C42" s="78" t="str">
        <f t="shared" ref="C42" si="54">T42</f>
        <v>FF002112000336</v>
      </c>
      <c r="D42" s="78" t="s">
        <v>923</v>
      </c>
      <c r="E42" s="78" t="s">
        <v>884</v>
      </c>
      <c r="F42" s="78" t="s">
        <v>857</v>
      </c>
      <c r="G42" s="78"/>
      <c r="H42" s="79">
        <v>3</v>
      </c>
      <c r="I42" s="81"/>
      <c r="J42" s="78" t="s">
        <v>860</v>
      </c>
      <c r="K42" s="78" t="str">
        <f t="shared" ref="K42" si="55" xml:space="preserve"> SUBSTITUTE(D42, "0x","")</f>
        <v>2112</v>
      </c>
      <c r="L42" s="78" t="str">
        <f t="shared" ref="L42" si="56">LEFT(K42,2)</f>
        <v>21</v>
      </c>
      <c r="M42" s="78" t="str">
        <f t="shared" ref="M42" si="57">RIGHT(K42,2)</f>
        <v>12</v>
      </c>
      <c r="N42" s="78">
        <v>3</v>
      </c>
      <c r="O42" s="80" t="s">
        <v>904</v>
      </c>
      <c r="P42" s="78" t="str">
        <f t="shared" ref="P42" si="58">LEFT(O42, 2)</f>
        <v>00</v>
      </c>
      <c r="Q42" s="78" t="str">
        <f t="shared" ref="Q42" si="59">RIGHT(O42, 2)</f>
        <v>03</v>
      </c>
      <c r="R42" s="78" t="str">
        <f t="shared" ref="R42" si="60">DEC2HEX(SUM(HEX2DEC(L42), HEX2DEC(M42), HEX2DEC(P42), HEX2DEC(Q42)))</f>
        <v>36</v>
      </c>
      <c r="S42" s="78" t="str">
        <f t="shared" ref="S42" si="61">RIGHT(R42,2)</f>
        <v>36</v>
      </c>
      <c r="T42" s="78" t="str">
        <f t="shared" ref="T42" si="62">"FF00"&amp;K42&amp;""&amp;P42&amp;Q42&amp;S42</f>
        <v>FF002112000336</v>
      </c>
    </row>
    <row r="43" spans="2:20" s="2" customFormat="1">
      <c r="B43" s="78" t="s">
        <v>924</v>
      </c>
      <c r="C43" s="78" t="str">
        <f t="shared" si="5"/>
        <v>FF00211200073A</v>
      </c>
      <c r="D43" s="78" t="s">
        <v>923</v>
      </c>
      <c r="E43" s="78" t="s">
        <v>884</v>
      </c>
      <c r="F43" s="78" t="s">
        <v>857</v>
      </c>
      <c r="G43" s="78"/>
      <c r="H43" s="79">
        <v>3</v>
      </c>
      <c r="I43" s="81"/>
      <c r="J43" s="78" t="s">
        <v>860</v>
      </c>
      <c r="K43" s="78" t="str">
        <f t="shared" si="8"/>
        <v>2112</v>
      </c>
      <c r="L43" s="78" t="str">
        <f t="shared" si="6"/>
        <v>21</v>
      </c>
      <c r="M43" s="78" t="str">
        <f t="shared" si="7"/>
        <v>12</v>
      </c>
      <c r="N43" s="78">
        <v>7</v>
      </c>
      <c r="O43" s="80" t="s">
        <v>925</v>
      </c>
      <c r="P43" s="78" t="str">
        <f t="shared" si="0"/>
        <v>00</v>
      </c>
      <c r="Q43" s="78" t="str">
        <f t="shared" si="1"/>
        <v>07</v>
      </c>
      <c r="R43" s="78" t="str">
        <f t="shared" si="2"/>
        <v>3A</v>
      </c>
      <c r="S43" s="78" t="str">
        <f t="shared" si="3"/>
        <v>3A</v>
      </c>
      <c r="T43" s="78" t="str">
        <f t="shared" si="4"/>
        <v>FF00211200073A</v>
      </c>
    </row>
    <row r="44" spans="2:20" s="2" customFormat="1" ht="99" customHeight="1">
      <c r="B44" s="78" t="s">
        <v>926</v>
      </c>
      <c r="C44" s="78" t="str">
        <f t="shared" si="5"/>
        <v>FF002113000034</v>
      </c>
      <c r="D44" s="78" t="s">
        <v>927</v>
      </c>
      <c r="E44" s="78" t="s">
        <v>928</v>
      </c>
      <c r="F44" s="78" t="s">
        <v>857</v>
      </c>
      <c r="G44" s="78" t="s">
        <v>929</v>
      </c>
      <c r="H44" s="79">
        <v>0</v>
      </c>
      <c r="I44" s="81"/>
      <c r="J44" s="78" t="s">
        <v>860</v>
      </c>
      <c r="K44" s="78" t="str">
        <f t="shared" si="8"/>
        <v>2113</v>
      </c>
      <c r="L44" s="78" t="str">
        <f t="shared" si="6"/>
        <v>21</v>
      </c>
      <c r="M44" s="78" t="str">
        <f t="shared" si="7"/>
        <v>13</v>
      </c>
      <c r="N44" s="78"/>
      <c r="O44" s="80" t="s">
        <v>861</v>
      </c>
      <c r="P44" s="78" t="str">
        <f t="shared" si="0"/>
        <v>00</v>
      </c>
      <c r="Q44" s="78" t="str">
        <f t="shared" si="1"/>
        <v>00</v>
      </c>
      <c r="R44" s="78" t="str">
        <f t="shared" si="2"/>
        <v>34</v>
      </c>
      <c r="S44" s="78" t="str">
        <f t="shared" si="3"/>
        <v>34</v>
      </c>
      <c r="T44" s="78" t="str">
        <f t="shared" si="4"/>
        <v>FF002113000034</v>
      </c>
    </row>
    <row r="45" spans="2:20" s="2" customFormat="1">
      <c r="B45" s="78" t="s">
        <v>930</v>
      </c>
      <c r="C45" s="78" t="str">
        <f t="shared" si="5"/>
        <v>FF002113000135</v>
      </c>
      <c r="D45" s="78" t="s">
        <v>927</v>
      </c>
      <c r="E45" s="78" t="s">
        <v>928</v>
      </c>
      <c r="F45" s="78" t="s">
        <v>857</v>
      </c>
      <c r="G45" s="78"/>
      <c r="H45" s="79">
        <v>0</v>
      </c>
      <c r="I45" s="81"/>
      <c r="J45" s="78" t="s">
        <v>860</v>
      </c>
      <c r="K45" s="78" t="str">
        <f t="shared" si="8"/>
        <v>2113</v>
      </c>
      <c r="L45" s="78" t="str">
        <f t="shared" si="6"/>
        <v>21</v>
      </c>
      <c r="M45" s="78" t="str">
        <f t="shared" si="7"/>
        <v>13</v>
      </c>
      <c r="N45" s="78"/>
      <c r="O45" s="80" t="s">
        <v>931</v>
      </c>
      <c r="P45" s="78" t="str">
        <f t="shared" si="0"/>
        <v>00</v>
      </c>
      <c r="Q45" s="78" t="str">
        <f t="shared" si="1"/>
        <v>01</v>
      </c>
      <c r="R45" s="78" t="str">
        <f t="shared" si="2"/>
        <v>35</v>
      </c>
      <c r="S45" s="78" t="str">
        <f t="shared" si="3"/>
        <v>35</v>
      </c>
      <c r="T45" s="78" t="str">
        <f t="shared" si="4"/>
        <v>FF002113000135</v>
      </c>
    </row>
    <row r="46" spans="2:20" s="2" customFormat="1">
      <c r="B46" s="78" t="s">
        <v>932</v>
      </c>
      <c r="C46" s="78" t="str">
        <f t="shared" si="5"/>
        <v>FF002113000236</v>
      </c>
      <c r="D46" s="78" t="s">
        <v>927</v>
      </c>
      <c r="E46" s="78" t="s">
        <v>928</v>
      </c>
      <c r="F46" s="78" t="s">
        <v>857</v>
      </c>
      <c r="G46" s="78"/>
      <c r="H46" s="79">
        <v>0</v>
      </c>
      <c r="I46" s="81"/>
      <c r="J46" s="78" t="s">
        <v>860</v>
      </c>
      <c r="K46" s="78" t="str">
        <f t="shared" si="8"/>
        <v>2113</v>
      </c>
      <c r="L46" s="78" t="str">
        <f t="shared" si="6"/>
        <v>21</v>
      </c>
      <c r="M46" s="78" t="str">
        <f t="shared" si="7"/>
        <v>13</v>
      </c>
      <c r="N46" s="78"/>
      <c r="O46" s="80" t="s">
        <v>933</v>
      </c>
      <c r="P46" s="78" t="str">
        <f t="shared" si="0"/>
        <v>00</v>
      </c>
      <c r="Q46" s="78" t="str">
        <f t="shared" si="1"/>
        <v>02</v>
      </c>
      <c r="R46" s="78" t="str">
        <f t="shared" si="2"/>
        <v>36</v>
      </c>
      <c r="S46" s="78" t="str">
        <f t="shared" si="3"/>
        <v>36</v>
      </c>
      <c r="T46" s="78" t="str">
        <f t="shared" si="4"/>
        <v>FF002113000236</v>
      </c>
    </row>
    <row r="47" spans="2:20" s="2" customFormat="1">
      <c r="B47" s="78" t="s">
        <v>934</v>
      </c>
      <c r="C47" s="78" t="str">
        <f t="shared" si="5"/>
        <v>FF002113000337</v>
      </c>
      <c r="D47" s="78" t="s">
        <v>927</v>
      </c>
      <c r="E47" s="78" t="s">
        <v>928</v>
      </c>
      <c r="F47" s="78" t="s">
        <v>857</v>
      </c>
      <c r="G47" s="78"/>
      <c r="H47" s="79">
        <v>0</v>
      </c>
      <c r="I47" s="81"/>
      <c r="J47" s="78" t="s">
        <v>860</v>
      </c>
      <c r="K47" s="78" t="str">
        <f t="shared" si="8"/>
        <v>2113</v>
      </c>
      <c r="L47" s="78" t="str">
        <f t="shared" si="6"/>
        <v>21</v>
      </c>
      <c r="M47" s="78" t="str">
        <f t="shared" si="7"/>
        <v>13</v>
      </c>
      <c r="N47" s="78"/>
      <c r="O47" s="80" t="s">
        <v>935</v>
      </c>
      <c r="P47" s="78" t="str">
        <f t="shared" si="0"/>
        <v>00</v>
      </c>
      <c r="Q47" s="78" t="str">
        <f t="shared" si="1"/>
        <v>03</v>
      </c>
      <c r="R47" s="78" t="str">
        <f t="shared" si="2"/>
        <v>37</v>
      </c>
      <c r="S47" s="78" t="str">
        <f t="shared" si="3"/>
        <v>37</v>
      </c>
      <c r="T47" s="78" t="str">
        <f t="shared" si="4"/>
        <v>FF002113000337</v>
      </c>
    </row>
    <row r="48" spans="2:20" s="2" customFormat="1">
      <c r="B48" s="78" t="s">
        <v>936</v>
      </c>
      <c r="C48" s="78" t="str">
        <f t="shared" si="5"/>
        <v>FF002113000438</v>
      </c>
      <c r="D48" s="78" t="s">
        <v>927</v>
      </c>
      <c r="E48" s="78" t="s">
        <v>928</v>
      </c>
      <c r="F48" s="78" t="s">
        <v>857</v>
      </c>
      <c r="G48" s="78"/>
      <c r="H48" s="79">
        <v>0</v>
      </c>
      <c r="I48" s="81"/>
      <c r="J48" s="78" t="s">
        <v>860</v>
      </c>
      <c r="K48" s="78" t="str">
        <f t="shared" si="8"/>
        <v>2113</v>
      </c>
      <c r="L48" s="78" t="str">
        <f t="shared" si="6"/>
        <v>21</v>
      </c>
      <c r="M48" s="78" t="str">
        <f t="shared" si="7"/>
        <v>13</v>
      </c>
      <c r="N48" s="78"/>
      <c r="O48" s="80" t="s">
        <v>937</v>
      </c>
      <c r="P48" s="78" t="str">
        <f t="shared" si="0"/>
        <v>00</v>
      </c>
      <c r="Q48" s="78" t="str">
        <f t="shared" si="1"/>
        <v>04</v>
      </c>
      <c r="R48" s="78" t="str">
        <f t="shared" si="2"/>
        <v>38</v>
      </c>
      <c r="S48" s="78" t="str">
        <f t="shared" si="3"/>
        <v>38</v>
      </c>
      <c r="T48" s="78" t="str">
        <f t="shared" si="4"/>
        <v>FF002113000438</v>
      </c>
    </row>
    <row r="49" spans="2:20" s="2" customFormat="1">
      <c r="B49" s="78" t="s">
        <v>1093</v>
      </c>
      <c r="C49" s="78" t="str">
        <f t="shared" si="5"/>
        <v>FF002113000539</v>
      </c>
      <c r="D49" s="78" t="s">
        <v>927</v>
      </c>
      <c r="E49" s="78" t="s">
        <v>928</v>
      </c>
      <c r="F49" s="78" t="s">
        <v>857</v>
      </c>
      <c r="G49" s="78"/>
      <c r="H49" s="79">
        <v>0</v>
      </c>
      <c r="I49" s="81"/>
      <c r="J49" s="78" t="s">
        <v>860</v>
      </c>
      <c r="K49" s="78" t="str">
        <f t="shared" si="8"/>
        <v>2113</v>
      </c>
      <c r="L49" s="78" t="str">
        <f t="shared" si="6"/>
        <v>21</v>
      </c>
      <c r="M49" s="78" t="str">
        <f t="shared" si="7"/>
        <v>13</v>
      </c>
      <c r="N49" s="78"/>
      <c r="O49" s="80" t="s">
        <v>938</v>
      </c>
      <c r="P49" s="78" t="str">
        <f t="shared" si="0"/>
        <v>00</v>
      </c>
      <c r="Q49" s="78" t="str">
        <f t="shared" si="1"/>
        <v>05</v>
      </c>
      <c r="R49" s="78" t="str">
        <f t="shared" si="2"/>
        <v>39</v>
      </c>
      <c r="S49" s="78" t="str">
        <f t="shared" si="3"/>
        <v>39</v>
      </c>
      <c r="T49" s="78" t="str">
        <f t="shared" si="4"/>
        <v>FF002113000539</v>
      </c>
    </row>
    <row r="50" spans="2:20" s="2" customFormat="1">
      <c r="B50" s="78" t="s">
        <v>939</v>
      </c>
      <c r="C50" s="78" t="str">
        <f t="shared" si="5"/>
        <v>FF00211300063A</v>
      </c>
      <c r="D50" s="78" t="s">
        <v>927</v>
      </c>
      <c r="E50" s="78" t="s">
        <v>928</v>
      </c>
      <c r="F50" s="78" t="s">
        <v>857</v>
      </c>
      <c r="G50" s="78"/>
      <c r="H50" s="79">
        <v>0</v>
      </c>
      <c r="I50" s="81"/>
      <c r="J50" s="78" t="s">
        <v>860</v>
      </c>
      <c r="K50" s="78" t="str">
        <f t="shared" si="8"/>
        <v>2113</v>
      </c>
      <c r="L50" s="78" t="str">
        <f t="shared" si="6"/>
        <v>21</v>
      </c>
      <c r="M50" s="78" t="str">
        <f t="shared" si="7"/>
        <v>13</v>
      </c>
      <c r="N50" s="78"/>
      <c r="O50" s="80" t="s">
        <v>940</v>
      </c>
      <c r="P50" s="78" t="str">
        <f t="shared" si="0"/>
        <v>00</v>
      </c>
      <c r="Q50" s="78" t="str">
        <f t="shared" si="1"/>
        <v>06</v>
      </c>
      <c r="R50" s="78" t="str">
        <f t="shared" si="2"/>
        <v>3A</v>
      </c>
      <c r="S50" s="78" t="str">
        <f t="shared" si="3"/>
        <v>3A</v>
      </c>
      <c r="T50" s="78" t="str">
        <f t="shared" si="4"/>
        <v>FF00211300063A</v>
      </c>
    </row>
    <row r="51" spans="2:20" s="2" customFormat="1">
      <c r="B51" s="78" t="s">
        <v>941</v>
      </c>
      <c r="C51" s="78" t="str">
        <f t="shared" si="5"/>
        <v>FF00211300073B</v>
      </c>
      <c r="D51" s="78" t="s">
        <v>927</v>
      </c>
      <c r="E51" s="78" t="s">
        <v>928</v>
      </c>
      <c r="F51" s="78" t="s">
        <v>857</v>
      </c>
      <c r="G51" s="78"/>
      <c r="H51" s="79">
        <v>0</v>
      </c>
      <c r="I51" s="81"/>
      <c r="J51" s="78" t="s">
        <v>860</v>
      </c>
      <c r="K51" s="78" t="str">
        <f t="shared" si="8"/>
        <v>2113</v>
      </c>
      <c r="L51" s="78" t="str">
        <f t="shared" si="6"/>
        <v>21</v>
      </c>
      <c r="M51" s="78" t="str">
        <f t="shared" si="7"/>
        <v>13</v>
      </c>
      <c r="N51" s="78"/>
      <c r="O51" s="80" t="s">
        <v>942</v>
      </c>
      <c r="P51" s="78" t="str">
        <f t="shared" si="0"/>
        <v>00</v>
      </c>
      <c r="Q51" s="78" t="str">
        <f t="shared" si="1"/>
        <v>07</v>
      </c>
      <c r="R51" s="78" t="str">
        <f t="shared" si="2"/>
        <v>3B</v>
      </c>
      <c r="S51" s="78" t="str">
        <f t="shared" si="3"/>
        <v>3B</v>
      </c>
      <c r="T51" s="78" t="str">
        <f t="shared" si="4"/>
        <v>FF00211300073B</v>
      </c>
    </row>
    <row r="52" spans="2:20" s="2" customFormat="1">
      <c r="B52" s="78" t="s">
        <v>943</v>
      </c>
      <c r="C52" s="78" t="str">
        <f t="shared" si="5"/>
        <v>FF00211300083C</v>
      </c>
      <c r="D52" s="78" t="s">
        <v>927</v>
      </c>
      <c r="E52" s="78" t="s">
        <v>928</v>
      </c>
      <c r="F52" s="78" t="s">
        <v>857</v>
      </c>
      <c r="G52" s="78"/>
      <c r="H52" s="79">
        <v>0</v>
      </c>
      <c r="I52" s="81"/>
      <c r="J52" s="78" t="s">
        <v>860</v>
      </c>
      <c r="K52" s="78" t="str">
        <f t="shared" si="8"/>
        <v>2113</v>
      </c>
      <c r="L52" s="78" t="str">
        <f t="shared" si="6"/>
        <v>21</v>
      </c>
      <c r="M52" s="78" t="str">
        <f t="shared" si="7"/>
        <v>13</v>
      </c>
      <c r="N52" s="78"/>
      <c r="O52" s="80" t="s">
        <v>944</v>
      </c>
      <c r="P52" s="78" t="str">
        <f t="shared" si="0"/>
        <v>00</v>
      </c>
      <c r="Q52" s="78" t="str">
        <f t="shared" si="1"/>
        <v>08</v>
      </c>
      <c r="R52" s="78" t="str">
        <f t="shared" si="2"/>
        <v>3C</v>
      </c>
      <c r="S52" s="78" t="str">
        <f t="shared" si="3"/>
        <v>3C</v>
      </c>
      <c r="T52" s="78" t="str">
        <f t="shared" si="4"/>
        <v>FF00211300083C</v>
      </c>
    </row>
    <row r="53" spans="2:20" s="2" customFormat="1">
      <c r="B53" s="78" t="s">
        <v>945</v>
      </c>
      <c r="C53" s="78" t="str">
        <f t="shared" si="5"/>
        <v>FF00211300093D</v>
      </c>
      <c r="D53" s="78" t="s">
        <v>927</v>
      </c>
      <c r="E53" s="78" t="s">
        <v>928</v>
      </c>
      <c r="F53" s="78" t="s">
        <v>857</v>
      </c>
      <c r="G53" s="78"/>
      <c r="H53" s="79">
        <v>0</v>
      </c>
      <c r="I53" s="81"/>
      <c r="J53" s="78" t="s">
        <v>860</v>
      </c>
      <c r="K53" s="78" t="str">
        <f t="shared" si="8"/>
        <v>2113</v>
      </c>
      <c r="L53" s="78" t="str">
        <f t="shared" si="6"/>
        <v>21</v>
      </c>
      <c r="M53" s="78" t="str">
        <f t="shared" si="7"/>
        <v>13</v>
      </c>
      <c r="N53" s="78"/>
      <c r="O53" s="80" t="s">
        <v>946</v>
      </c>
      <c r="P53" s="78" t="str">
        <f t="shared" si="0"/>
        <v>00</v>
      </c>
      <c r="Q53" s="78" t="str">
        <f t="shared" si="1"/>
        <v>09</v>
      </c>
      <c r="R53" s="78" t="str">
        <f t="shared" ref="R53:R58" si="63">DEC2HEX(SUM(HEX2DEC(L53), HEX2DEC(M53), HEX2DEC(P53), HEX2DEC(Q53)))</f>
        <v>3D</v>
      </c>
      <c r="S53" s="78" t="str">
        <f t="shared" si="3"/>
        <v>3D</v>
      </c>
      <c r="T53" s="78" t="str">
        <f t="shared" si="4"/>
        <v>FF00211300093D</v>
      </c>
    </row>
    <row r="54" spans="2:20" s="2" customFormat="1">
      <c r="B54" s="78" t="s">
        <v>947</v>
      </c>
      <c r="C54" s="78" t="str">
        <f t="shared" si="5"/>
        <v>FF002113000A3E</v>
      </c>
      <c r="D54" s="78" t="s">
        <v>927</v>
      </c>
      <c r="E54" s="78" t="s">
        <v>928</v>
      </c>
      <c r="F54" s="78" t="s">
        <v>857</v>
      </c>
      <c r="G54" s="78"/>
      <c r="H54" s="79">
        <v>0</v>
      </c>
      <c r="I54" s="81"/>
      <c r="J54" s="78" t="s">
        <v>860</v>
      </c>
      <c r="K54" s="78" t="str">
        <f t="shared" si="8"/>
        <v>2113</v>
      </c>
      <c r="L54" s="78" t="str">
        <f t="shared" si="6"/>
        <v>21</v>
      </c>
      <c r="M54" s="78" t="str">
        <f t="shared" si="7"/>
        <v>13</v>
      </c>
      <c r="N54" s="78"/>
      <c r="O54" s="80" t="s">
        <v>1105</v>
      </c>
      <c r="P54" s="78" t="str">
        <f>LEFT(O54, 2)</f>
        <v>00</v>
      </c>
      <c r="Q54" s="78" t="str">
        <f>RIGHT(O54, 2)</f>
        <v>0A</v>
      </c>
      <c r="R54" s="78" t="str">
        <f t="shared" si="63"/>
        <v>3E</v>
      </c>
      <c r="S54" s="78" t="str">
        <f t="shared" si="3"/>
        <v>3E</v>
      </c>
      <c r="T54" s="78" t="str">
        <f>"FF00"&amp;K54&amp;""&amp;P54&amp;Q54&amp;S54</f>
        <v>FF002113000A3E</v>
      </c>
    </row>
    <row r="55" spans="2:20" s="2" customFormat="1">
      <c r="B55" s="78" t="s">
        <v>948</v>
      </c>
      <c r="C55" s="78" t="str">
        <f t="shared" si="5"/>
        <v>FF002117000038</v>
      </c>
      <c r="D55" s="78" t="s">
        <v>949</v>
      </c>
      <c r="E55" s="78" t="s">
        <v>884</v>
      </c>
      <c r="F55" s="78" t="s">
        <v>857</v>
      </c>
      <c r="G55" s="78"/>
      <c r="H55" s="79">
        <v>0</v>
      </c>
      <c r="I55" s="81"/>
      <c r="J55" s="78" t="s">
        <v>860</v>
      </c>
      <c r="K55" s="78" t="str">
        <f xml:space="preserve"> SUBSTITUTE(D55, "0x","")</f>
        <v>2117</v>
      </c>
      <c r="L55" s="78" t="str">
        <f>LEFT(K55,2)</f>
        <v>21</v>
      </c>
      <c r="M55" s="78" t="str">
        <f>RIGHT(K55,2)</f>
        <v>17</v>
      </c>
      <c r="N55" s="78"/>
      <c r="O55" s="80" t="s">
        <v>861</v>
      </c>
      <c r="P55" s="78" t="str">
        <f>LEFT(O55, 2)</f>
        <v>00</v>
      </c>
      <c r="Q55" s="78" t="str">
        <f>RIGHT(O55, 2)</f>
        <v>00</v>
      </c>
      <c r="R55" s="78" t="str">
        <f t="shared" si="63"/>
        <v>38</v>
      </c>
      <c r="S55" s="78" t="str">
        <f>RIGHT(R55,2)</f>
        <v>38</v>
      </c>
      <c r="T55" s="78" t="str">
        <f>"FF00"&amp;K55&amp;""&amp;P55&amp;Q55&amp;S55</f>
        <v>FF002117000038</v>
      </c>
    </row>
    <row r="56" spans="2:20" s="2" customFormat="1">
      <c r="B56" s="78" t="s">
        <v>950</v>
      </c>
      <c r="C56" s="78" t="str">
        <f t="shared" si="5"/>
        <v>FF002117000139</v>
      </c>
      <c r="D56" s="78" t="s">
        <v>949</v>
      </c>
      <c r="E56" s="78" t="s">
        <v>884</v>
      </c>
      <c r="F56" s="78" t="s">
        <v>857</v>
      </c>
      <c r="G56" s="78"/>
      <c r="H56" s="79">
        <v>0</v>
      </c>
      <c r="I56" s="81"/>
      <c r="J56" s="78" t="s">
        <v>860</v>
      </c>
      <c r="K56" s="78" t="str">
        <f xml:space="preserve"> SUBSTITUTE(D56, "0x","")</f>
        <v>2117</v>
      </c>
      <c r="L56" s="78" t="str">
        <f>LEFT(K56,2)</f>
        <v>21</v>
      </c>
      <c r="M56" s="78" t="str">
        <f>RIGHT(K56,2)</f>
        <v>17</v>
      </c>
      <c r="N56" s="78"/>
      <c r="O56" s="80" t="s">
        <v>863</v>
      </c>
      <c r="P56" s="78" t="str">
        <f>LEFT(O56, 2)</f>
        <v>00</v>
      </c>
      <c r="Q56" s="78" t="str">
        <f>RIGHT(O56, 2)</f>
        <v>01</v>
      </c>
      <c r="R56" s="78" t="str">
        <f t="shared" si="63"/>
        <v>39</v>
      </c>
      <c r="S56" s="78" t="str">
        <f>RIGHT(R56,2)</f>
        <v>39</v>
      </c>
      <c r="T56" s="78" t="str">
        <f>"FF00"&amp;K56&amp;""&amp;P56&amp;Q56&amp;S56</f>
        <v>FF002117000139</v>
      </c>
    </row>
    <row r="57" spans="2:20" s="2" customFormat="1">
      <c r="B57" s="78" t="s">
        <v>951</v>
      </c>
      <c r="C57" s="78" t="str">
        <f t="shared" si="5"/>
        <v>FF00211A00003B</v>
      </c>
      <c r="D57" s="78" t="s">
        <v>952</v>
      </c>
      <c r="E57" s="78" t="s">
        <v>884</v>
      </c>
      <c r="F57" s="78" t="s">
        <v>857</v>
      </c>
      <c r="G57" s="78"/>
      <c r="H57" s="79">
        <v>0</v>
      </c>
      <c r="I57" s="81"/>
      <c r="J57" s="78" t="s">
        <v>860</v>
      </c>
      <c r="K57" s="78" t="str">
        <f t="shared" ref="K57:K122" si="64" xml:space="preserve"> SUBSTITUTE(D57, "0x","")</f>
        <v>211A</v>
      </c>
      <c r="L57" s="78" t="str">
        <f t="shared" ref="L57:L122" si="65">LEFT(K57,2)</f>
        <v>21</v>
      </c>
      <c r="M57" s="78" t="str">
        <f t="shared" ref="M57:M122" si="66">RIGHT(K57,2)</f>
        <v>1A</v>
      </c>
      <c r="N57" s="78"/>
      <c r="O57" s="80" t="s">
        <v>861</v>
      </c>
      <c r="P57" s="78" t="str">
        <f>LEFT(O57, 2)</f>
        <v>00</v>
      </c>
      <c r="Q57" s="78" t="str">
        <f>RIGHT(O57, 2)</f>
        <v>00</v>
      </c>
      <c r="R57" s="78" t="str">
        <f t="shared" si="63"/>
        <v>3B</v>
      </c>
      <c r="S57" s="78" t="str">
        <f>RIGHT(R57,2)</f>
        <v>3B</v>
      </c>
      <c r="T57" s="78" t="str">
        <f>"FF00"&amp;K57&amp;""&amp;P57&amp;Q57&amp;S57</f>
        <v>FF00211A00003B</v>
      </c>
    </row>
    <row r="58" spans="2:20" s="2" customFormat="1">
      <c r="B58" s="78" t="s">
        <v>953</v>
      </c>
      <c r="C58" s="78" t="str">
        <f t="shared" si="5"/>
        <v>FF00211A000641</v>
      </c>
      <c r="D58" s="78" t="s">
        <v>952</v>
      </c>
      <c r="E58" s="78" t="s">
        <v>884</v>
      </c>
      <c r="F58" s="78" t="s">
        <v>857</v>
      </c>
      <c r="G58" s="78"/>
      <c r="H58" s="79">
        <v>0</v>
      </c>
      <c r="I58" s="81"/>
      <c r="J58" s="78" t="s">
        <v>860</v>
      </c>
      <c r="K58" s="78" t="str">
        <f t="shared" si="64"/>
        <v>211A</v>
      </c>
      <c r="L58" s="78" t="str">
        <f t="shared" si="65"/>
        <v>21</v>
      </c>
      <c r="M58" s="78" t="str">
        <f t="shared" si="66"/>
        <v>1A</v>
      </c>
      <c r="N58" s="78"/>
      <c r="O58" s="80" t="s">
        <v>954</v>
      </c>
      <c r="P58" s="78" t="str">
        <f>LEFT(O58, 2)</f>
        <v>00</v>
      </c>
      <c r="Q58" s="78" t="str">
        <f>RIGHT(O58, 2)</f>
        <v>06</v>
      </c>
      <c r="R58" s="78" t="str">
        <f t="shared" si="63"/>
        <v>41</v>
      </c>
      <c r="S58" s="78" t="str">
        <f>RIGHT(R58,2)</f>
        <v>41</v>
      </c>
      <c r="T58" s="78" t="str">
        <f>"FF00"&amp;K58&amp;""&amp;P58&amp;Q58&amp;S58</f>
        <v>FF00211A000641</v>
      </c>
    </row>
    <row r="59" spans="2:20" s="2" customFormat="1">
      <c r="B59" s="78" t="s">
        <v>955</v>
      </c>
      <c r="C59" s="78" t="str">
        <f t="shared" si="5"/>
        <v>FF00211B00003C</v>
      </c>
      <c r="D59" s="78" t="s">
        <v>956</v>
      </c>
      <c r="E59" s="78" t="s">
        <v>884</v>
      </c>
      <c r="F59" s="78" t="s">
        <v>857</v>
      </c>
      <c r="G59" s="78"/>
      <c r="H59" s="79">
        <v>5</v>
      </c>
      <c r="I59" s="81"/>
      <c r="J59" s="78" t="s">
        <v>860</v>
      </c>
      <c r="K59" s="78" t="str">
        <f t="shared" si="64"/>
        <v>211B</v>
      </c>
      <c r="L59" s="78" t="str">
        <f t="shared" si="65"/>
        <v>21</v>
      </c>
      <c r="M59" s="78" t="str">
        <f t="shared" si="66"/>
        <v>1B</v>
      </c>
      <c r="N59" s="78"/>
      <c r="O59" s="80" t="s">
        <v>861</v>
      </c>
      <c r="P59" s="78" t="str">
        <f t="shared" ref="P59:P124" si="67">LEFT(O59, 2)</f>
        <v>00</v>
      </c>
      <c r="Q59" s="78" t="str">
        <f t="shared" ref="Q59:Q124" si="68">RIGHT(O59, 2)</f>
        <v>00</v>
      </c>
      <c r="R59" s="78" t="str">
        <f t="shared" ref="R59:R124" si="69">DEC2HEX(SUM(HEX2DEC(L59), HEX2DEC(M59), HEX2DEC(P59), HEX2DEC(Q59)))</f>
        <v>3C</v>
      </c>
      <c r="S59" s="78" t="str">
        <f t="shared" ref="S59:S124" si="70">RIGHT(R59,2)</f>
        <v>3C</v>
      </c>
      <c r="T59" s="78" t="str">
        <f t="shared" ref="T59:T124" si="71">"FF00"&amp;K59&amp;""&amp;P59&amp;Q59&amp;S59</f>
        <v>FF00211B00003C</v>
      </c>
    </row>
    <row r="60" spans="2:20" s="2" customFormat="1">
      <c r="B60" s="78" t="s">
        <v>957</v>
      </c>
      <c r="C60" s="78" t="str">
        <f t="shared" si="5"/>
        <v>FF00211B000541</v>
      </c>
      <c r="D60" s="78" t="s">
        <v>956</v>
      </c>
      <c r="E60" s="78" t="s">
        <v>884</v>
      </c>
      <c r="F60" s="78" t="s">
        <v>857</v>
      </c>
      <c r="G60" s="78"/>
      <c r="H60" s="79">
        <v>5</v>
      </c>
      <c r="I60" s="81"/>
      <c r="J60" s="78" t="s">
        <v>860</v>
      </c>
      <c r="K60" s="78" t="str">
        <f t="shared" si="64"/>
        <v>211B</v>
      </c>
      <c r="L60" s="78" t="str">
        <f t="shared" si="65"/>
        <v>21</v>
      </c>
      <c r="M60" s="78" t="str">
        <f t="shared" si="66"/>
        <v>1B</v>
      </c>
      <c r="N60" s="78"/>
      <c r="O60" s="80" t="s">
        <v>908</v>
      </c>
      <c r="P60" s="78" t="str">
        <f t="shared" si="67"/>
        <v>00</v>
      </c>
      <c r="Q60" s="78" t="str">
        <f t="shared" si="68"/>
        <v>05</v>
      </c>
      <c r="R60" s="78" t="str">
        <f t="shared" si="69"/>
        <v>41</v>
      </c>
      <c r="S60" s="78" t="str">
        <f t="shared" si="70"/>
        <v>41</v>
      </c>
      <c r="T60" s="78" t="str">
        <f t="shared" si="71"/>
        <v>FF00211B000541</v>
      </c>
    </row>
    <row r="61" spans="2:20" s="2" customFormat="1">
      <c r="B61" s="78" t="s">
        <v>958</v>
      </c>
      <c r="C61" s="78" t="str">
        <f t="shared" si="5"/>
        <v>FF002120000142</v>
      </c>
      <c r="D61" s="78" t="s">
        <v>959</v>
      </c>
      <c r="E61" s="78" t="s">
        <v>884</v>
      </c>
      <c r="F61" s="78" t="s">
        <v>857</v>
      </c>
      <c r="G61" s="78"/>
      <c r="H61" s="79">
        <v>1</v>
      </c>
      <c r="I61" s="81"/>
      <c r="J61" s="78" t="s">
        <v>860</v>
      </c>
      <c r="K61" s="78" t="str">
        <f t="shared" si="64"/>
        <v>2120</v>
      </c>
      <c r="L61" s="78" t="str">
        <f t="shared" si="65"/>
        <v>21</v>
      </c>
      <c r="M61" s="78" t="str">
        <f t="shared" si="66"/>
        <v>20</v>
      </c>
      <c r="N61" s="78"/>
      <c r="O61" s="80" t="s">
        <v>863</v>
      </c>
      <c r="P61" s="78" t="str">
        <f t="shared" si="67"/>
        <v>00</v>
      </c>
      <c r="Q61" s="78" t="str">
        <f t="shared" si="68"/>
        <v>01</v>
      </c>
      <c r="R61" s="78" t="str">
        <f t="shared" si="69"/>
        <v>42</v>
      </c>
      <c r="S61" s="78" t="str">
        <f t="shared" si="70"/>
        <v>42</v>
      </c>
      <c r="T61" s="78" t="str">
        <f t="shared" si="71"/>
        <v>FF002120000142</v>
      </c>
    </row>
    <row r="62" spans="2:20" s="2" customFormat="1">
      <c r="B62" s="78" t="s">
        <v>960</v>
      </c>
      <c r="C62" s="78" t="str">
        <f t="shared" si="5"/>
        <v>FF002120000243</v>
      </c>
      <c r="D62" s="78" t="s">
        <v>959</v>
      </c>
      <c r="E62" s="78" t="s">
        <v>884</v>
      </c>
      <c r="F62" s="78" t="s">
        <v>857</v>
      </c>
      <c r="G62" s="78"/>
      <c r="H62" s="79">
        <v>1</v>
      </c>
      <c r="I62" s="81"/>
      <c r="J62" s="78" t="s">
        <v>860</v>
      </c>
      <c r="K62" s="78" t="str">
        <f t="shared" si="64"/>
        <v>2120</v>
      </c>
      <c r="L62" s="78" t="str">
        <f t="shared" si="65"/>
        <v>21</v>
      </c>
      <c r="M62" s="78" t="str">
        <f t="shared" si="66"/>
        <v>20</v>
      </c>
      <c r="N62" s="78"/>
      <c r="O62" s="80" t="s">
        <v>888</v>
      </c>
      <c r="P62" s="78" t="str">
        <f t="shared" si="67"/>
        <v>00</v>
      </c>
      <c r="Q62" s="78" t="str">
        <f t="shared" si="68"/>
        <v>02</v>
      </c>
      <c r="R62" s="78" t="str">
        <f t="shared" si="69"/>
        <v>43</v>
      </c>
      <c r="S62" s="78" t="str">
        <f t="shared" si="70"/>
        <v>43</v>
      </c>
      <c r="T62" s="78" t="str">
        <f t="shared" si="71"/>
        <v>FF002120000243</v>
      </c>
    </row>
    <row r="63" spans="2:20" s="2" customFormat="1">
      <c r="B63" s="78" t="s">
        <v>961</v>
      </c>
      <c r="C63" s="78" t="str">
        <f t="shared" si="5"/>
        <v>FF002120000344</v>
      </c>
      <c r="D63" s="78" t="s">
        <v>959</v>
      </c>
      <c r="E63" s="78" t="s">
        <v>884</v>
      </c>
      <c r="F63" s="78" t="s">
        <v>857</v>
      </c>
      <c r="G63" s="78"/>
      <c r="H63" s="79">
        <v>1</v>
      </c>
      <c r="I63" s="81"/>
      <c r="J63" s="78" t="s">
        <v>860</v>
      </c>
      <c r="K63" s="78" t="str">
        <f t="shared" si="64"/>
        <v>2120</v>
      </c>
      <c r="L63" s="78" t="str">
        <f t="shared" si="65"/>
        <v>21</v>
      </c>
      <c r="M63" s="78" t="str">
        <f t="shared" si="66"/>
        <v>20</v>
      </c>
      <c r="N63" s="78"/>
      <c r="O63" s="80" t="s">
        <v>904</v>
      </c>
      <c r="P63" s="78" t="str">
        <f t="shared" si="67"/>
        <v>00</v>
      </c>
      <c r="Q63" s="78" t="str">
        <f t="shared" si="68"/>
        <v>03</v>
      </c>
      <c r="R63" s="78" t="str">
        <f t="shared" si="69"/>
        <v>44</v>
      </c>
      <c r="S63" s="78" t="str">
        <f t="shared" si="70"/>
        <v>44</v>
      </c>
      <c r="T63" s="78" t="str">
        <f t="shared" si="71"/>
        <v>FF002120000344</v>
      </c>
    </row>
    <row r="64" spans="2:20" s="2" customFormat="1">
      <c r="B64" s="78" t="s">
        <v>1095</v>
      </c>
      <c r="C64" s="78" t="str">
        <f t="shared" si="5"/>
        <v>FF002120000445</v>
      </c>
      <c r="D64" s="78" t="s">
        <v>959</v>
      </c>
      <c r="E64" s="78" t="s">
        <v>884</v>
      </c>
      <c r="F64" s="78" t="s">
        <v>857</v>
      </c>
      <c r="G64" s="78"/>
      <c r="H64" s="79">
        <v>1</v>
      </c>
      <c r="I64" s="81"/>
      <c r="J64" s="78" t="s">
        <v>860</v>
      </c>
      <c r="K64" s="78" t="str">
        <f t="shared" si="64"/>
        <v>2120</v>
      </c>
      <c r="L64" s="78" t="str">
        <f t="shared" si="65"/>
        <v>21</v>
      </c>
      <c r="M64" s="78" t="str">
        <f t="shared" si="66"/>
        <v>20</v>
      </c>
      <c r="N64" s="78"/>
      <c r="O64" s="80" t="s">
        <v>962</v>
      </c>
      <c r="P64" s="78" t="str">
        <f t="shared" si="67"/>
        <v>00</v>
      </c>
      <c r="Q64" s="78" t="str">
        <f t="shared" si="68"/>
        <v>04</v>
      </c>
      <c r="R64" s="78" t="str">
        <f t="shared" si="69"/>
        <v>45</v>
      </c>
      <c r="S64" s="78" t="str">
        <f t="shared" si="70"/>
        <v>45</v>
      </c>
      <c r="T64" s="78" t="str">
        <f t="shared" si="71"/>
        <v>FF002120000445</v>
      </c>
    </row>
    <row r="65" spans="2:20" s="2" customFormat="1">
      <c r="B65" s="78" t="s">
        <v>963</v>
      </c>
      <c r="C65" s="78" t="str">
        <f t="shared" si="5"/>
        <v>FF00216C00008D</v>
      </c>
      <c r="D65" s="78" t="s">
        <v>964</v>
      </c>
      <c r="E65" s="78" t="s">
        <v>884</v>
      </c>
      <c r="F65" s="78" t="s">
        <v>857</v>
      </c>
      <c r="G65" s="78"/>
      <c r="H65" s="79">
        <v>0</v>
      </c>
      <c r="I65" s="81"/>
      <c r="J65" s="78" t="s">
        <v>860</v>
      </c>
      <c r="K65" s="78" t="str">
        <f t="shared" si="64"/>
        <v>216C</v>
      </c>
      <c r="L65" s="78" t="str">
        <f t="shared" si="65"/>
        <v>21</v>
      </c>
      <c r="M65" s="78" t="str">
        <f t="shared" si="66"/>
        <v>6C</v>
      </c>
      <c r="N65" s="78"/>
      <c r="O65" s="80" t="s">
        <v>861</v>
      </c>
      <c r="P65" s="78" t="str">
        <f t="shared" si="67"/>
        <v>00</v>
      </c>
      <c r="Q65" s="78" t="str">
        <f t="shared" si="68"/>
        <v>00</v>
      </c>
      <c r="R65" s="78" t="str">
        <f t="shared" si="69"/>
        <v>8D</v>
      </c>
      <c r="S65" s="78" t="str">
        <f t="shared" si="70"/>
        <v>8D</v>
      </c>
      <c r="T65" s="78" t="str">
        <f t="shared" si="71"/>
        <v>FF00216C00008D</v>
      </c>
    </row>
    <row r="66" spans="2:20" s="2" customFormat="1">
      <c r="B66" s="78" t="s">
        <v>965</v>
      </c>
      <c r="C66" s="78" t="str">
        <f t="shared" si="5"/>
        <v>FF00216C00018E</v>
      </c>
      <c r="D66" s="78" t="s">
        <v>964</v>
      </c>
      <c r="E66" s="78" t="s">
        <v>884</v>
      </c>
      <c r="F66" s="78" t="s">
        <v>857</v>
      </c>
      <c r="G66" s="78"/>
      <c r="H66" s="79">
        <v>0</v>
      </c>
      <c r="I66" s="81"/>
      <c r="J66" s="78" t="s">
        <v>860</v>
      </c>
      <c r="K66" s="78" t="str">
        <f t="shared" si="64"/>
        <v>216C</v>
      </c>
      <c r="L66" s="78" t="str">
        <f t="shared" si="65"/>
        <v>21</v>
      </c>
      <c r="M66" s="78" t="str">
        <f t="shared" si="66"/>
        <v>6C</v>
      </c>
      <c r="N66" s="78"/>
      <c r="O66" s="80" t="s">
        <v>863</v>
      </c>
      <c r="P66" s="78" t="str">
        <f t="shared" si="67"/>
        <v>00</v>
      </c>
      <c r="Q66" s="78" t="str">
        <f t="shared" si="68"/>
        <v>01</v>
      </c>
      <c r="R66" s="78" t="str">
        <f t="shared" si="69"/>
        <v>8E</v>
      </c>
      <c r="S66" s="78" t="str">
        <f t="shared" si="70"/>
        <v>8E</v>
      </c>
      <c r="T66" s="78" t="str">
        <f t="shared" si="71"/>
        <v>FF00216C00018E</v>
      </c>
    </row>
    <row r="67" spans="2:20" s="2" customFormat="1">
      <c r="B67" s="78" t="s">
        <v>966</v>
      </c>
      <c r="C67" s="78" t="str">
        <f t="shared" si="5"/>
        <v>FF002172000396</v>
      </c>
      <c r="D67" s="78" t="s">
        <v>967</v>
      </c>
      <c r="E67" s="78" t="s">
        <v>884</v>
      </c>
      <c r="F67" s="78" t="s">
        <v>857</v>
      </c>
      <c r="G67" s="78" t="s">
        <v>968</v>
      </c>
      <c r="H67" s="79">
        <v>30</v>
      </c>
      <c r="I67" s="81"/>
      <c r="J67" s="78" t="s">
        <v>860</v>
      </c>
      <c r="K67" s="78" t="str">
        <f t="shared" si="64"/>
        <v>2172</v>
      </c>
      <c r="L67" s="78" t="str">
        <f t="shared" si="65"/>
        <v>21</v>
      </c>
      <c r="M67" s="78" t="str">
        <f t="shared" si="66"/>
        <v>72</v>
      </c>
      <c r="N67" s="78"/>
      <c r="O67" s="80" t="s">
        <v>904</v>
      </c>
      <c r="P67" s="78" t="str">
        <f t="shared" si="67"/>
        <v>00</v>
      </c>
      <c r="Q67" s="78" t="str">
        <f t="shared" si="68"/>
        <v>03</v>
      </c>
      <c r="R67" s="78" t="str">
        <f t="shared" si="69"/>
        <v>96</v>
      </c>
      <c r="S67" s="78" t="str">
        <f t="shared" si="70"/>
        <v>96</v>
      </c>
      <c r="T67" s="78" t="str">
        <f t="shared" si="71"/>
        <v>FF002172000396</v>
      </c>
    </row>
    <row r="68" spans="2:20" s="2" customFormat="1">
      <c r="B68" s="78" t="s">
        <v>969</v>
      </c>
      <c r="C68" s="78" t="str">
        <f t="shared" si="5"/>
        <v>FF002175000399</v>
      </c>
      <c r="D68" s="78" t="s">
        <v>970</v>
      </c>
      <c r="E68" s="78" t="s">
        <v>884</v>
      </c>
      <c r="F68" s="78" t="s">
        <v>857</v>
      </c>
      <c r="G68" s="78" t="s">
        <v>968</v>
      </c>
      <c r="H68" s="79">
        <v>20</v>
      </c>
      <c r="I68" s="81"/>
      <c r="J68" s="78" t="s">
        <v>860</v>
      </c>
      <c r="K68" s="78" t="str">
        <f t="shared" si="64"/>
        <v>2175</v>
      </c>
      <c r="L68" s="78" t="str">
        <f t="shared" si="65"/>
        <v>21</v>
      </c>
      <c r="M68" s="78" t="str">
        <f t="shared" si="66"/>
        <v>75</v>
      </c>
      <c r="N68" s="78"/>
      <c r="O68" s="80" t="s">
        <v>904</v>
      </c>
      <c r="P68" s="78" t="str">
        <f t="shared" si="67"/>
        <v>00</v>
      </c>
      <c r="Q68" s="78" t="str">
        <f t="shared" si="68"/>
        <v>03</v>
      </c>
      <c r="R68" s="78" t="str">
        <f t="shared" si="69"/>
        <v>99</v>
      </c>
      <c r="S68" s="78" t="str">
        <f t="shared" si="70"/>
        <v>99</v>
      </c>
      <c r="T68" s="78" t="str">
        <f t="shared" si="71"/>
        <v>FF002175000399</v>
      </c>
    </row>
    <row r="69" spans="2:20" s="2" customFormat="1">
      <c r="B69" s="78" t="s">
        <v>971</v>
      </c>
      <c r="C69" s="78" t="str">
        <f t="shared" si="5"/>
        <v>FF0021800003A4</v>
      </c>
      <c r="D69" s="78" t="s">
        <v>972</v>
      </c>
      <c r="E69" s="78" t="s">
        <v>884</v>
      </c>
      <c r="F69" s="78" t="s">
        <v>857</v>
      </c>
      <c r="G69" s="78" t="s">
        <v>968</v>
      </c>
      <c r="H69" s="79">
        <v>0</v>
      </c>
      <c r="I69" s="81"/>
      <c r="J69" s="78" t="s">
        <v>860</v>
      </c>
      <c r="K69" s="78" t="str">
        <f t="shared" si="64"/>
        <v>2180</v>
      </c>
      <c r="L69" s="78" t="str">
        <f t="shared" si="65"/>
        <v>21</v>
      </c>
      <c r="M69" s="78" t="str">
        <f t="shared" si="66"/>
        <v>80</v>
      </c>
      <c r="N69" s="78"/>
      <c r="O69" s="80" t="s">
        <v>904</v>
      </c>
      <c r="P69" s="78" t="str">
        <f t="shared" si="67"/>
        <v>00</v>
      </c>
      <c r="Q69" s="78" t="str">
        <f t="shared" si="68"/>
        <v>03</v>
      </c>
      <c r="R69" s="78" t="str">
        <f t="shared" si="69"/>
        <v>A4</v>
      </c>
      <c r="S69" s="78" t="str">
        <f t="shared" si="70"/>
        <v>A4</v>
      </c>
      <c r="T69" s="78" t="str">
        <f t="shared" si="71"/>
        <v>FF0021800003A4</v>
      </c>
    </row>
    <row r="70" spans="2:20" s="2" customFormat="1">
      <c r="B70" s="78" t="s">
        <v>973</v>
      </c>
      <c r="C70" s="78" t="str">
        <f t="shared" si="5"/>
        <v>FF0021810003A5</v>
      </c>
      <c r="D70" s="78" t="s">
        <v>974</v>
      </c>
      <c r="E70" s="78" t="s">
        <v>884</v>
      </c>
      <c r="F70" s="78" t="s">
        <v>857</v>
      </c>
      <c r="G70" s="78" t="s">
        <v>968</v>
      </c>
      <c r="H70" s="79" t="s">
        <v>975</v>
      </c>
      <c r="I70" s="81"/>
      <c r="J70" s="78" t="s">
        <v>860</v>
      </c>
      <c r="K70" s="78" t="str">
        <f t="shared" si="64"/>
        <v>2181</v>
      </c>
      <c r="L70" s="78" t="str">
        <f t="shared" si="65"/>
        <v>21</v>
      </c>
      <c r="M70" s="78" t="str">
        <f t="shared" si="66"/>
        <v>81</v>
      </c>
      <c r="N70" s="78"/>
      <c r="O70" s="80" t="s">
        <v>904</v>
      </c>
      <c r="P70" s="78" t="str">
        <f t="shared" si="67"/>
        <v>00</v>
      </c>
      <c r="Q70" s="78" t="str">
        <f t="shared" si="68"/>
        <v>03</v>
      </c>
      <c r="R70" s="78" t="str">
        <f t="shared" si="69"/>
        <v>A5</v>
      </c>
      <c r="S70" s="78" t="str">
        <f t="shared" si="70"/>
        <v>A5</v>
      </c>
      <c r="T70" s="78" t="str">
        <f t="shared" si="71"/>
        <v>FF0021810003A5</v>
      </c>
    </row>
    <row r="71" spans="2:20" s="2" customFormat="1">
      <c r="B71" s="78" t="s">
        <v>976</v>
      </c>
      <c r="C71" s="78" t="str">
        <f t="shared" si="5"/>
        <v>FF0021820003A6</v>
      </c>
      <c r="D71" s="78" t="s">
        <v>977</v>
      </c>
      <c r="E71" s="78" t="s">
        <v>884</v>
      </c>
      <c r="F71" s="78" t="s">
        <v>857</v>
      </c>
      <c r="G71" s="78" t="s">
        <v>968</v>
      </c>
      <c r="H71" s="79" t="s">
        <v>975</v>
      </c>
      <c r="I71" s="81"/>
      <c r="J71" s="78" t="s">
        <v>860</v>
      </c>
      <c r="K71" s="78" t="str">
        <f t="shared" si="64"/>
        <v>2182</v>
      </c>
      <c r="L71" s="78" t="str">
        <f t="shared" si="65"/>
        <v>21</v>
      </c>
      <c r="M71" s="78" t="str">
        <f t="shared" si="66"/>
        <v>82</v>
      </c>
      <c r="N71" s="78"/>
      <c r="O71" s="80" t="s">
        <v>904</v>
      </c>
      <c r="P71" s="78" t="str">
        <f t="shared" si="67"/>
        <v>00</v>
      </c>
      <c r="Q71" s="78" t="str">
        <f t="shared" si="68"/>
        <v>03</v>
      </c>
      <c r="R71" s="78" t="str">
        <f t="shared" si="69"/>
        <v>A6</v>
      </c>
      <c r="S71" s="78" t="str">
        <f t="shared" si="70"/>
        <v>A6</v>
      </c>
      <c r="T71" s="78" t="str">
        <f t="shared" si="71"/>
        <v>FF0021820003A6</v>
      </c>
    </row>
    <row r="72" spans="2:20" s="2" customFormat="1">
      <c r="B72" s="78" t="s">
        <v>978</v>
      </c>
      <c r="C72" s="78" t="str">
        <f t="shared" si="5"/>
        <v>FF0021830003A7</v>
      </c>
      <c r="D72" s="78" t="s">
        <v>979</v>
      </c>
      <c r="E72" s="78" t="s">
        <v>884</v>
      </c>
      <c r="F72" s="78" t="s">
        <v>857</v>
      </c>
      <c r="G72" s="78" t="s">
        <v>968</v>
      </c>
      <c r="H72" s="79">
        <v>0</v>
      </c>
      <c r="I72" s="81"/>
      <c r="J72" s="78" t="s">
        <v>860</v>
      </c>
      <c r="K72" s="78" t="str">
        <f t="shared" si="64"/>
        <v>2183</v>
      </c>
      <c r="L72" s="78" t="str">
        <f t="shared" si="65"/>
        <v>21</v>
      </c>
      <c r="M72" s="78" t="str">
        <f t="shared" si="66"/>
        <v>83</v>
      </c>
      <c r="N72" s="78"/>
      <c r="O72" s="80" t="s">
        <v>904</v>
      </c>
      <c r="P72" s="78" t="str">
        <f t="shared" si="67"/>
        <v>00</v>
      </c>
      <c r="Q72" s="78" t="str">
        <f t="shared" si="68"/>
        <v>03</v>
      </c>
      <c r="R72" s="78" t="str">
        <f t="shared" si="69"/>
        <v>A7</v>
      </c>
      <c r="S72" s="78" t="str">
        <f t="shared" si="70"/>
        <v>A7</v>
      </c>
      <c r="T72" s="78" t="str">
        <f t="shared" si="71"/>
        <v>FF0021830003A7</v>
      </c>
    </row>
    <row r="73" spans="2:20" s="2" customFormat="1">
      <c r="B73" s="78" t="s">
        <v>980</v>
      </c>
      <c r="C73" s="78" t="str">
        <f t="shared" si="5"/>
        <v>FF002200000022</v>
      </c>
      <c r="D73" s="78" t="s">
        <v>981</v>
      </c>
      <c r="E73" s="78" t="s">
        <v>884</v>
      </c>
      <c r="F73" s="78" t="s">
        <v>857</v>
      </c>
      <c r="G73" s="78" t="s">
        <v>968</v>
      </c>
      <c r="H73" s="79">
        <v>0</v>
      </c>
      <c r="I73" s="78" t="s">
        <v>871</v>
      </c>
      <c r="J73" s="78" t="s">
        <v>860</v>
      </c>
      <c r="K73" s="78" t="str">
        <f t="shared" si="64"/>
        <v>2200</v>
      </c>
      <c r="L73" s="78" t="str">
        <f t="shared" si="65"/>
        <v>22</v>
      </c>
      <c r="M73" s="78" t="str">
        <f t="shared" si="66"/>
        <v>00</v>
      </c>
      <c r="N73" s="78"/>
      <c r="O73" s="80" t="s">
        <v>861</v>
      </c>
      <c r="P73" s="78" t="str">
        <f t="shared" si="67"/>
        <v>00</v>
      </c>
      <c r="Q73" s="78" t="str">
        <f t="shared" si="68"/>
        <v>00</v>
      </c>
      <c r="R73" s="78" t="str">
        <f t="shared" si="69"/>
        <v>22</v>
      </c>
      <c r="S73" s="78" t="str">
        <f t="shared" si="70"/>
        <v>22</v>
      </c>
      <c r="T73" s="78" t="str">
        <f t="shared" si="71"/>
        <v>FF002200000022</v>
      </c>
    </row>
    <row r="74" spans="2:20" s="2" customFormat="1">
      <c r="B74" s="78" t="s">
        <v>30</v>
      </c>
      <c r="C74" s="78" t="str">
        <f t="shared" si="5"/>
        <v>FF002200000123</v>
      </c>
      <c r="D74" s="78" t="s">
        <v>981</v>
      </c>
      <c r="E74" s="78" t="s">
        <v>884</v>
      </c>
      <c r="F74" s="78" t="s">
        <v>857</v>
      </c>
      <c r="G74" s="78" t="s">
        <v>968</v>
      </c>
      <c r="H74" s="79">
        <v>0</v>
      </c>
      <c r="I74" s="78" t="s">
        <v>871</v>
      </c>
      <c r="J74" s="78" t="s">
        <v>860</v>
      </c>
      <c r="K74" s="78" t="str">
        <f t="shared" si="64"/>
        <v>2200</v>
      </c>
      <c r="L74" s="78" t="str">
        <f t="shared" si="65"/>
        <v>22</v>
      </c>
      <c r="M74" s="78" t="str">
        <f t="shared" si="66"/>
        <v>00</v>
      </c>
      <c r="N74" s="78"/>
      <c r="O74" s="80" t="s">
        <v>863</v>
      </c>
      <c r="P74" s="78" t="str">
        <f t="shared" si="67"/>
        <v>00</v>
      </c>
      <c r="Q74" s="78" t="str">
        <f t="shared" si="68"/>
        <v>01</v>
      </c>
      <c r="R74" s="78" t="str">
        <f t="shared" si="69"/>
        <v>23</v>
      </c>
      <c r="S74" s="78" t="str">
        <f t="shared" si="70"/>
        <v>23</v>
      </c>
      <c r="T74" s="78" t="str">
        <f t="shared" si="71"/>
        <v>FF002200000123</v>
      </c>
    </row>
    <row r="75" spans="2:20" s="2" customFormat="1">
      <c r="B75" s="78" t="s">
        <v>31</v>
      </c>
      <c r="C75" s="78" t="str">
        <f t="shared" ref="C75:C140" si="72">T75</f>
        <v>FF002200000224</v>
      </c>
      <c r="D75" s="78" t="s">
        <v>981</v>
      </c>
      <c r="E75" s="78" t="s">
        <v>884</v>
      </c>
      <c r="F75" s="78" t="s">
        <v>857</v>
      </c>
      <c r="G75" s="78" t="s">
        <v>968</v>
      </c>
      <c r="H75" s="79">
        <v>0</v>
      </c>
      <c r="I75" s="78" t="s">
        <v>871</v>
      </c>
      <c r="J75" s="78" t="s">
        <v>860</v>
      </c>
      <c r="K75" s="78" t="str">
        <f t="shared" si="64"/>
        <v>2200</v>
      </c>
      <c r="L75" s="78" t="str">
        <f t="shared" si="65"/>
        <v>22</v>
      </c>
      <c r="M75" s="78" t="str">
        <f t="shared" si="66"/>
        <v>00</v>
      </c>
      <c r="N75" s="78"/>
      <c r="O75" s="80" t="s">
        <v>888</v>
      </c>
      <c r="P75" s="78" t="str">
        <f t="shared" si="67"/>
        <v>00</v>
      </c>
      <c r="Q75" s="78" t="str">
        <f t="shared" si="68"/>
        <v>02</v>
      </c>
      <c r="R75" s="78" t="str">
        <f t="shared" si="69"/>
        <v>24</v>
      </c>
      <c r="S75" s="78" t="str">
        <f t="shared" si="70"/>
        <v>24</v>
      </c>
      <c r="T75" s="78" t="str">
        <f t="shared" si="71"/>
        <v>FF002200000224</v>
      </c>
    </row>
    <row r="76" spans="2:20" s="2" customFormat="1">
      <c r="B76" s="78" t="s">
        <v>982</v>
      </c>
      <c r="C76" s="78" t="str">
        <f t="shared" si="72"/>
        <v>FF002201000023</v>
      </c>
      <c r="D76" s="78" t="s">
        <v>983</v>
      </c>
      <c r="E76" s="78" t="s">
        <v>884</v>
      </c>
      <c r="F76" s="78" t="s">
        <v>857</v>
      </c>
      <c r="G76" s="78" t="s">
        <v>968</v>
      </c>
      <c r="H76" s="79">
        <v>0</v>
      </c>
      <c r="I76" s="78" t="s">
        <v>871</v>
      </c>
      <c r="J76" s="78" t="s">
        <v>860</v>
      </c>
      <c r="K76" s="78" t="str">
        <f t="shared" si="64"/>
        <v>2201</v>
      </c>
      <c r="L76" s="78" t="str">
        <f t="shared" si="65"/>
        <v>22</v>
      </c>
      <c r="M76" s="78" t="str">
        <f t="shared" si="66"/>
        <v>01</v>
      </c>
      <c r="N76" s="78"/>
      <c r="O76" s="80" t="s">
        <v>861</v>
      </c>
      <c r="P76" s="78" t="str">
        <f t="shared" si="67"/>
        <v>00</v>
      </c>
      <c r="Q76" s="78" t="str">
        <f t="shared" si="68"/>
        <v>00</v>
      </c>
      <c r="R76" s="78" t="str">
        <f t="shared" si="69"/>
        <v>23</v>
      </c>
      <c r="S76" s="78" t="str">
        <f t="shared" si="70"/>
        <v>23</v>
      </c>
      <c r="T76" s="78" t="str">
        <f t="shared" si="71"/>
        <v>FF002201000023</v>
      </c>
    </row>
    <row r="77" spans="2:20" s="2" customFormat="1">
      <c r="B77" s="78" t="s">
        <v>984</v>
      </c>
      <c r="C77" s="78" t="str">
        <f t="shared" si="72"/>
        <v>FF002201000124</v>
      </c>
      <c r="D77" s="78" t="s">
        <v>983</v>
      </c>
      <c r="E77" s="78" t="s">
        <v>884</v>
      </c>
      <c r="F77" s="78" t="s">
        <v>857</v>
      </c>
      <c r="G77" s="78" t="s">
        <v>968</v>
      </c>
      <c r="H77" s="79">
        <v>0</v>
      </c>
      <c r="I77" s="78" t="s">
        <v>871</v>
      </c>
      <c r="J77" s="78" t="s">
        <v>860</v>
      </c>
      <c r="K77" s="78" t="str">
        <f t="shared" si="64"/>
        <v>2201</v>
      </c>
      <c r="L77" s="78" t="str">
        <f t="shared" si="65"/>
        <v>22</v>
      </c>
      <c r="M77" s="78" t="str">
        <f t="shared" si="66"/>
        <v>01</v>
      </c>
      <c r="N77" s="78"/>
      <c r="O77" s="80" t="s">
        <v>863</v>
      </c>
      <c r="P77" s="78" t="str">
        <f t="shared" si="67"/>
        <v>00</v>
      </c>
      <c r="Q77" s="78" t="str">
        <f t="shared" si="68"/>
        <v>01</v>
      </c>
      <c r="R77" s="78" t="str">
        <f t="shared" si="69"/>
        <v>24</v>
      </c>
      <c r="S77" s="78" t="str">
        <f t="shared" si="70"/>
        <v>24</v>
      </c>
      <c r="T77" s="78" t="str">
        <f t="shared" si="71"/>
        <v>FF002201000124</v>
      </c>
    </row>
    <row r="78" spans="2:20" s="2" customFormat="1">
      <c r="B78" s="78" t="s">
        <v>985</v>
      </c>
      <c r="C78" s="78" t="str">
        <f t="shared" si="72"/>
        <v>FF002201000225</v>
      </c>
      <c r="D78" s="78" t="s">
        <v>983</v>
      </c>
      <c r="E78" s="78" t="s">
        <v>884</v>
      </c>
      <c r="F78" s="78" t="s">
        <v>857</v>
      </c>
      <c r="G78" s="78" t="s">
        <v>968</v>
      </c>
      <c r="H78" s="79">
        <v>0</v>
      </c>
      <c r="I78" s="78" t="s">
        <v>871</v>
      </c>
      <c r="J78" s="78" t="s">
        <v>860</v>
      </c>
      <c r="K78" s="78" t="str">
        <f t="shared" si="64"/>
        <v>2201</v>
      </c>
      <c r="L78" s="78" t="str">
        <f t="shared" si="65"/>
        <v>22</v>
      </c>
      <c r="M78" s="78" t="str">
        <f t="shared" si="66"/>
        <v>01</v>
      </c>
      <c r="N78" s="78"/>
      <c r="O78" s="80" t="s">
        <v>888</v>
      </c>
      <c r="P78" s="78" t="str">
        <f t="shared" si="67"/>
        <v>00</v>
      </c>
      <c r="Q78" s="78" t="str">
        <f t="shared" si="68"/>
        <v>02</v>
      </c>
      <c r="R78" s="78" t="str">
        <f t="shared" si="69"/>
        <v>25</v>
      </c>
      <c r="S78" s="78" t="str">
        <f t="shared" si="70"/>
        <v>25</v>
      </c>
      <c r="T78" s="78" t="str">
        <f t="shared" si="71"/>
        <v>FF002201000225</v>
      </c>
    </row>
    <row r="79" spans="2:20" s="2" customFormat="1">
      <c r="B79" s="78" t="s">
        <v>986</v>
      </c>
      <c r="C79" s="78" t="str">
        <f t="shared" si="72"/>
        <v>FF002201000326</v>
      </c>
      <c r="D79" s="78" t="s">
        <v>983</v>
      </c>
      <c r="E79" s="78" t="s">
        <v>884</v>
      </c>
      <c r="F79" s="78" t="s">
        <v>857</v>
      </c>
      <c r="G79" s="78" t="s">
        <v>968</v>
      </c>
      <c r="H79" s="79">
        <v>0</v>
      </c>
      <c r="I79" s="78" t="s">
        <v>871</v>
      </c>
      <c r="J79" s="78" t="s">
        <v>860</v>
      </c>
      <c r="K79" s="78" t="str">
        <f t="shared" si="64"/>
        <v>2201</v>
      </c>
      <c r="L79" s="78" t="str">
        <f t="shared" si="65"/>
        <v>22</v>
      </c>
      <c r="M79" s="78" t="str">
        <f t="shared" si="66"/>
        <v>01</v>
      </c>
      <c r="N79" s="78"/>
      <c r="O79" s="80" t="s">
        <v>904</v>
      </c>
      <c r="P79" s="78" t="str">
        <f t="shared" si="67"/>
        <v>00</v>
      </c>
      <c r="Q79" s="78" t="str">
        <f t="shared" si="68"/>
        <v>03</v>
      </c>
      <c r="R79" s="78" t="str">
        <f t="shared" si="69"/>
        <v>26</v>
      </c>
      <c r="S79" s="78" t="str">
        <f t="shared" si="70"/>
        <v>26</v>
      </c>
      <c r="T79" s="78" t="str">
        <f t="shared" si="71"/>
        <v>FF002201000326</v>
      </c>
    </row>
    <row r="80" spans="2:20" s="2" customFormat="1">
      <c r="B80" s="78" t="s">
        <v>1257</v>
      </c>
      <c r="C80" s="78" t="str">
        <f t="shared" si="72"/>
        <v>FF002203000328</v>
      </c>
      <c r="D80" s="78" t="s">
        <v>987</v>
      </c>
      <c r="E80" s="78" t="s">
        <v>884</v>
      </c>
      <c r="F80" s="78" t="s">
        <v>857</v>
      </c>
      <c r="G80" s="78"/>
      <c r="H80" s="79">
        <v>0</v>
      </c>
      <c r="I80" s="78" t="s">
        <v>871</v>
      </c>
      <c r="J80" s="78" t="s">
        <v>860</v>
      </c>
      <c r="K80" s="78" t="str">
        <f t="shared" si="64"/>
        <v>2203</v>
      </c>
      <c r="L80" s="78" t="str">
        <f t="shared" si="65"/>
        <v>22</v>
      </c>
      <c r="M80" s="78" t="str">
        <f t="shared" si="66"/>
        <v>03</v>
      </c>
      <c r="N80" s="78"/>
      <c r="O80" s="80" t="s">
        <v>904</v>
      </c>
      <c r="P80" s="78" t="str">
        <f t="shared" si="67"/>
        <v>00</v>
      </c>
      <c r="Q80" s="78" t="str">
        <f t="shared" si="68"/>
        <v>03</v>
      </c>
      <c r="R80" s="78" t="str">
        <f t="shared" si="69"/>
        <v>28</v>
      </c>
      <c r="S80" s="78" t="str">
        <f t="shared" si="70"/>
        <v>28</v>
      </c>
      <c r="T80" s="78" t="str">
        <f t="shared" si="71"/>
        <v>FF002203000328</v>
      </c>
    </row>
    <row r="81" spans="2:20" s="2" customFormat="1">
      <c r="B81" s="78" t="s">
        <v>1258</v>
      </c>
      <c r="C81" s="78" t="str">
        <f t="shared" si="72"/>
        <v>FF0022032A94E3</v>
      </c>
      <c r="D81" s="78" t="s">
        <v>987</v>
      </c>
      <c r="E81" s="78" t="s">
        <v>884</v>
      </c>
      <c r="F81" s="78" t="s">
        <v>857</v>
      </c>
      <c r="G81" s="78"/>
      <c r="H81" s="79">
        <v>0</v>
      </c>
      <c r="I81" s="78" t="s">
        <v>871</v>
      </c>
      <c r="J81" s="78" t="s">
        <v>860</v>
      </c>
      <c r="K81" s="78" t="str">
        <f t="shared" si="64"/>
        <v>2203</v>
      </c>
      <c r="L81" s="78" t="str">
        <f t="shared" si="65"/>
        <v>22</v>
      </c>
      <c r="M81" s="78" t="str">
        <f t="shared" si="66"/>
        <v>03</v>
      </c>
      <c r="N81" s="78">
        <v>10900</v>
      </c>
      <c r="O81" s="78" t="str">
        <f>REPT("0", 4 - LEN(DEC2HEX(N81))) &amp; DEC2HEX(N81)</f>
        <v>2A94</v>
      </c>
      <c r="P81" s="78" t="str">
        <f t="shared" si="67"/>
        <v>2A</v>
      </c>
      <c r="Q81" s="78" t="str">
        <f t="shared" si="68"/>
        <v>94</v>
      </c>
      <c r="R81" s="78" t="str">
        <f t="shared" si="69"/>
        <v>E3</v>
      </c>
      <c r="S81" s="78" t="str">
        <f t="shared" si="70"/>
        <v>E3</v>
      </c>
      <c r="T81" s="78" t="str">
        <f t="shared" si="71"/>
        <v>FF0022032A94E3</v>
      </c>
    </row>
    <row r="82" spans="2:20" s="2" customFormat="1">
      <c r="B82" s="78" t="s">
        <v>988</v>
      </c>
      <c r="C82" s="78" t="str">
        <f t="shared" si="72"/>
        <v>FF002204000026</v>
      </c>
      <c r="D82" s="78" t="s">
        <v>1254</v>
      </c>
      <c r="E82" s="78" t="s">
        <v>884</v>
      </c>
      <c r="F82" s="78" t="s">
        <v>857</v>
      </c>
      <c r="G82" s="78"/>
      <c r="H82" s="79">
        <v>0</v>
      </c>
      <c r="I82" s="78" t="s">
        <v>871</v>
      </c>
      <c r="J82" s="78" t="s">
        <v>860</v>
      </c>
      <c r="K82" s="78" t="str">
        <f t="shared" si="64"/>
        <v>2204</v>
      </c>
      <c r="L82" s="78" t="str">
        <f t="shared" si="65"/>
        <v>22</v>
      </c>
      <c r="M82" s="78" t="str">
        <f t="shared" si="66"/>
        <v>04</v>
      </c>
      <c r="N82" s="78"/>
      <c r="O82" s="80" t="s">
        <v>861</v>
      </c>
      <c r="P82" s="78" t="str">
        <f t="shared" si="67"/>
        <v>00</v>
      </c>
      <c r="Q82" s="78" t="str">
        <f t="shared" si="68"/>
        <v>00</v>
      </c>
      <c r="R82" s="78" t="str">
        <f t="shared" si="69"/>
        <v>26</v>
      </c>
      <c r="S82" s="78" t="str">
        <f t="shared" si="70"/>
        <v>26</v>
      </c>
      <c r="T82" s="78" t="str">
        <f t="shared" si="71"/>
        <v>FF002204000026</v>
      </c>
    </row>
    <row r="83" spans="2:20" s="2" customFormat="1">
      <c r="B83" s="78" t="s">
        <v>1255</v>
      </c>
      <c r="C83" s="78" t="str">
        <f t="shared" si="72"/>
        <v>FF002205000027</v>
      </c>
      <c r="D83" s="78" t="s">
        <v>989</v>
      </c>
      <c r="E83" s="78" t="s">
        <v>884</v>
      </c>
      <c r="F83" s="78" t="s">
        <v>857</v>
      </c>
      <c r="G83" s="78"/>
      <c r="H83" s="79">
        <v>0</v>
      </c>
      <c r="I83" s="78" t="s">
        <v>871</v>
      </c>
      <c r="J83" s="78" t="s">
        <v>860</v>
      </c>
      <c r="K83" s="78" t="str">
        <f t="shared" si="64"/>
        <v>2205</v>
      </c>
      <c r="L83" s="78" t="str">
        <f t="shared" si="65"/>
        <v>22</v>
      </c>
      <c r="M83" s="78" t="str">
        <f t="shared" si="66"/>
        <v>05</v>
      </c>
      <c r="N83" s="78"/>
      <c r="O83" s="80" t="s">
        <v>861</v>
      </c>
      <c r="P83" s="78" t="str">
        <f t="shared" si="67"/>
        <v>00</v>
      </c>
      <c r="Q83" s="78" t="str">
        <f t="shared" si="68"/>
        <v>00</v>
      </c>
      <c r="R83" s="78" t="str">
        <f t="shared" si="69"/>
        <v>27</v>
      </c>
      <c r="S83" s="78" t="str">
        <f t="shared" si="70"/>
        <v>27</v>
      </c>
      <c r="T83" s="78" t="str">
        <f t="shared" si="71"/>
        <v>FF002205000027</v>
      </c>
    </row>
    <row r="84" spans="2:20" s="2" customFormat="1">
      <c r="B84" s="78" t="s">
        <v>1256</v>
      </c>
      <c r="C84" s="78" t="str">
        <f t="shared" si="72"/>
        <v>FF002205000128</v>
      </c>
      <c r="D84" s="78" t="s">
        <v>989</v>
      </c>
      <c r="E84" s="78" t="s">
        <v>884</v>
      </c>
      <c r="F84" s="78" t="s">
        <v>857</v>
      </c>
      <c r="G84" s="78"/>
      <c r="H84" s="79">
        <v>0</v>
      </c>
      <c r="I84" s="78" t="s">
        <v>871</v>
      </c>
      <c r="J84" s="78" t="s">
        <v>860</v>
      </c>
      <c r="K84" s="78" t="str">
        <f t="shared" si="64"/>
        <v>2205</v>
      </c>
      <c r="L84" s="78" t="str">
        <f t="shared" si="65"/>
        <v>22</v>
      </c>
      <c r="M84" s="78" t="str">
        <f t="shared" si="66"/>
        <v>05</v>
      </c>
      <c r="N84" s="78"/>
      <c r="O84" s="80" t="s">
        <v>863</v>
      </c>
      <c r="P84" s="78" t="str">
        <f t="shared" si="67"/>
        <v>00</v>
      </c>
      <c r="Q84" s="78" t="str">
        <f t="shared" si="68"/>
        <v>01</v>
      </c>
      <c r="R84" s="78" t="str">
        <f t="shared" si="69"/>
        <v>28</v>
      </c>
      <c r="S84" s="78" t="str">
        <f t="shared" si="70"/>
        <v>28</v>
      </c>
      <c r="T84" s="78" t="str">
        <f t="shared" si="71"/>
        <v>FF002205000128</v>
      </c>
    </row>
    <row r="85" spans="2:20" s="2" customFormat="1">
      <c r="B85" s="78" t="s">
        <v>990</v>
      </c>
      <c r="C85" s="78" t="str">
        <f t="shared" si="72"/>
        <v>FF002210000032</v>
      </c>
      <c r="D85" s="78" t="s">
        <v>991</v>
      </c>
      <c r="E85" s="78" t="s">
        <v>884</v>
      </c>
      <c r="F85" s="78" t="s">
        <v>857</v>
      </c>
      <c r="G85" s="78"/>
      <c r="H85" s="79">
        <v>0</v>
      </c>
      <c r="I85" s="78" t="s">
        <v>871</v>
      </c>
      <c r="J85" s="78" t="s">
        <v>860</v>
      </c>
      <c r="K85" s="78" t="str">
        <f t="shared" si="64"/>
        <v>2210</v>
      </c>
      <c r="L85" s="78" t="str">
        <f t="shared" si="65"/>
        <v>22</v>
      </c>
      <c r="M85" s="78" t="str">
        <f t="shared" si="66"/>
        <v>10</v>
      </c>
      <c r="N85" s="78"/>
      <c r="O85" s="80" t="s">
        <v>861</v>
      </c>
      <c r="P85" s="78" t="str">
        <f t="shared" si="67"/>
        <v>00</v>
      </c>
      <c r="Q85" s="78" t="str">
        <f t="shared" si="68"/>
        <v>00</v>
      </c>
      <c r="R85" s="78" t="str">
        <f t="shared" si="69"/>
        <v>32</v>
      </c>
      <c r="S85" s="78" t="str">
        <f t="shared" si="70"/>
        <v>32</v>
      </c>
      <c r="T85" s="78" t="str">
        <f t="shared" si="71"/>
        <v>FF002210000032</v>
      </c>
    </row>
    <row r="86" spans="2:20" s="2" customFormat="1">
      <c r="B86" s="78" t="s">
        <v>42</v>
      </c>
      <c r="C86" s="78" t="str">
        <f t="shared" si="72"/>
        <v>FF002210000133</v>
      </c>
      <c r="D86" s="78" t="s">
        <v>991</v>
      </c>
      <c r="E86" s="78" t="s">
        <v>884</v>
      </c>
      <c r="F86" s="78" t="s">
        <v>857</v>
      </c>
      <c r="G86" s="78"/>
      <c r="H86" s="79">
        <v>0</v>
      </c>
      <c r="I86" s="78" t="s">
        <v>871</v>
      </c>
      <c r="J86" s="78" t="s">
        <v>860</v>
      </c>
      <c r="K86" s="78" t="str">
        <f t="shared" si="64"/>
        <v>2210</v>
      </c>
      <c r="L86" s="78" t="str">
        <f t="shared" si="65"/>
        <v>22</v>
      </c>
      <c r="M86" s="78" t="str">
        <f t="shared" si="66"/>
        <v>10</v>
      </c>
      <c r="N86" s="78"/>
      <c r="O86" s="80" t="s">
        <v>863</v>
      </c>
      <c r="P86" s="78" t="str">
        <f t="shared" si="67"/>
        <v>00</v>
      </c>
      <c r="Q86" s="78" t="str">
        <f t="shared" si="68"/>
        <v>01</v>
      </c>
      <c r="R86" s="78" t="str">
        <f t="shared" si="69"/>
        <v>33</v>
      </c>
      <c r="S86" s="78" t="str">
        <f t="shared" si="70"/>
        <v>33</v>
      </c>
      <c r="T86" s="78" t="str">
        <f t="shared" si="71"/>
        <v>FF002210000133</v>
      </c>
    </row>
    <row r="87" spans="2:20" s="2" customFormat="1">
      <c r="B87" s="78" t="s">
        <v>44</v>
      </c>
      <c r="C87" s="78" t="str">
        <f t="shared" si="72"/>
        <v>FF002210000234</v>
      </c>
      <c r="D87" s="78" t="s">
        <v>991</v>
      </c>
      <c r="E87" s="78" t="s">
        <v>884</v>
      </c>
      <c r="F87" s="78" t="s">
        <v>857</v>
      </c>
      <c r="G87" s="78"/>
      <c r="H87" s="79">
        <v>0</v>
      </c>
      <c r="I87" s="78" t="s">
        <v>871</v>
      </c>
      <c r="J87" s="78" t="s">
        <v>860</v>
      </c>
      <c r="K87" s="78" t="str">
        <f t="shared" si="64"/>
        <v>2210</v>
      </c>
      <c r="L87" s="78" t="str">
        <f t="shared" si="65"/>
        <v>22</v>
      </c>
      <c r="M87" s="78" t="str">
        <f t="shared" si="66"/>
        <v>10</v>
      </c>
      <c r="N87" s="78"/>
      <c r="O87" s="80" t="s">
        <v>888</v>
      </c>
      <c r="P87" s="78" t="str">
        <f t="shared" si="67"/>
        <v>00</v>
      </c>
      <c r="Q87" s="78" t="str">
        <f t="shared" si="68"/>
        <v>02</v>
      </c>
      <c r="R87" s="78" t="str">
        <f t="shared" si="69"/>
        <v>34</v>
      </c>
      <c r="S87" s="78" t="str">
        <f t="shared" si="70"/>
        <v>34</v>
      </c>
      <c r="T87" s="78" t="str">
        <f t="shared" si="71"/>
        <v>FF002210000234</v>
      </c>
    </row>
    <row r="88" spans="2:20" s="2" customFormat="1">
      <c r="B88" s="78" t="s">
        <v>1259</v>
      </c>
      <c r="C88" s="78" t="str">
        <f t="shared" si="72"/>
        <v>FF002212000337</v>
      </c>
      <c r="D88" s="78" t="s">
        <v>992</v>
      </c>
      <c r="E88" s="78" t="s">
        <v>884</v>
      </c>
      <c r="F88" s="78" t="s">
        <v>857</v>
      </c>
      <c r="G88" s="78"/>
      <c r="H88" s="79">
        <v>0</v>
      </c>
      <c r="I88" s="78" t="s">
        <v>871</v>
      </c>
      <c r="J88" s="78" t="s">
        <v>860</v>
      </c>
      <c r="K88" s="78" t="str">
        <f t="shared" si="64"/>
        <v>2212</v>
      </c>
      <c r="L88" s="78" t="str">
        <f t="shared" si="65"/>
        <v>22</v>
      </c>
      <c r="M88" s="78" t="str">
        <f t="shared" si="66"/>
        <v>12</v>
      </c>
      <c r="N88" s="78"/>
      <c r="O88" s="80" t="s">
        <v>904</v>
      </c>
      <c r="P88" s="78" t="str">
        <f t="shared" si="67"/>
        <v>00</v>
      </c>
      <c r="Q88" s="78" t="str">
        <f t="shared" si="68"/>
        <v>03</v>
      </c>
      <c r="R88" s="78" t="str">
        <f t="shared" si="69"/>
        <v>37</v>
      </c>
      <c r="S88" s="78" t="str">
        <f t="shared" si="70"/>
        <v>37</v>
      </c>
      <c r="T88" s="78" t="str">
        <f t="shared" si="71"/>
        <v>FF002212000337</v>
      </c>
    </row>
    <row r="89" spans="2:20" s="2" customFormat="1">
      <c r="B89" s="78" t="s">
        <v>1260</v>
      </c>
      <c r="C89" s="78" t="str">
        <f t="shared" si="72"/>
        <v>FF0022122A308E</v>
      </c>
      <c r="D89" s="78" t="s">
        <v>992</v>
      </c>
      <c r="E89" s="78" t="s">
        <v>884</v>
      </c>
      <c r="F89" s="78" t="s">
        <v>857</v>
      </c>
      <c r="G89" s="78"/>
      <c r="H89" s="79">
        <v>0</v>
      </c>
      <c r="I89" s="78" t="s">
        <v>871</v>
      </c>
      <c r="J89" s="78" t="s">
        <v>860</v>
      </c>
      <c r="K89" s="78" t="str">
        <f t="shared" si="64"/>
        <v>2212</v>
      </c>
      <c r="L89" s="78" t="str">
        <f t="shared" si="65"/>
        <v>22</v>
      </c>
      <c r="M89" s="78" t="str">
        <f t="shared" si="66"/>
        <v>12</v>
      </c>
      <c r="N89" s="78">
        <v>10800</v>
      </c>
      <c r="O89" s="78" t="str">
        <f>REPT("0", 4 - LEN(DEC2HEX(N89))) &amp; DEC2HEX(N89)</f>
        <v>2A30</v>
      </c>
      <c r="P89" s="78" t="str">
        <f t="shared" si="67"/>
        <v>2A</v>
      </c>
      <c r="Q89" s="78" t="str">
        <f t="shared" si="68"/>
        <v>30</v>
      </c>
      <c r="R89" s="78" t="str">
        <f t="shared" si="69"/>
        <v>8E</v>
      </c>
      <c r="S89" s="78" t="str">
        <f t="shared" si="70"/>
        <v>8E</v>
      </c>
      <c r="T89" s="78" t="str">
        <f t="shared" si="71"/>
        <v>FF0022122A308E</v>
      </c>
    </row>
    <row r="90" spans="2:20" s="2" customFormat="1">
      <c r="B90" s="78" t="s">
        <v>993</v>
      </c>
      <c r="C90" s="78" t="str">
        <f t="shared" si="72"/>
        <v>FF002213000035</v>
      </c>
      <c r="D90" s="78" t="s">
        <v>994</v>
      </c>
      <c r="E90" s="78" t="s">
        <v>884</v>
      </c>
      <c r="F90" s="78" t="s">
        <v>857</v>
      </c>
      <c r="G90" s="78"/>
      <c r="H90" s="79">
        <v>0</v>
      </c>
      <c r="I90" s="78" t="s">
        <v>871</v>
      </c>
      <c r="J90" s="78" t="s">
        <v>860</v>
      </c>
      <c r="K90" s="78" t="str">
        <f t="shared" si="64"/>
        <v>2213</v>
      </c>
      <c r="L90" s="78" t="str">
        <f t="shared" si="65"/>
        <v>22</v>
      </c>
      <c r="M90" s="78" t="str">
        <f t="shared" si="66"/>
        <v>13</v>
      </c>
      <c r="N90" s="78"/>
      <c r="O90" s="80" t="s">
        <v>861</v>
      </c>
      <c r="P90" s="78" t="str">
        <f t="shared" si="67"/>
        <v>00</v>
      </c>
      <c r="Q90" s="78" t="str">
        <f t="shared" si="68"/>
        <v>00</v>
      </c>
      <c r="R90" s="78" t="str">
        <f t="shared" si="69"/>
        <v>35</v>
      </c>
      <c r="S90" s="78" t="str">
        <f t="shared" si="70"/>
        <v>35</v>
      </c>
      <c r="T90" s="78" t="str">
        <f t="shared" si="71"/>
        <v>FF002213000035</v>
      </c>
    </row>
    <row r="91" spans="2:20" s="2" customFormat="1">
      <c r="B91" s="78" t="s">
        <v>28</v>
      </c>
      <c r="C91" s="78" t="str">
        <f t="shared" si="72"/>
        <v>FF002220000042</v>
      </c>
      <c r="D91" s="78" t="s">
        <v>995</v>
      </c>
      <c r="E91" s="78" t="s">
        <v>884</v>
      </c>
      <c r="F91" s="78" t="s">
        <v>857</v>
      </c>
      <c r="G91" s="78"/>
      <c r="H91" s="79">
        <v>0</v>
      </c>
      <c r="I91" s="78" t="s">
        <v>871</v>
      </c>
      <c r="J91" s="78" t="s">
        <v>860</v>
      </c>
      <c r="K91" s="78" t="str">
        <f t="shared" si="64"/>
        <v>2220</v>
      </c>
      <c r="L91" s="78" t="str">
        <f t="shared" si="65"/>
        <v>22</v>
      </c>
      <c r="M91" s="78" t="str">
        <f t="shared" si="66"/>
        <v>20</v>
      </c>
      <c r="N91" s="78"/>
      <c r="O91" s="80" t="s">
        <v>861</v>
      </c>
      <c r="P91" s="78" t="str">
        <f t="shared" si="67"/>
        <v>00</v>
      </c>
      <c r="Q91" s="78" t="str">
        <f t="shared" si="68"/>
        <v>00</v>
      </c>
      <c r="R91" s="78" t="str">
        <f t="shared" si="69"/>
        <v>42</v>
      </c>
      <c r="S91" s="78" t="str">
        <f t="shared" si="70"/>
        <v>42</v>
      </c>
      <c r="T91" s="78" t="str">
        <f t="shared" si="71"/>
        <v>FF002220000042</v>
      </c>
    </row>
    <row r="92" spans="2:20" s="2" customFormat="1">
      <c r="B92" s="78" t="s">
        <v>996</v>
      </c>
      <c r="C92" s="78" t="str">
        <f t="shared" si="72"/>
        <v>FF0022218001C4</v>
      </c>
      <c r="D92" s="78" t="s">
        <v>997</v>
      </c>
      <c r="E92" s="78" t="s">
        <v>884</v>
      </c>
      <c r="F92" s="78" t="s">
        <v>857</v>
      </c>
      <c r="G92" s="78"/>
      <c r="H92" s="79">
        <v>0</v>
      </c>
      <c r="I92" s="78" t="s">
        <v>871</v>
      </c>
      <c r="J92" s="78" t="s">
        <v>860</v>
      </c>
      <c r="K92" s="78" t="str">
        <f t="shared" si="64"/>
        <v>2221</v>
      </c>
      <c r="L92" s="78" t="str">
        <f t="shared" si="65"/>
        <v>22</v>
      </c>
      <c r="M92" s="78" t="str">
        <f t="shared" si="66"/>
        <v>21</v>
      </c>
      <c r="N92" s="78">
        <v>-32767</v>
      </c>
      <c r="O92" s="78" t="str">
        <f>TEXT(DEC2HEX(65536 + N92), "0000")</f>
        <v>8001</v>
      </c>
      <c r="P92" s="78" t="str">
        <f t="shared" si="67"/>
        <v>80</v>
      </c>
      <c r="Q92" s="78" t="str">
        <f t="shared" si="68"/>
        <v>01</v>
      </c>
      <c r="R92" s="78" t="str">
        <f t="shared" si="69"/>
        <v>C4</v>
      </c>
      <c r="S92" s="78" t="str">
        <f t="shared" si="70"/>
        <v>C4</v>
      </c>
      <c r="T92" s="78" t="str">
        <f t="shared" si="71"/>
        <v>FF0022218001C4</v>
      </c>
    </row>
    <row r="93" spans="2:20" s="2" customFormat="1">
      <c r="B93" s="78" t="s">
        <v>998</v>
      </c>
      <c r="C93" s="78" t="str">
        <f t="shared" si="72"/>
        <v>FF0022217FFFC1</v>
      </c>
      <c r="D93" s="78" t="s">
        <v>997</v>
      </c>
      <c r="E93" s="78" t="s">
        <v>884</v>
      </c>
      <c r="F93" s="78" t="s">
        <v>857</v>
      </c>
      <c r="G93" s="78"/>
      <c r="H93" s="79">
        <v>0</v>
      </c>
      <c r="I93" s="78" t="s">
        <v>871</v>
      </c>
      <c r="J93" s="78" t="s">
        <v>860</v>
      </c>
      <c r="K93" s="78" t="str">
        <f t="shared" si="64"/>
        <v>2221</v>
      </c>
      <c r="L93" s="78" t="str">
        <f t="shared" si="65"/>
        <v>22</v>
      </c>
      <c r="M93" s="78" t="str">
        <f t="shared" si="66"/>
        <v>21</v>
      </c>
      <c r="N93" s="78">
        <v>32767</v>
      </c>
      <c r="O93" s="78" t="str">
        <f>REPT("0", 4 - LEN(DEC2HEX(N93))) &amp; DEC2HEX(N93)</f>
        <v>7FFF</v>
      </c>
      <c r="P93" s="78" t="str">
        <f t="shared" si="67"/>
        <v>7F</v>
      </c>
      <c r="Q93" s="78" t="str">
        <f t="shared" si="68"/>
        <v>FF</v>
      </c>
      <c r="R93" s="78" t="str">
        <f t="shared" si="69"/>
        <v>1C1</v>
      </c>
      <c r="S93" s="78" t="str">
        <f t="shared" si="70"/>
        <v>C1</v>
      </c>
      <c r="T93" s="78" t="str">
        <f t="shared" si="71"/>
        <v>FF0022217FFFC1</v>
      </c>
    </row>
    <row r="94" spans="2:20" s="2" customFormat="1">
      <c r="B94" s="78" t="s">
        <v>999</v>
      </c>
      <c r="C94" s="78" t="str">
        <f t="shared" si="72"/>
        <v>FF002222000044</v>
      </c>
      <c r="D94" s="78" t="s">
        <v>1000</v>
      </c>
      <c r="E94" s="78" t="s">
        <v>884</v>
      </c>
      <c r="F94" s="78" t="s">
        <v>857</v>
      </c>
      <c r="G94" s="78"/>
      <c r="H94" s="79" t="s">
        <v>975</v>
      </c>
      <c r="I94" s="78" t="s">
        <v>871</v>
      </c>
      <c r="J94" s="78" t="s">
        <v>860</v>
      </c>
      <c r="K94" s="78" t="str">
        <f t="shared" si="64"/>
        <v>2222</v>
      </c>
      <c r="L94" s="78" t="str">
        <f t="shared" si="65"/>
        <v>22</v>
      </c>
      <c r="M94" s="78" t="str">
        <f t="shared" si="66"/>
        <v>22</v>
      </c>
      <c r="N94" s="78"/>
      <c r="O94" s="80" t="s">
        <v>861</v>
      </c>
      <c r="P94" s="78" t="str">
        <f t="shared" si="67"/>
        <v>00</v>
      </c>
      <c r="Q94" s="78" t="str">
        <f t="shared" si="68"/>
        <v>00</v>
      </c>
      <c r="R94" s="78" t="str">
        <f t="shared" si="69"/>
        <v>44</v>
      </c>
      <c r="S94" s="78" t="str">
        <f t="shared" si="70"/>
        <v>44</v>
      </c>
      <c r="T94" s="78" t="str">
        <f t="shared" si="71"/>
        <v>FF002222000044</v>
      </c>
    </row>
    <row r="95" spans="2:20" s="2" customFormat="1">
      <c r="B95" s="78" t="s">
        <v>1001</v>
      </c>
      <c r="C95" s="78" t="str">
        <f t="shared" si="72"/>
        <v>FF002300000023</v>
      </c>
      <c r="D95" s="78" t="s">
        <v>1002</v>
      </c>
      <c r="E95" s="78" t="s">
        <v>884</v>
      </c>
      <c r="F95" s="78" t="s">
        <v>857</v>
      </c>
      <c r="G95" s="78"/>
      <c r="H95" s="79" t="s">
        <v>975</v>
      </c>
      <c r="I95" s="81"/>
      <c r="J95" s="78" t="s">
        <v>860</v>
      </c>
      <c r="K95" s="78" t="str">
        <f t="shared" si="64"/>
        <v>2300</v>
      </c>
      <c r="L95" s="78" t="str">
        <f t="shared" si="65"/>
        <v>23</v>
      </c>
      <c r="M95" s="78" t="str">
        <f t="shared" si="66"/>
        <v>00</v>
      </c>
      <c r="N95" s="78"/>
      <c r="O95" s="80" t="s">
        <v>861</v>
      </c>
      <c r="P95" s="78" t="str">
        <f t="shared" si="67"/>
        <v>00</v>
      </c>
      <c r="Q95" s="78" t="str">
        <f t="shared" si="68"/>
        <v>00</v>
      </c>
      <c r="R95" s="78" t="str">
        <f t="shared" si="69"/>
        <v>23</v>
      </c>
      <c r="S95" s="78" t="str">
        <f t="shared" si="70"/>
        <v>23</v>
      </c>
      <c r="T95" s="78" t="str">
        <f t="shared" si="71"/>
        <v>FF002300000023</v>
      </c>
    </row>
    <row r="96" spans="2:20" s="2" customFormat="1">
      <c r="B96" s="78" t="s">
        <v>1003</v>
      </c>
      <c r="C96" s="78" t="str">
        <f t="shared" si="72"/>
        <v>FF002300000F32</v>
      </c>
      <c r="D96" s="78" t="s">
        <v>1002</v>
      </c>
      <c r="E96" s="78" t="s">
        <v>884</v>
      </c>
      <c r="F96" s="78" t="s">
        <v>857</v>
      </c>
      <c r="G96" s="78"/>
      <c r="H96" s="79" t="s">
        <v>975</v>
      </c>
      <c r="I96" s="81"/>
      <c r="J96" s="78" t="s">
        <v>860</v>
      </c>
      <c r="K96" s="78" t="str">
        <f t="shared" si="64"/>
        <v>2300</v>
      </c>
      <c r="L96" s="78" t="str">
        <f t="shared" si="65"/>
        <v>23</v>
      </c>
      <c r="M96" s="78" t="str">
        <f t="shared" si="66"/>
        <v>00</v>
      </c>
      <c r="N96" s="78"/>
      <c r="O96" s="80" t="s">
        <v>1478</v>
      </c>
      <c r="P96" s="78" t="str">
        <f t="shared" si="67"/>
        <v>00</v>
      </c>
      <c r="Q96" s="78" t="str">
        <f t="shared" si="68"/>
        <v>0F</v>
      </c>
      <c r="R96" s="78" t="str">
        <f t="shared" si="69"/>
        <v>32</v>
      </c>
      <c r="S96" s="78" t="str">
        <f t="shared" si="70"/>
        <v>32</v>
      </c>
      <c r="T96" s="78" t="str">
        <f t="shared" si="71"/>
        <v>FF002300000F32</v>
      </c>
    </row>
    <row r="97" spans="2:20" s="2" customFormat="1">
      <c r="B97" s="78" t="s">
        <v>1004</v>
      </c>
      <c r="C97" s="78" t="str">
        <f t="shared" si="72"/>
        <v>FF002300000D30</v>
      </c>
      <c r="D97" s="78" t="s">
        <v>1002</v>
      </c>
      <c r="E97" s="78" t="s">
        <v>884</v>
      </c>
      <c r="F97" s="78" t="s">
        <v>857</v>
      </c>
      <c r="G97" s="78"/>
      <c r="H97" s="79" t="s">
        <v>975</v>
      </c>
      <c r="I97" s="81"/>
      <c r="J97" s="78" t="s">
        <v>860</v>
      </c>
      <c r="K97" s="78" t="str">
        <f t="shared" si="64"/>
        <v>2300</v>
      </c>
      <c r="L97" s="78" t="str">
        <f t="shared" si="65"/>
        <v>23</v>
      </c>
      <c r="M97" s="78" t="str">
        <f t="shared" si="66"/>
        <v>00</v>
      </c>
      <c r="N97" s="78"/>
      <c r="O97" s="80" t="s">
        <v>1479</v>
      </c>
      <c r="P97" s="78" t="str">
        <f t="shared" si="67"/>
        <v>00</v>
      </c>
      <c r="Q97" s="78" t="str">
        <f t="shared" si="68"/>
        <v>0D</v>
      </c>
      <c r="R97" s="78" t="str">
        <f t="shared" si="69"/>
        <v>30</v>
      </c>
      <c r="S97" s="78" t="str">
        <f t="shared" si="70"/>
        <v>30</v>
      </c>
      <c r="T97" s="78" t="str">
        <f t="shared" si="71"/>
        <v>FF002300000D30</v>
      </c>
    </row>
    <row r="98" spans="2:20" s="2" customFormat="1">
      <c r="B98" s="78" t="s">
        <v>1005</v>
      </c>
      <c r="C98" s="78" t="str">
        <f t="shared" si="72"/>
        <v>FF002300000225</v>
      </c>
      <c r="D98" s="78" t="s">
        <v>1002</v>
      </c>
      <c r="E98" s="78" t="s">
        <v>884</v>
      </c>
      <c r="F98" s="78" t="s">
        <v>857</v>
      </c>
      <c r="G98" s="78"/>
      <c r="H98" s="79" t="s">
        <v>975</v>
      </c>
      <c r="I98" s="81"/>
      <c r="J98" s="78" t="s">
        <v>860</v>
      </c>
      <c r="K98" s="78" t="str">
        <f t="shared" si="64"/>
        <v>2300</v>
      </c>
      <c r="L98" s="78" t="str">
        <f t="shared" si="65"/>
        <v>23</v>
      </c>
      <c r="M98" s="78" t="str">
        <f t="shared" si="66"/>
        <v>00</v>
      </c>
      <c r="N98" s="78"/>
      <c r="O98" s="80" t="s">
        <v>888</v>
      </c>
      <c r="P98" s="78" t="str">
        <f t="shared" si="67"/>
        <v>00</v>
      </c>
      <c r="Q98" s="78" t="str">
        <f t="shared" si="68"/>
        <v>02</v>
      </c>
      <c r="R98" s="78" t="str">
        <f t="shared" si="69"/>
        <v>25</v>
      </c>
      <c r="S98" s="78" t="str">
        <f t="shared" si="70"/>
        <v>25</v>
      </c>
      <c r="T98" s="78" t="str">
        <f t="shared" si="71"/>
        <v>FF002300000225</v>
      </c>
    </row>
    <row r="99" spans="2:20" s="2" customFormat="1">
      <c r="B99" s="78" t="s">
        <v>1007</v>
      </c>
      <c r="C99" s="78" t="str">
        <f t="shared" si="72"/>
        <v>FF002300000B2E</v>
      </c>
      <c r="D99" s="78" t="s">
        <v>1002</v>
      </c>
      <c r="E99" s="78" t="s">
        <v>884</v>
      </c>
      <c r="F99" s="78" t="s">
        <v>857</v>
      </c>
      <c r="G99" s="78"/>
      <c r="H99" s="79" t="s">
        <v>975</v>
      </c>
      <c r="I99" s="81"/>
      <c r="J99" s="78" t="s">
        <v>860</v>
      </c>
      <c r="K99" s="78" t="str">
        <f t="shared" si="64"/>
        <v>2300</v>
      </c>
      <c r="L99" s="78" t="str">
        <f t="shared" si="65"/>
        <v>23</v>
      </c>
      <c r="M99" s="78" t="str">
        <f t="shared" si="66"/>
        <v>00</v>
      </c>
      <c r="N99" s="78"/>
      <c r="O99" s="80" t="s">
        <v>1480</v>
      </c>
      <c r="P99" s="78" t="str">
        <f t="shared" si="67"/>
        <v>00</v>
      </c>
      <c r="Q99" s="78" t="str">
        <f t="shared" si="68"/>
        <v>0B</v>
      </c>
      <c r="R99" s="78" t="str">
        <f t="shared" si="69"/>
        <v>2E</v>
      </c>
      <c r="S99" s="78" t="str">
        <f t="shared" si="70"/>
        <v>2E</v>
      </c>
      <c r="T99" s="78" t="str">
        <f t="shared" si="71"/>
        <v>FF002300000B2E</v>
      </c>
    </row>
    <row r="100" spans="2:20" s="2" customFormat="1">
      <c r="B100" s="78" t="s">
        <v>1008</v>
      </c>
      <c r="C100" s="78" t="str">
        <f t="shared" si="72"/>
        <v>FF002300000427</v>
      </c>
      <c r="D100" s="78" t="s">
        <v>1002</v>
      </c>
      <c r="E100" s="78" t="s">
        <v>884</v>
      </c>
      <c r="F100" s="78" t="s">
        <v>857</v>
      </c>
      <c r="G100" s="78"/>
      <c r="H100" s="79" t="s">
        <v>975</v>
      </c>
      <c r="I100" s="81"/>
      <c r="J100" s="78" t="s">
        <v>860</v>
      </c>
      <c r="K100" s="78" t="str">
        <f t="shared" si="64"/>
        <v>2300</v>
      </c>
      <c r="L100" s="78" t="str">
        <f t="shared" si="65"/>
        <v>23</v>
      </c>
      <c r="M100" s="78" t="str">
        <f t="shared" si="66"/>
        <v>00</v>
      </c>
      <c r="N100" s="78"/>
      <c r="O100" s="80" t="s">
        <v>962</v>
      </c>
      <c r="P100" s="78" t="str">
        <f t="shared" si="67"/>
        <v>00</v>
      </c>
      <c r="Q100" s="78" t="str">
        <f t="shared" si="68"/>
        <v>04</v>
      </c>
      <c r="R100" s="78" t="str">
        <f t="shared" si="69"/>
        <v>27</v>
      </c>
      <c r="S100" s="78" t="str">
        <f t="shared" si="70"/>
        <v>27</v>
      </c>
      <c r="T100" s="78" t="str">
        <f t="shared" si="71"/>
        <v>FF002300000427</v>
      </c>
    </row>
    <row r="101" spans="2:20" s="2" customFormat="1">
      <c r="B101" s="78" t="s">
        <v>1009</v>
      </c>
      <c r="C101" s="78" t="str">
        <f t="shared" si="72"/>
        <v>FF00230000072A</v>
      </c>
      <c r="D101" s="78" t="s">
        <v>1002</v>
      </c>
      <c r="E101" s="78" t="s">
        <v>884</v>
      </c>
      <c r="F101" s="78" t="s">
        <v>857</v>
      </c>
      <c r="G101" s="78"/>
      <c r="H101" s="79" t="s">
        <v>975</v>
      </c>
      <c r="I101" s="81"/>
      <c r="J101" s="78" t="s">
        <v>860</v>
      </c>
      <c r="K101" s="78" t="str">
        <f t="shared" si="64"/>
        <v>2300</v>
      </c>
      <c r="L101" s="78" t="str">
        <f t="shared" si="65"/>
        <v>23</v>
      </c>
      <c r="M101" s="78" t="str">
        <f t="shared" si="66"/>
        <v>00</v>
      </c>
      <c r="N101" s="78"/>
      <c r="O101" s="80" t="s">
        <v>925</v>
      </c>
      <c r="P101" s="78" t="str">
        <f t="shared" si="67"/>
        <v>00</v>
      </c>
      <c r="Q101" s="78" t="str">
        <f t="shared" si="68"/>
        <v>07</v>
      </c>
      <c r="R101" s="78" t="str">
        <f t="shared" si="69"/>
        <v>2A</v>
      </c>
      <c r="S101" s="78" t="str">
        <f t="shared" si="70"/>
        <v>2A</v>
      </c>
      <c r="T101" s="78" t="str">
        <f t="shared" si="71"/>
        <v>FF00230000072A</v>
      </c>
    </row>
    <row r="102" spans="2:20" s="2" customFormat="1">
      <c r="B102" s="78" t="s">
        <v>1010</v>
      </c>
      <c r="C102" s="78" t="str">
        <f t="shared" si="72"/>
        <v>FF00230000082B</v>
      </c>
      <c r="D102" s="78" t="s">
        <v>1002</v>
      </c>
      <c r="E102" s="78" t="s">
        <v>884</v>
      </c>
      <c r="F102" s="78" t="s">
        <v>857</v>
      </c>
      <c r="G102" s="78"/>
      <c r="H102" s="79" t="s">
        <v>975</v>
      </c>
      <c r="I102" s="81"/>
      <c r="J102" s="78" t="s">
        <v>860</v>
      </c>
      <c r="K102" s="78" t="str">
        <f t="shared" si="64"/>
        <v>2300</v>
      </c>
      <c r="L102" s="78" t="str">
        <f t="shared" si="65"/>
        <v>23</v>
      </c>
      <c r="M102" s="78" t="str">
        <f t="shared" si="66"/>
        <v>00</v>
      </c>
      <c r="N102" s="78"/>
      <c r="O102" s="80" t="s">
        <v>1094</v>
      </c>
      <c r="P102" s="78" t="str">
        <f t="shared" si="67"/>
        <v>00</v>
      </c>
      <c r="Q102" s="78" t="str">
        <f t="shared" si="68"/>
        <v>08</v>
      </c>
      <c r="R102" s="78" t="str">
        <f t="shared" si="69"/>
        <v>2B</v>
      </c>
      <c r="S102" s="78" t="str">
        <f t="shared" si="70"/>
        <v>2B</v>
      </c>
      <c r="T102" s="78" t="str">
        <f t="shared" si="71"/>
        <v>FF00230000082B</v>
      </c>
    </row>
    <row r="103" spans="2:20" s="2" customFormat="1">
      <c r="B103" s="78" t="s">
        <v>1011</v>
      </c>
      <c r="C103" s="78" t="str">
        <f t="shared" si="72"/>
        <v>FF0023018000A4</v>
      </c>
      <c r="D103" s="78" t="s">
        <v>1012</v>
      </c>
      <c r="E103" s="78" t="s">
        <v>884</v>
      </c>
      <c r="F103" s="78" t="s">
        <v>857</v>
      </c>
      <c r="G103" s="78"/>
      <c r="H103" s="79" t="s">
        <v>975</v>
      </c>
      <c r="I103" s="81"/>
      <c r="J103" s="78" t="s">
        <v>860</v>
      </c>
      <c r="K103" s="78" t="str">
        <f t="shared" si="64"/>
        <v>2301</v>
      </c>
      <c r="L103" s="78" t="str">
        <f t="shared" si="65"/>
        <v>23</v>
      </c>
      <c r="M103" s="78" t="str">
        <f t="shared" si="66"/>
        <v>01</v>
      </c>
      <c r="N103" s="78">
        <v>-32768</v>
      </c>
      <c r="O103" s="78" t="str">
        <f>TEXT(DEC2HEX(65536 + N103), "0000")</f>
        <v>8000</v>
      </c>
      <c r="P103" s="78" t="str">
        <f t="shared" si="67"/>
        <v>80</v>
      </c>
      <c r="Q103" s="78" t="str">
        <f t="shared" si="68"/>
        <v>00</v>
      </c>
      <c r="R103" s="78" t="str">
        <f t="shared" si="69"/>
        <v>A4</v>
      </c>
      <c r="S103" s="78" t="str">
        <f t="shared" si="70"/>
        <v>A4</v>
      </c>
      <c r="T103" s="78" t="str">
        <f t="shared" si="71"/>
        <v>FF0023018000A4</v>
      </c>
    </row>
    <row r="104" spans="2:20" s="2" customFormat="1">
      <c r="B104" s="78" t="s">
        <v>1097</v>
      </c>
      <c r="C104" s="78" t="str">
        <f t="shared" ref="C104" si="73">T104</f>
        <v>FF002301000024</v>
      </c>
      <c r="D104" s="78" t="s">
        <v>1012</v>
      </c>
      <c r="E104" s="78" t="s">
        <v>884</v>
      </c>
      <c r="F104" s="78" t="s">
        <v>857</v>
      </c>
      <c r="G104" s="78"/>
      <c r="H104" s="79" t="s">
        <v>975</v>
      </c>
      <c r="I104" s="81"/>
      <c r="J104" s="78" t="s">
        <v>860</v>
      </c>
      <c r="K104" s="78" t="str">
        <f t="shared" ref="K104" si="74" xml:space="preserve"> SUBSTITUTE(D104, "0x","")</f>
        <v>2301</v>
      </c>
      <c r="L104" s="78" t="str">
        <f t="shared" ref="L104" si="75">LEFT(K104,2)</f>
        <v>23</v>
      </c>
      <c r="M104" s="78" t="str">
        <f t="shared" ref="M104" si="76">RIGHT(K104,2)</f>
        <v>01</v>
      </c>
      <c r="N104" s="78">
        <v>0</v>
      </c>
      <c r="O104" s="78" t="str">
        <f>REPT("0", 4 - LEN(DEC2HEX(N104))) &amp; DEC2HEX(N104)</f>
        <v>0000</v>
      </c>
      <c r="P104" s="78" t="str">
        <f t="shared" ref="P104" si="77">LEFT(O104, 2)</f>
        <v>00</v>
      </c>
      <c r="Q104" s="78" t="str">
        <f t="shared" ref="Q104" si="78">RIGHT(O104, 2)</f>
        <v>00</v>
      </c>
      <c r="R104" s="78" t="str">
        <f t="shared" ref="R104" si="79">DEC2HEX(SUM(HEX2DEC(L104), HEX2DEC(M104), HEX2DEC(P104), HEX2DEC(Q104)))</f>
        <v>24</v>
      </c>
      <c r="S104" s="78" t="str">
        <f t="shared" ref="S104" si="80">RIGHT(R104,2)</f>
        <v>24</v>
      </c>
      <c r="T104" s="78" t="str">
        <f t="shared" ref="T104" si="81">"FF00"&amp;K104&amp;""&amp;P104&amp;Q104&amp;S104</f>
        <v>FF002301000024</v>
      </c>
    </row>
    <row r="105" spans="2:20" s="2" customFormat="1">
      <c r="B105" s="78" t="s">
        <v>1013</v>
      </c>
      <c r="C105" s="78" t="str">
        <f t="shared" si="72"/>
        <v>FF0023018000A4</v>
      </c>
      <c r="D105" s="78" t="s">
        <v>1012</v>
      </c>
      <c r="E105" s="78" t="s">
        <v>884</v>
      </c>
      <c r="F105" s="78" t="s">
        <v>857</v>
      </c>
      <c r="G105" s="78"/>
      <c r="H105" s="79" t="s">
        <v>975</v>
      </c>
      <c r="I105" s="81"/>
      <c r="J105" s="78" t="s">
        <v>860</v>
      </c>
      <c r="K105" s="78" t="str">
        <f t="shared" si="64"/>
        <v>2301</v>
      </c>
      <c r="L105" s="78" t="str">
        <f t="shared" si="65"/>
        <v>23</v>
      </c>
      <c r="M105" s="78" t="str">
        <f t="shared" si="66"/>
        <v>01</v>
      </c>
      <c r="N105" s="78">
        <v>32768</v>
      </c>
      <c r="O105" s="78" t="str">
        <f>REPT("0", 4 - LEN(DEC2HEX(N105))) &amp; DEC2HEX(N105)</f>
        <v>8000</v>
      </c>
      <c r="P105" s="78" t="str">
        <f t="shared" si="67"/>
        <v>80</v>
      </c>
      <c r="Q105" s="78" t="str">
        <f t="shared" si="68"/>
        <v>00</v>
      </c>
      <c r="R105" s="78" t="str">
        <f t="shared" si="69"/>
        <v>A4</v>
      </c>
      <c r="S105" s="78" t="str">
        <f t="shared" si="70"/>
        <v>A4</v>
      </c>
      <c r="T105" s="78" t="str">
        <f t="shared" si="71"/>
        <v>FF0023018000A4</v>
      </c>
    </row>
    <row r="106" spans="2:20" s="2" customFormat="1">
      <c r="B106" s="78" t="s">
        <v>1014</v>
      </c>
      <c r="C106" s="78" t="str">
        <f t="shared" si="72"/>
        <v>FF002302000A2F</v>
      </c>
      <c r="D106" s="78" t="s">
        <v>1015</v>
      </c>
      <c r="E106" s="78" t="s">
        <v>884</v>
      </c>
      <c r="F106" s="78" t="s">
        <v>857</v>
      </c>
      <c r="G106" s="78"/>
      <c r="H106" s="79">
        <v>98</v>
      </c>
      <c r="I106" s="81"/>
      <c r="J106" s="78" t="s">
        <v>860</v>
      </c>
      <c r="K106" s="78" t="str">
        <f t="shared" si="64"/>
        <v>2302</v>
      </c>
      <c r="L106" s="78" t="str">
        <f t="shared" si="65"/>
        <v>23</v>
      </c>
      <c r="M106" s="78" t="str">
        <f t="shared" si="66"/>
        <v>02</v>
      </c>
      <c r="N106" s="78">
        <v>10</v>
      </c>
      <c r="O106" s="78" t="str">
        <f>REPT("0", 4 - LEN(DEC2HEX(N106))) &amp; DEC2HEX(N106)</f>
        <v>000A</v>
      </c>
      <c r="P106" s="78" t="str">
        <f t="shared" si="67"/>
        <v>00</v>
      </c>
      <c r="Q106" s="78" t="str">
        <f t="shared" si="68"/>
        <v>0A</v>
      </c>
      <c r="R106" s="78" t="str">
        <f t="shared" si="69"/>
        <v>2F</v>
      </c>
      <c r="S106" s="78" t="str">
        <f t="shared" si="70"/>
        <v>2F</v>
      </c>
      <c r="T106" s="78" t="str">
        <f t="shared" si="71"/>
        <v>FF002302000A2F</v>
      </c>
    </row>
    <row r="107" spans="2:20" s="2" customFormat="1">
      <c r="B107" s="78" t="s">
        <v>1098</v>
      </c>
      <c r="C107" s="78" t="str">
        <f t="shared" ref="C107" si="82">T107</f>
        <v>FF002302006287</v>
      </c>
      <c r="D107" s="78" t="s">
        <v>1015</v>
      </c>
      <c r="E107" s="78" t="s">
        <v>884</v>
      </c>
      <c r="F107" s="78" t="s">
        <v>857</v>
      </c>
      <c r="G107" s="78"/>
      <c r="H107" s="79">
        <v>98</v>
      </c>
      <c r="I107" s="81"/>
      <c r="J107" s="78" t="s">
        <v>860</v>
      </c>
      <c r="K107" s="78" t="str">
        <f t="shared" ref="K107" si="83" xml:space="preserve"> SUBSTITUTE(D107, "0x","")</f>
        <v>2302</v>
      </c>
      <c r="L107" s="78" t="str">
        <f t="shared" ref="L107" si="84">LEFT(K107,2)</f>
        <v>23</v>
      </c>
      <c r="M107" s="78" t="str">
        <f t="shared" ref="M107" si="85">RIGHT(K107,2)</f>
        <v>02</v>
      </c>
      <c r="N107" s="78">
        <v>98</v>
      </c>
      <c r="O107" s="78" t="str">
        <f>REPT("0", 4 - LEN(DEC2HEX(N107))) &amp; DEC2HEX(N107)</f>
        <v>0062</v>
      </c>
      <c r="P107" s="78" t="str">
        <f t="shared" ref="P107" si="86">LEFT(O107, 2)</f>
        <v>00</v>
      </c>
      <c r="Q107" s="78" t="str">
        <f t="shared" ref="Q107" si="87">RIGHT(O107, 2)</f>
        <v>62</v>
      </c>
      <c r="R107" s="78" t="str">
        <f t="shared" ref="R107" si="88">DEC2HEX(SUM(HEX2DEC(L107), HEX2DEC(M107), HEX2DEC(P107), HEX2DEC(Q107)))</f>
        <v>87</v>
      </c>
      <c r="S107" s="78" t="str">
        <f t="shared" ref="S107" si="89">RIGHT(R107,2)</f>
        <v>87</v>
      </c>
      <c r="T107" s="78" t="str">
        <f t="shared" ref="T107" si="90">"FF00"&amp;K107&amp;""&amp;P107&amp;Q107&amp;S107</f>
        <v>FF002302006287</v>
      </c>
    </row>
    <row r="108" spans="2:20" s="2" customFormat="1">
      <c r="B108" s="78" t="s">
        <v>1016</v>
      </c>
      <c r="C108" s="78" t="str">
        <f t="shared" si="72"/>
        <v>FF002302006489</v>
      </c>
      <c r="D108" s="78" t="s">
        <v>1015</v>
      </c>
      <c r="E108" s="78" t="s">
        <v>884</v>
      </c>
      <c r="F108" s="78" t="s">
        <v>857</v>
      </c>
      <c r="G108" s="78"/>
      <c r="H108" s="79">
        <v>98</v>
      </c>
      <c r="I108" s="81"/>
      <c r="J108" s="78" t="s">
        <v>860</v>
      </c>
      <c r="K108" s="78" t="str">
        <f t="shared" si="64"/>
        <v>2302</v>
      </c>
      <c r="L108" s="78" t="str">
        <f t="shared" si="65"/>
        <v>23</v>
      </c>
      <c r="M108" s="78" t="str">
        <f t="shared" si="66"/>
        <v>02</v>
      </c>
      <c r="N108" s="78">
        <v>100</v>
      </c>
      <c r="O108" s="78" t="str">
        <f>REPT("0", 4 - LEN(DEC2HEX(N108))) &amp; DEC2HEX(N108)</f>
        <v>0064</v>
      </c>
      <c r="P108" s="78" t="str">
        <f t="shared" si="67"/>
        <v>00</v>
      </c>
      <c r="Q108" s="78" t="str">
        <f t="shared" si="68"/>
        <v>64</v>
      </c>
      <c r="R108" s="78" t="str">
        <f t="shared" si="69"/>
        <v>89</v>
      </c>
      <c r="S108" s="78" t="str">
        <f t="shared" si="70"/>
        <v>89</v>
      </c>
      <c r="T108" s="78" t="str">
        <f t="shared" si="71"/>
        <v>FF002302006489</v>
      </c>
    </row>
    <row r="109" spans="2:20" s="2" customFormat="1" ht="94.5">
      <c r="B109" s="78" t="s">
        <v>1017</v>
      </c>
      <c r="C109" s="78" t="str">
        <f t="shared" si="72"/>
        <v>FF002304000027</v>
      </c>
      <c r="D109" s="78" t="s">
        <v>1018</v>
      </c>
      <c r="E109" s="78" t="s">
        <v>884</v>
      </c>
      <c r="F109" s="78" t="s">
        <v>857</v>
      </c>
      <c r="G109" s="78" t="s">
        <v>1019</v>
      </c>
      <c r="H109" s="79">
        <v>1</v>
      </c>
      <c r="I109" s="81"/>
      <c r="J109" s="78" t="s">
        <v>860</v>
      </c>
      <c r="K109" s="78" t="str">
        <f t="shared" si="64"/>
        <v>2304</v>
      </c>
      <c r="L109" s="78" t="str">
        <f t="shared" si="65"/>
        <v>23</v>
      </c>
      <c r="M109" s="78" t="str">
        <f t="shared" si="66"/>
        <v>04</v>
      </c>
      <c r="N109" s="78"/>
      <c r="O109" s="80" t="s">
        <v>861</v>
      </c>
      <c r="P109" s="78" t="str">
        <f t="shared" si="67"/>
        <v>00</v>
      </c>
      <c r="Q109" s="78" t="str">
        <f t="shared" si="68"/>
        <v>00</v>
      </c>
      <c r="R109" s="78" t="str">
        <f t="shared" si="69"/>
        <v>27</v>
      </c>
      <c r="S109" s="78" t="str">
        <f t="shared" si="70"/>
        <v>27</v>
      </c>
      <c r="T109" s="78" t="str">
        <f t="shared" si="71"/>
        <v>FF002304000027</v>
      </c>
    </row>
    <row r="110" spans="2:20" s="2" customFormat="1">
      <c r="B110" s="78" t="s">
        <v>1020</v>
      </c>
      <c r="C110" s="78" t="str">
        <f t="shared" si="72"/>
        <v>FF002304000128</v>
      </c>
      <c r="D110" s="78" t="s">
        <v>1018</v>
      </c>
      <c r="E110" s="78" t="s">
        <v>884</v>
      </c>
      <c r="F110" s="78" t="s">
        <v>857</v>
      </c>
      <c r="G110" s="78" t="s">
        <v>968</v>
      </c>
      <c r="H110" s="79">
        <v>1</v>
      </c>
      <c r="I110" s="81"/>
      <c r="J110" s="78" t="s">
        <v>860</v>
      </c>
      <c r="K110" s="78" t="str">
        <f t="shared" si="64"/>
        <v>2304</v>
      </c>
      <c r="L110" s="78" t="str">
        <f t="shared" si="65"/>
        <v>23</v>
      </c>
      <c r="M110" s="78" t="str">
        <f t="shared" si="66"/>
        <v>04</v>
      </c>
      <c r="N110" s="78"/>
      <c r="O110" s="80" t="s">
        <v>863</v>
      </c>
      <c r="P110" s="78" t="str">
        <f t="shared" si="67"/>
        <v>00</v>
      </c>
      <c r="Q110" s="78" t="str">
        <f t="shared" si="68"/>
        <v>01</v>
      </c>
      <c r="R110" s="78" t="str">
        <f t="shared" si="69"/>
        <v>28</v>
      </c>
      <c r="S110" s="78" t="str">
        <f t="shared" si="70"/>
        <v>28</v>
      </c>
      <c r="T110" s="78" t="str">
        <f t="shared" si="71"/>
        <v>FF002304000128</v>
      </c>
    </row>
    <row r="111" spans="2:20" s="2" customFormat="1">
      <c r="B111" s="78" t="s">
        <v>1021</v>
      </c>
      <c r="C111" s="78" t="str">
        <f t="shared" si="72"/>
        <v>FF002310000033</v>
      </c>
      <c r="D111" s="78" t="s">
        <v>1022</v>
      </c>
      <c r="E111" s="78" t="s">
        <v>884</v>
      </c>
      <c r="F111" s="78" t="s">
        <v>857</v>
      </c>
      <c r="G111" s="78"/>
      <c r="H111" s="79">
        <v>0</v>
      </c>
      <c r="I111" s="81"/>
      <c r="J111" s="78" t="s">
        <v>860</v>
      </c>
      <c r="K111" s="78" t="str">
        <f t="shared" si="64"/>
        <v>2310</v>
      </c>
      <c r="L111" s="78" t="str">
        <f t="shared" si="65"/>
        <v>23</v>
      </c>
      <c r="M111" s="78" t="str">
        <f t="shared" si="66"/>
        <v>10</v>
      </c>
      <c r="N111" s="78"/>
      <c r="O111" s="80" t="s">
        <v>861</v>
      </c>
      <c r="P111" s="78" t="str">
        <f t="shared" si="67"/>
        <v>00</v>
      </c>
      <c r="Q111" s="78" t="str">
        <f t="shared" si="68"/>
        <v>00</v>
      </c>
      <c r="R111" s="78" t="str">
        <f t="shared" si="69"/>
        <v>33</v>
      </c>
      <c r="S111" s="78" t="str">
        <f t="shared" si="70"/>
        <v>33</v>
      </c>
      <c r="T111" s="78" t="str">
        <f t="shared" si="71"/>
        <v>FF002310000033</v>
      </c>
    </row>
    <row r="112" spans="2:20" s="2" customFormat="1">
      <c r="B112" s="78" t="s">
        <v>1023</v>
      </c>
      <c r="C112" s="78" t="str">
        <f t="shared" si="72"/>
        <v>FF002310000134</v>
      </c>
      <c r="D112" s="78" t="s">
        <v>1022</v>
      </c>
      <c r="E112" s="78" t="s">
        <v>884</v>
      </c>
      <c r="F112" s="78" t="s">
        <v>857</v>
      </c>
      <c r="G112" s="78"/>
      <c r="H112" s="79">
        <v>0</v>
      </c>
      <c r="I112" s="81"/>
      <c r="J112" s="78" t="s">
        <v>860</v>
      </c>
      <c r="K112" s="78" t="str">
        <f t="shared" si="64"/>
        <v>2310</v>
      </c>
      <c r="L112" s="78" t="str">
        <f t="shared" si="65"/>
        <v>23</v>
      </c>
      <c r="M112" s="78" t="str">
        <f t="shared" si="66"/>
        <v>10</v>
      </c>
      <c r="N112" s="78"/>
      <c r="O112" s="80" t="s">
        <v>863</v>
      </c>
      <c r="P112" s="78" t="str">
        <f t="shared" si="67"/>
        <v>00</v>
      </c>
      <c r="Q112" s="78" t="str">
        <f t="shared" si="68"/>
        <v>01</v>
      </c>
      <c r="R112" s="78" t="str">
        <f t="shared" si="69"/>
        <v>34</v>
      </c>
      <c r="S112" s="78" t="str">
        <f t="shared" si="70"/>
        <v>34</v>
      </c>
      <c r="T112" s="78" t="str">
        <f t="shared" si="71"/>
        <v>FF002310000134</v>
      </c>
    </row>
    <row r="113" spans="2:20" s="2" customFormat="1">
      <c r="B113" s="78" t="s">
        <v>1024</v>
      </c>
      <c r="C113" s="78" t="str">
        <f t="shared" si="72"/>
        <v>FF002310000033</v>
      </c>
      <c r="D113" s="78" t="s">
        <v>1022</v>
      </c>
      <c r="E113" s="78" t="s">
        <v>884</v>
      </c>
      <c r="F113" s="78" t="s">
        <v>857</v>
      </c>
      <c r="G113" s="78"/>
      <c r="H113" s="79">
        <v>0</v>
      </c>
      <c r="I113" s="81"/>
      <c r="J113" s="78" t="s">
        <v>860</v>
      </c>
      <c r="K113" s="78" t="str">
        <f t="shared" si="64"/>
        <v>2310</v>
      </c>
      <c r="L113" s="78" t="str">
        <f t="shared" si="65"/>
        <v>23</v>
      </c>
      <c r="M113" s="78" t="str">
        <f t="shared" si="66"/>
        <v>10</v>
      </c>
      <c r="N113" s="78"/>
      <c r="O113" s="80" t="s">
        <v>861</v>
      </c>
      <c r="P113" s="78" t="str">
        <f t="shared" si="67"/>
        <v>00</v>
      </c>
      <c r="Q113" s="78" t="str">
        <f t="shared" si="68"/>
        <v>00</v>
      </c>
      <c r="R113" s="78" t="str">
        <f t="shared" si="69"/>
        <v>33</v>
      </c>
      <c r="S113" s="78" t="str">
        <f t="shared" si="70"/>
        <v>33</v>
      </c>
      <c r="T113" s="78" t="str">
        <f t="shared" si="71"/>
        <v>FF002310000033</v>
      </c>
    </row>
    <row r="114" spans="2:20" s="2" customFormat="1">
      <c r="B114" s="78" t="s">
        <v>1025</v>
      </c>
      <c r="C114" s="78" t="str">
        <f t="shared" si="72"/>
        <v>FF002310001043</v>
      </c>
      <c r="D114" s="78" t="s">
        <v>1022</v>
      </c>
      <c r="E114" s="78" t="s">
        <v>884</v>
      </c>
      <c r="F114" s="78" t="s">
        <v>857</v>
      </c>
      <c r="G114" s="78"/>
      <c r="H114" s="79">
        <v>0</v>
      </c>
      <c r="I114" s="81"/>
      <c r="J114" s="78" t="s">
        <v>860</v>
      </c>
      <c r="K114" s="78" t="str">
        <f t="shared" si="64"/>
        <v>2310</v>
      </c>
      <c r="L114" s="78" t="str">
        <f t="shared" si="65"/>
        <v>23</v>
      </c>
      <c r="M114" s="78" t="str">
        <f t="shared" si="66"/>
        <v>10</v>
      </c>
      <c r="N114" s="78"/>
      <c r="O114" s="80" t="s">
        <v>1006</v>
      </c>
      <c r="P114" s="78" t="str">
        <f t="shared" si="67"/>
        <v>00</v>
      </c>
      <c r="Q114" s="78" t="str">
        <f t="shared" si="68"/>
        <v>10</v>
      </c>
      <c r="R114" s="78" t="str">
        <f t="shared" si="69"/>
        <v>43</v>
      </c>
      <c r="S114" s="78" t="str">
        <f t="shared" si="70"/>
        <v>43</v>
      </c>
      <c r="T114" s="78" t="str">
        <f t="shared" si="71"/>
        <v>FF002310001043</v>
      </c>
    </row>
    <row r="115" spans="2:20" s="2" customFormat="1">
      <c r="B115" s="78" t="s">
        <v>1026</v>
      </c>
      <c r="C115" s="78" t="str">
        <f t="shared" si="72"/>
        <v>FF002310000033</v>
      </c>
      <c r="D115" s="78" t="s">
        <v>1022</v>
      </c>
      <c r="E115" s="78" t="s">
        <v>884</v>
      </c>
      <c r="F115" s="78" t="s">
        <v>857</v>
      </c>
      <c r="G115" s="78"/>
      <c r="H115" s="79">
        <v>0</v>
      </c>
      <c r="I115" s="81"/>
      <c r="J115" s="78" t="s">
        <v>860</v>
      </c>
      <c r="K115" s="78" t="str">
        <f t="shared" si="64"/>
        <v>2310</v>
      </c>
      <c r="L115" s="78" t="str">
        <f t="shared" si="65"/>
        <v>23</v>
      </c>
      <c r="M115" s="78" t="str">
        <f t="shared" si="66"/>
        <v>10</v>
      </c>
      <c r="N115" s="78"/>
      <c r="O115" s="80" t="s">
        <v>861</v>
      </c>
      <c r="P115" s="78" t="str">
        <f t="shared" si="67"/>
        <v>00</v>
      </c>
      <c r="Q115" s="78" t="str">
        <f t="shared" si="68"/>
        <v>00</v>
      </c>
      <c r="R115" s="78" t="str">
        <f t="shared" si="69"/>
        <v>33</v>
      </c>
      <c r="S115" s="78" t="str">
        <f t="shared" si="70"/>
        <v>33</v>
      </c>
      <c r="T115" s="78" t="str">
        <f t="shared" si="71"/>
        <v>FF002310000033</v>
      </c>
    </row>
    <row r="116" spans="2:20" s="2" customFormat="1">
      <c r="B116" s="78" t="s">
        <v>1027</v>
      </c>
      <c r="C116" s="78" t="str">
        <f t="shared" si="72"/>
        <v>FF002310020035</v>
      </c>
      <c r="D116" s="78" t="s">
        <v>1022</v>
      </c>
      <c r="E116" s="78" t="s">
        <v>884</v>
      </c>
      <c r="F116" s="78" t="s">
        <v>857</v>
      </c>
      <c r="G116" s="78"/>
      <c r="H116" s="79">
        <v>0</v>
      </c>
      <c r="I116" s="81"/>
      <c r="J116" s="78" t="s">
        <v>860</v>
      </c>
      <c r="K116" s="78" t="str">
        <f t="shared" si="64"/>
        <v>2310</v>
      </c>
      <c r="L116" s="78" t="str">
        <f t="shared" si="65"/>
        <v>23</v>
      </c>
      <c r="M116" s="78" t="str">
        <f t="shared" si="66"/>
        <v>10</v>
      </c>
      <c r="N116" s="78"/>
      <c r="O116" s="80" t="s">
        <v>1481</v>
      </c>
      <c r="P116" s="78" t="str">
        <f t="shared" si="67"/>
        <v>02</v>
      </c>
      <c r="Q116" s="78" t="str">
        <f t="shared" si="68"/>
        <v>00</v>
      </c>
      <c r="R116" s="78" t="str">
        <f t="shared" si="69"/>
        <v>35</v>
      </c>
      <c r="S116" s="78" t="str">
        <f t="shared" si="70"/>
        <v>35</v>
      </c>
      <c r="T116" s="78" t="str">
        <f t="shared" si="71"/>
        <v>FF002310020035</v>
      </c>
    </row>
    <row r="117" spans="2:20" s="2" customFormat="1">
      <c r="B117" s="78" t="s">
        <v>1028</v>
      </c>
      <c r="C117" s="78" t="str">
        <f t="shared" si="72"/>
        <v>FF002311000034</v>
      </c>
      <c r="D117" s="78" t="s">
        <v>1029</v>
      </c>
      <c r="E117" s="78" t="s">
        <v>884</v>
      </c>
      <c r="F117" s="78" t="s">
        <v>857</v>
      </c>
      <c r="G117" s="78"/>
      <c r="H117" s="79">
        <v>0</v>
      </c>
      <c r="I117" s="81"/>
      <c r="J117" s="78" t="s">
        <v>860</v>
      </c>
      <c r="K117" s="78" t="str">
        <f t="shared" si="64"/>
        <v>2311</v>
      </c>
      <c r="L117" s="78" t="str">
        <f t="shared" si="65"/>
        <v>23</v>
      </c>
      <c r="M117" s="78" t="str">
        <f t="shared" si="66"/>
        <v>11</v>
      </c>
      <c r="N117" s="78"/>
      <c r="O117" s="80" t="s">
        <v>861</v>
      </c>
      <c r="P117" s="78" t="str">
        <f t="shared" si="67"/>
        <v>00</v>
      </c>
      <c r="Q117" s="78" t="str">
        <f t="shared" si="68"/>
        <v>00</v>
      </c>
      <c r="R117" s="78" t="str">
        <f t="shared" si="69"/>
        <v>34</v>
      </c>
      <c r="S117" s="78" t="str">
        <f t="shared" si="70"/>
        <v>34</v>
      </c>
      <c r="T117" s="78" t="str">
        <f t="shared" si="71"/>
        <v>FF002311000034</v>
      </c>
    </row>
    <row r="118" spans="2:20" s="2" customFormat="1">
      <c r="B118" s="78" t="s">
        <v>1030</v>
      </c>
      <c r="C118" s="78" t="str">
        <f t="shared" si="72"/>
        <v>FF002311000135</v>
      </c>
      <c r="D118" s="78" t="s">
        <v>1029</v>
      </c>
      <c r="E118" s="78" t="s">
        <v>884</v>
      </c>
      <c r="F118" s="78" t="s">
        <v>857</v>
      </c>
      <c r="G118" s="78"/>
      <c r="H118" s="79">
        <v>0</v>
      </c>
      <c r="I118" s="81"/>
      <c r="J118" s="78" t="s">
        <v>860</v>
      </c>
      <c r="K118" s="78" t="str">
        <f t="shared" si="64"/>
        <v>2311</v>
      </c>
      <c r="L118" s="78" t="str">
        <f t="shared" si="65"/>
        <v>23</v>
      </c>
      <c r="M118" s="78" t="str">
        <f t="shared" si="66"/>
        <v>11</v>
      </c>
      <c r="N118" s="78"/>
      <c r="O118" s="80" t="s">
        <v>863</v>
      </c>
      <c r="P118" s="78" t="str">
        <f t="shared" si="67"/>
        <v>00</v>
      </c>
      <c r="Q118" s="78" t="str">
        <f t="shared" si="68"/>
        <v>01</v>
      </c>
      <c r="R118" s="78" t="str">
        <f t="shared" si="69"/>
        <v>35</v>
      </c>
      <c r="S118" s="78" t="str">
        <f t="shared" si="70"/>
        <v>35</v>
      </c>
      <c r="T118" s="78" t="str">
        <f t="shared" si="71"/>
        <v>FF002311000135</v>
      </c>
    </row>
    <row r="119" spans="2:20" s="2" customFormat="1">
      <c r="B119" s="78" t="s">
        <v>1031</v>
      </c>
      <c r="C119" s="78" t="str">
        <f t="shared" si="72"/>
        <v>FF002311000034</v>
      </c>
      <c r="D119" s="78" t="s">
        <v>1029</v>
      </c>
      <c r="E119" s="78" t="s">
        <v>884</v>
      </c>
      <c r="F119" s="78" t="s">
        <v>857</v>
      </c>
      <c r="G119" s="78"/>
      <c r="H119" s="79">
        <v>0</v>
      </c>
      <c r="I119" s="81"/>
      <c r="J119" s="78" t="s">
        <v>860</v>
      </c>
      <c r="K119" s="78" t="str">
        <f t="shared" si="64"/>
        <v>2311</v>
      </c>
      <c r="L119" s="78" t="str">
        <f t="shared" si="65"/>
        <v>23</v>
      </c>
      <c r="M119" s="78" t="str">
        <f t="shared" si="66"/>
        <v>11</v>
      </c>
      <c r="N119" s="78"/>
      <c r="O119" s="80" t="s">
        <v>861</v>
      </c>
      <c r="P119" s="78" t="str">
        <f t="shared" si="67"/>
        <v>00</v>
      </c>
      <c r="Q119" s="78" t="str">
        <f t="shared" si="68"/>
        <v>00</v>
      </c>
      <c r="R119" s="78" t="str">
        <f t="shared" si="69"/>
        <v>34</v>
      </c>
      <c r="S119" s="78" t="str">
        <f t="shared" si="70"/>
        <v>34</v>
      </c>
      <c r="T119" s="78" t="str">
        <f t="shared" si="71"/>
        <v>FF002311000034</v>
      </c>
    </row>
    <row r="120" spans="2:20" s="2" customFormat="1">
      <c r="B120" s="78" t="s">
        <v>1482</v>
      </c>
      <c r="C120" s="78" t="str">
        <f t="shared" si="72"/>
        <v>FF002311000236</v>
      </c>
      <c r="D120" s="78" t="s">
        <v>1029</v>
      </c>
      <c r="E120" s="78" t="s">
        <v>884</v>
      </c>
      <c r="F120" s="78" t="s">
        <v>857</v>
      </c>
      <c r="G120" s="78"/>
      <c r="H120" s="79">
        <v>0</v>
      </c>
      <c r="I120" s="81"/>
      <c r="J120" s="78" t="s">
        <v>860</v>
      </c>
      <c r="K120" s="78" t="str">
        <f t="shared" si="64"/>
        <v>2311</v>
      </c>
      <c r="L120" s="78" t="str">
        <f t="shared" si="65"/>
        <v>23</v>
      </c>
      <c r="M120" s="78" t="str">
        <f t="shared" si="66"/>
        <v>11</v>
      </c>
      <c r="N120" s="78"/>
      <c r="O120" s="80" t="s">
        <v>888</v>
      </c>
      <c r="P120" s="78" t="str">
        <f t="shared" si="67"/>
        <v>00</v>
      </c>
      <c r="Q120" s="78" t="str">
        <f t="shared" si="68"/>
        <v>02</v>
      </c>
      <c r="R120" s="78" t="str">
        <f t="shared" si="69"/>
        <v>36</v>
      </c>
      <c r="S120" s="78" t="str">
        <f t="shared" si="70"/>
        <v>36</v>
      </c>
      <c r="T120" s="78" t="str">
        <f t="shared" si="71"/>
        <v>FF002311000236</v>
      </c>
    </row>
    <row r="121" spans="2:20" s="2" customFormat="1">
      <c r="B121" s="78" t="s">
        <v>1483</v>
      </c>
      <c r="C121" s="78" t="str">
        <f t="shared" si="72"/>
        <v>FF002311000034</v>
      </c>
      <c r="D121" s="78" t="s">
        <v>1029</v>
      </c>
      <c r="E121" s="78" t="s">
        <v>884</v>
      </c>
      <c r="F121" s="78" t="s">
        <v>857</v>
      </c>
      <c r="G121" s="78"/>
      <c r="H121" s="79">
        <v>0</v>
      </c>
      <c r="I121" s="81"/>
      <c r="J121" s="78" t="s">
        <v>860</v>
      </c>
      <c r="K121" s="78" t="str">
        <f t="shared" si="64"/>
        <v>2311</v>
      </c>
      <c r="L121" s="78" t="str">
        <f t="shared" si="65"/>
        <v>23</v>
      </c>
      <c r="M121" s="78" t="str">
        <f t="shared" si="66"/>
        <v>11</v>
      </c>
      <c r="N121" s="78"/>
      <c r="O121" s="80" t="s">
        <v>861</v>
      </c>
      <c r="P121" s="78" t="str">
        <f t="shared" si="67"/>
        <v>00</v>
      </c>
      <c r="Q121" s="78" t="str">
        <f t="shared" si="68"/>
        <v>00</v>
      </c>
      <c r="R121" s="78" t="str">
        <f t="shared" si="69"/>
        <v>34</v>
      </c>
      <c r="S121" s="78" t="str">
        <f t="shared" si="70"/>
        <v>34</v>
      </c>
      <c r="T121" s="78" t="str">
        <f t="shared" si="71"/>
        <v>FF002311000034</v>
      </c>
    </row>
    <row r="122" spans="2:20" s="2" customFormat="1">
      <c r="B122" s="78" t="s">
        <v>1032</v>
      </c>
      <c r="C122" s="78" t="str">
        <f t="shared" si="72"/>
        <v>FF002311000438</v>
      </c>
      <c r="D122" s="78" t="s">
        <v>1029</v>
      </c>
      <c r="E122" s="78" t="s">
        <v>884</v>
      </c>
      <c r="F122" s="78" t="s">
        <v>857</v>
      </c>
      <c r="G122" s="78"/>
      <c r="H122" s="79">
        <v>0</v>
      </c>
      <c r="I122" s="81"/>
      <c r="J122" s="78" t="s">
        <v>860</v>
      </c>
      <c r="K122" s="78" t="str">
        <f t="shared" si="64"/>
        <v>2311</v>
      </c>
      <c r="L122" s="78" t="str">
        <f t="shared" si="65"/>
        <v>23</v>
      </c>
      <c r="M122" s="78" t="str">
        <f t="shared" si="66"/>
        <v>11</v>
      </c>
      <c r="N122" s="78"/>
      <c r="O122" s="80" t="s">
        <v>962</v>
      </c>
      <c r="P122" s="78" t="str">
        <f t="shared" si="67"/>
        <v>00</v>
      </c>
      <c r="Q122" s="78" t="str">
        <f t="shared" si="68"/>
        <v>04</v>
      </c>
      <c r="R122" s="78" t="str">
        <f t="shared" si="69"/>
        <v>38</v>
      </c>
      <c r="S122" s="78" t="str">
        <f t="shared" si="70"/>
        <v>38</v>
      </c>
      <c r="T122" s="78" t="str">
        <f t="shared" si="71"/>
        <v>FF002311000438</v>
      </c>
    </row>
    <row r="123" spans="2:20" s="2" customFormat="1">
      <c r="B123" s="78" t="s">
        <v>1033</v>
      </c>
      <c r="C123" s="78" t="str">
        <f t="shared" si="72"/>
        <v>FF002320000A4D</v>
      </c>
      <c r="D123" s="78" t="s">
        <v>1034</v>
      </c>
      <c r="E123" s="78" t="s">
        <v>884</v>
      </c>
      <c r="F123" s="78" t="s">
        <v>857</v>
      </c>
      <c r="G123" s="78"/>
      <c r="H123" s="79">
        <v>0</v>
      </c>
      <c r="I123" s="81"/>
      <c r="J123" s="78" t="s">
        <v>860</v>
      </c>
      <c r="K123" s="78" t="str">
        <f t="shared" ref="K123:K156" si="91" xml:space="preserve"> SUBSTITUTE(D123, "0x","")</f>
        <v>2320</v>
      </c>
      <c r="L123" s="78" t="str">
        <f t="shared" ref="L123:L156" si="92">LEFT(K123,2)</f>
        <v>23</v>
      </c>
      <c r="M123" s="78" t="str">
        <f t="shared" ref="M123:M156" si="93">RIGHT(K123,2)</f>
        <v>20</v>
      </c>
      <c r="N123" s="78">
        <v>10</v>
      </c>
      <c r="O123" s="78" t="str">
        <f t="shared" ref="O123:O126" si="94">REPT("0", 4 - LEN(DEC2HEX(N123))) &amp; DEC2HEX(N123)</f>
        <v>000A</v>
      </c>
      <c r="P123" s="78" t="str">
        <f t="shared" si="67"/>
        <v>00</v>
      </c>
      <c r="Q123" s="78" t="str">
        <f t="shared" si="68"/>
        <v>0A</v>
      </c>
      <c r="R123" s="78" t="str">
        <f t="shared" si="69"/>
        <v>4D</v>
      </c>
      <c r="S123" s="78" t="str">
        <f t="shared" si="70"/>
        <v>4D</v>
      </c>
      <c r="T123" s="78" t="str">
        <f t="shared" si="71"/>
        <v>FF002320000A4D</v>
      </c>
    </row>
    <row r="124" spans="2:20" s="2" customFormat="1">
      <c r="B124" s="78" t="s">
        <v>1035</v>
      </c>
      <c r="C124" s="78" t="str">
        <f t="shared" si="72"/>
        <v>FF002321000A4E</v>
      </c>
      <c r="D124" s="78" t="s">
        <v>1036</v>
      </c>
      <c r="E124" s="78" t="s">
        <v>884</v>
      </c>
      <c r="F124" s="78" t="s">
        <v>857</v>
      </c>
      <c r="G124" s="78"/>
      <c r="H124" s="79">
        <v>0</v>
      </c>
      <c r="I124" s="81"/>
      <c r="J124" s="78" t="s">
        <v>860</v>
      </c>
      <c r="K124" s="78" t="str">
        <f t="shared" si="91"/>
        <v>2321</v>
      </c>
      <c r="L124" s="78" t="str">
        <f t="shared" si="92"/>
        <v>23</v>
      </c>
      <c r="M124" s="78" t="str">
        <f t="shared" si="93"/>
        <v>21</v>
      </c>
      <c r="N124" s="78">
        <v>10</v>
      </c>
      <c r="O124" s="78" t="str">
        <f t="shared" si="94"/>
        <v>000A</v>
      </c>
      <c r="P124" s="78" t="str">
        <f t="shared" si="67"/>
        <v>00</v>
      </c>
      <c r="Q124" s="78" t="str">
        <f t="shared" si="68"/>
        <v>0A</v>
      </c>
      <c r="R124" s="78" t="str">
        <f t="shared" si="69"/>
        <v>4E</v>
      </c>
      <c r="S124" s="78" t="str">
        <f t="shared" si="70"/>
        <v>4E</v>
      </c>
      <c r="T124" s="78" t="str">
        <f t="shared" si="71"/>
        <v>FF002321000A4E</v>
      </c>
    </row>
    <row r="125" spans="2:20" s="2" customFormat="1">
      <c r="B125" s="78" t="s">
        <v>1037</v>
      </c>
      <c r="C125" s="78" t="str">
        <f t="shared" si="72"/>
        <v>FF0023220275BC</v>
      </c>
      <c r="D125" s="78" t="s">
        <v>1038</v>
      </c>
      <c r="E125" s="78" t="s">
        <v>884</v>
      </c>
      <c r="F125" s="78" t="s">
        <v>857</v>
      </c>
      <c r="G125" s="78"/>
      <c r="H125" s="79">
        <v>0</v>
      </c>
      <c r="I125" s="81"/>
      <c r="J125" s="78" t="s">
        <v>860</v>
      </c>
      <c r="K125" s="78" t="str">
        <f t="shared" si="91"/>
        <v>2322</v>
      </c>
      <c r="L125" s="78" t="str">
        <f t="shared" si="92"/>
        <v>23</v>
      </c>
      <c r="M125" s="78" t="str">
        <f t="shared" si="93"/>
        <v>22</v>
      </c>
      <c r="N125" s="78">
        <v>629</v>
      </c>
      <c r="O125" s="78" t="str">
        <f t="shared" si="94"/>
        <v>0275</v>
      </c>
      <c r="P125" s="78" t="str">
        <f t="shared" ref="P125:P156" si="95">LEFT(O125, 2)</f>
        <v>02</v>
      </c>
      <c r="Q125" s="78" t="str">
        <f t="shared" ref="Q125:Q156" si="96">RIGHT(O125, 2)</f>
        <v>75</v>
      </c>
      <c r="R125" s="78" t="str">
        <f t="shared" ref="R125:R156" si="97">DEC2HEX(SUM(HEX2DEC(L125), HEX2DEC(M125), HEX2DEC(P125), HEX2DEC(Q125)))</f>
        <v>BC</v>
      </c>
      <c r="S125" s="78" t="str">
        <f t="shared" ref="S125:S156" si="98">RIGHT(R125,2)</f>
        <v>BC</v>
      </c>
      <c r="T125" s="78" t="str">
        <f t="shared" ref="T125:T156" si="99">"FF00"&amp;K125&amp;""&amp;P125&amp;Q125&amp;S125</f>
        <v>FF0023220275BC</v>
      </c>
    </row>
    <row r="126" spans="2:20" s="2" customFormat="1">
      <c r="B126" s="78" t="s">
        <v>1039</v>
      </c>
      <c r="C126" s="78" t="str">
        <f t="shared" si="72"/>
        <v>FF00232301D51C</v>
      </c>
      <c r="D126" s="78" t="s">
        <v>1040</v>
      </c>
      <c r="E126" s="78" t="s">
        <v>884</v>
      </c>
      <c r="F126" s="78" t="s">
        <v>857</v>
      </c>
      <c r="G126" s="78"/>
      <c r="H126" s="79">
        <v>0</v>
      </c>
      <c r="I126" s="81"/>
      <c r="J126" s="78" t="s">
        <v>860</v>
      </c>
      <c r="K126" s="78" t="str">
        <f t="shared" si="91"/>
        <v>2323</v>
      </c>
      <c r="L126" s="78" t="str">
        <f t="shared" si="92"/>
        <v>23</v>
      </c>
      <c r="M126" s="78" t="str">
        <f t="shared" si="93"/>
        <v>23</v>
      </c>
      <c r="N126" s="78">
        <v>469</v>
      </c>
      <c r="O126" s="78" t="str">
        <f t="shared" si="94"/>
        <v>01D5</v>
      </c>
      <c r="P126" s="78" t="str">
        <f t="shared" si="95"/>
        <v>01</v>
      </c>
      <c r="Q126" s="78" t="str">
        <f t="shared" si="96"/>
        <v>D5</v>
      </c>
      <c r="R126" s="78" t="str">
        <f t="shared" si="97"/>
        <v>11C</v>
      </c>
      <c r="S126" s="78" t="str">
        <f t="shared" si="98"/>
        <v>1C</v>
      </c>
      <c r="T126" s="78" t="str">
        <f t="shared" si="99"/>
        <v>FF00232301D51C</v>
      </c>
    </row>
    <row r="127" spans="2:20" s="2" customFormat="1" ht="27">
      <c r="B127" s="78" t="s">
        <v>1041</v>
      </c>
      <c r="C127" s="78" t="str">
        <f t="shared" si="72"/>
        <v>FF0023248001C8</v>
      </c>
      <c r="D127" s="78" t="s">
        <v>1042</v>
      </c>
      <c r="E127" s="78" t="s">
        <v>884</v>
      </c>
      <c r="F127" s="78" t="s">
        <v>857</v>
      </c>
      <c r="G127" s="78"/>
      <c r="H127" s="79">
        <v>3500</v>
      </c>
      <c r="I127" s="81"/>
      <c r="J127" s="78" t="s">
        <v>860</v>
      </c>
      <c r="K127" s="78" t="str">
        <f t="shared" si="91"/>
        <v>2324</v>
      </c>
      <c r="L127" s="78" t="str">
        <f t="shared" si="92"/>
        <v>23</v>
      </c>
      <c r="M127" s="78" t="str">
        <f t="shared" si="93"/>
        <v>24</v>
      </c>
      <c r="N127" s="78">
        <v>-32767</v>
      </c>
      <c r="O127" s="78" t="str">
        <f>TEXT(DEC2HEX(65536 + N127), "0000")</f>
        <v>8001</v>
      </c>
      <c r="P127" s="78" t="str">
        <f t="shared" si="95"/>
        <v>80</v>
      </c>
      <c r="Q127" s="78" t="str">
        <f t="shared" si="96"/>
        <v>01</v>
      </c>
      <c r="R127" s="78" t="str">
        <f t="shared" si="97"/>
        <v>C8</v>
      </c>
      <c r="S127" s="78" t="str">
        <f t="shared" si="98"/>
        <v>C8</v>
      </c>
      <c r="T127" s="78" t="str">
        <f t="shared" si="99"/>
        <v>FF0023248001C8</v>
      </c>
    </row>
    <row r="128" spans="2:20" s="2" customFormat="1" ht="27">
      <c r="B128" s="78" t="s">
        <v>1043</v>
      </c>
      <c r="C128" s="78" t="str">
        <f t="shared" si="72"/>
        <v>FF0023247FFFC5</v>
      </c>
      <c r="D128" s="78" t="s">
        <v>1042</v>
      </c>
      <c r="E128" s="78" t="s">
        <v>884</v>
      </c>
      <c r="F128" s="78" t="s">
        <v>857</v>
      </c>
      <c r="G128" s="78"/>
      <c r="H128" s="79">
        <v>3500</v>
      </c>
      <c r="I128" s="81"/>
      <c r="J128" s="78" t="s">
        <v>860</v>
      </c>
      <c r="K128" s="78" t="str">
        <f t="shared" si="91"/>
        <v>2324</v>
      </c>
      <c r="L128" s="78" t="str">
        <f t="shared" si="92"/>
        <v>23</v>
      </c>
      <c r="M128" s="78" t="str">
        <f t="shared" si="93"/>
        <v>24</v>
      </c>
      <c r="N128" s="78">
        <v>32767</v>
      </c>
      <c r="O128" s="78" t="str">
        <f>REPT("0", 4 - LEN(DEC2HEX(N128))) &amp; DEC2HEX(N128)</f>
        <v>7FFF</v>
      </c>
      <c r="P128" s="78" t="str">
        <f t="shared" si="95"/>
        <v>7F</v>
      </c>
      <c r="Q128" s="78" t="str">
        <f t="shared" si="96"/>
        <v>FF</v>
      </c>
      <c r="R128" s="78" t="str">
        <f t="shared" si="97"/>
        <v>1C5</v>
      </c>
      <c r="S128" s="78" t="str">
        <f t="shared" si="98"/>
        <v>C5</v>
      </c>
      <c r="T128" s="78" t="str">
        <f t="shared" si="99"/>
        <v>FF0023247FFFC5</v>
      </c>
    </row>
    <row r="129" spans="2:20" s="2" customFormat="1">
      <c r="B129" s="78" t="s">
        <v>1044</v>
      </c>
      <c r="C129" s="78" t="str">
        <f t="shared" si="72"/>
        <v>FF002325000048</v>
      </c>
      <c r="D129" s="78" t="s">
        <v>1045</v>
      </c>
      <c r="E129" s="78" t="s">
        <v>884</v>
      </c>
      <c r="F129" s="78" t="s">
        <v>857</v>
      </c>
      <c r="G129" s="78"/>
      <c r="H129" s="79">
        <v>1</v>
      </c>
      <c r="I129" s="81"/>
      <c r="J129" s="78" t="s">
        <v>860</v>
      </c>
      <c r="K129" s="78" t="str">
        <f t="shared" si="91"/>
        <v>2325</v>
      </c>
      <c r="L129" s="78" t="str">
        <f t="shared" si="92"/>
        <v>23</v>
      </c>
      <c r="M129" s="78" t="str">
        <f t="shared" si="93"/>
        <v>25</v>
      </c>
      <c r="N129" s="78"/>
      <c r="O129" s="80" t="s">
        <v>861</v>
      </c>
      <c r="P129" s="78" t="str">
        <f t="shared" si="95"/>
        <v>00</v>
      </c>
      <c r="Q129" s="78" t="str">
        <f t="shared" si="96"/>
        <v>00</v>
      </c>
      <c r="R129" s="78" t="str">
        <f t="shared" si="97"/>
        <v>48</v>
      </c>
      <c r="S129" s="78" t="str">
        <f t="shared" si="98"/>
        <v>48</v>
      </c>
      <c r="T129" s="78" t="str">
        <f t="shared" si="99"/>
        <v>FF002325000048</v>
      </c>
    </row>
    <row r="130" spans="2:20" s="2" customFormat="1">
      <c r="B130" s="78" t="s">
        <v>1046</v>
      </c>
      <c r="C130" s="78" t="str">
        <f t="shared" si="72"/>
        <v>FF002325000149</v>
      </c>
      <c r="D130" s="78" t="s">
        <v>1045</v>
      </c>
      <c r="E130" s="78" t="s">
        <v>884</v>
      </c>
      <c r="F130" s="78" t="s">
        <v>857</v>
      </c>
      <c r="G130" s="78"/>
      <c r="H130" s="79">
        <v>1</v>
      </c>
      <c r="I130" s="81"/>
      <c r="J130" s="78" t="s">
        <v>860</v>
      </c>
      <c r="K130" s="78" t="str">
        <f t="shared" si="91"/>
        <v>2325</v>
      </c>
      <c r="L130" s="78" t="str">
        <f t="shared" si="92"/>
        <v>23</v>
      </c>
      <c r="M130" s="78" t="str">
        <f t="shared" si="93"/>
        <v>25</v>
      </c>
      <c r="N130" s="78"/>
      <c r="O130" s="80" t="s">
        <v>863</v>
      </c>
      <c r="P130" s="78" t="str">
        <f t="shared" si="95"/>
        <v>00</v>
      </c>
      <c r="Q130" s="78" t="str">
        <f t="shared" si="96"/>
        <v>01</v>
      </c>
      <c r="R130" s="78" t="str">
        <f t="shared" si="97"/>
        <v>49</v>
      </c>
      <c r="S130" s="78" t="str">
        <f t="shared" si="98"/>
        <v>49</v>
      </c>
      <c r="T130" s="78" t="str">
        <f t="shared" si="99"/>
        <v>FF002325000149</v>
      </c>
    </row>
    <row r="131" spans="2:20" s="2" customFormat="1">
      <c r="B131" s="78" t="s">
        <v>1047</v>
      </c>
      <c r="C131" s="78" t="str">
        <f t="shared" si="72"/>
        <v>FF00232500024A</v>
      </c>
      <c r="D131" s="78" t="s">
        <v>1045</v>
      </c>
      <c r="E131" s="78" t="s">
        <v>884</v>
      </c>
      <c r="F131" s="78" t="s">
        <v>857</v>
      </c>
      <c r="G131" s="78"/>
      <c r="H131" s="79">
        <v>1</v>
      </c>
      <c r="I131" s="81"/>
      <c r="J131" s="78" t="s">
        <v>860</v>
      </c>
      <c r="K131" s="78" t="str">
        <f t="shared" si="91"/>
        <v>2325</v>
      </c>
      <c r="L131" s="78" t="str">
        <f t="shared" si="92"/>
        <v>23</v>
      </c>
      <c r="M131" s="78" t="str">
        <f t="shared" si="93"/>
        <v>25</v>
      </c>
      <c r="N131" s="78"/>
      <c r="O131" s="80" t="s">
        <v>888</v>
      </c>
      <c r="P131" s="78" t="str">
        <f t="shared" si="95"/>
        <v>00</v>
      </c>
      <c r="Q131" s="78" t="str">
        <f t="shared" si="96"/>
        <v>02</v>
      </c>
      <c r="R131" s="78" t="str">
        <f t="shared" si="97"/>
        <v>4A</v>
      </c>
      <c r="S131" s="78" t="str">
        <f t="shared" si="98"/>
        <v>4A</v>
      </c>
      <c r="T131" s="78" t="str">
        <f t="shared" si="99"/>
        <v>FF00232500024A</v>
      </c>
    </row>
    <row r="132" spans="2:20" s="2" customFormat="1">
      <c r="B132" s="78" t="s">
        <v>1048</v>
      </c>
      <c r="C132" s="78" t="str">
        <f t="shared" si="72"/>
        <v>FF002326000049</v>
      </c>
      <c r="D132" s="78" t="s">
        <v>1049</v>
      </c>
      <c r="E132" s="78" t="s">
        <v>884</v>
      </c>
      <c r="F132" s="78" t="s">
        <v>857</v>
      </c>
      <c r="G132" s="78"/>
      <c r="H132" s="79">
        <v>0</v>
      </c>
      <c r="I132" s="81"/>
      <c r="J132" s="78" t="s">
        <v>860</v>
      </c>
      <c r="K132" s="78" t="str">
        <f t="shared" si="91"/>
        <v>2326</v>
      </c>
      <c r="L132" s="78" t="str">
        <f t="shared" si="92"/>
        <v>23</v>
      </c>
      <c r="M132" s="78" t="str">
        <f t="shared" si="93"/>
        <v>26</v>
      </c>
      <c r="N132" s="78"/>
      <c r="O132" s="80" t="s">
        <v>861</v>
      </c>
      <c r="P132" s="78" t="str">
        <f t="shared" si="95"/>
        <v>00</v>
      </c>
      <c r="Q132" s="78" t="str">
        <f t="shared" si="96"/>
        <v>00</v>
      </c>
      <c r="R132" s="78" t="str">
        <f t="shared" si="97"/>
        <v>49</v>
      </c>
      <c r="S132" s="78" t="str">
        <f t="shared" si="98"/>
        <v>49</v>
      </c>
      <c r="T132" s="78" t="str">
        <f t="shared" si="99"/>
        <v>FF002326000049</v>
      </c>
    </row>
    <row r="133" spans="2:20" s="2" customFormat="1">
      <c r="B133" s="78" t="s">
        <v>1050</v>
      </c>
      <c r="C133" s="78" t="str">
        <f t="shared" si="72"/>
        <v>FF002326000A53</v>
      </c>
      <c r="D133" s="78" t="s">
        <v>1049</v>
      </c>
      <c r="E133" s="78" t="s">
        <v>884</v>
      </c>
      <c r="F133" s="78" t="s">
        <v>857</v>
      </c>
      <c r="G133" s="78"/>
      <c r="H133" s="79">
        <v>0</v>
      </c>
      <c r="I133" s="81"/>
      <c r="J133" s="78" t="s">
        <v>860</v>
      </c>
      <c r="K133" s="78" t="str">
        <f t="shared" si="91"/>
        <v>2326</v>
      </c>
      <c r="L133" s="78" t="str">
        <f t="shared" si="92"/>
        <v>23</v>
      </c>
      <c r="M133" s="78" t="str">
        <f t="shared" si="93"/>
        <v>26</v>
      </c>
      <c r="N133" s="78">
        <v>10</v>
      </c>
      <c r="O133" s="78" t="str">
        <f>REPT("0", 4 - LEN(DEC2HEX(N133))) &amp; DEC2HEX(N133)</f>
        <v>000A</v>
      </c>
      <c r="P133" s="78" t="str">
        <f t="shared" si="95"/>
        <v>00</v>
      </c>
      <c r="Q133" s="78" t="str">
        <f t="shared" si="96"/>
        <v>0A</v>
      </c>
      <c r="R133" s="78" t="str">
        <f t="shared" si="97"/>
        <v>53</v>
      </c>
      <c r="S133" s="78" t="str">
        <f t="shared" si="98"/>
        <v>53</v>
      </c>
      <c r="T133" s="78" t="str">
        <f t="shared" si="99"/>
        <v>FF002326000A53</v>
      </c>
    </row>
    <row r="134" spans="2:20" s="2" customFormat="1">
      <c r="B134" s="78" t="s">
        <v>1051</v>
      </c>
      <c r="C134" s="78" t="str">
        <f t="shared" si="72"/>
        <v>FF0023B0000ADD</v>
      </c>
      <c r="D134" s="78" t="s">
        <v>1052</v>
      </c>
      <c r="E134" s="78" t="s">
        <v>884</v>
      </c>
      <c r="F134" s="78" t="s">
        <v>857</v>
      </c>
      <c r="G134" s="78"/>
      <c r="H134" s="79">
        <v>0</v>
      </c>
      <c r="I134" s="81"/>
      <c r="J134" s="78" t="s">
        <v>860</v>
      </c>
      <c r="K134" s="78" t="str">
        <f t="shared" si="91"/>
        <v>23B0</v>
      </c>
      <c r="L134" s="78" t="str">
        <f t="shared" si="92"/>
        <v>23</v>
      </c>
      <c r="M134" s="78" t="str">
        <f t="shared" si="93"/>
        <v>B0</v>
      </c>
      <c r="N134" s="78">
        <v>10</v>
      </c>
      <c r="O134" s="78" t="str">
        <f t="shared" ref="O134:O137" si="100">REPT("0", 4 - LEN(DEC2HEX(N134))) &amp; DEC2HEX(N134)</f>
        <v>000A</v>
      </c>
      <c r="P134" s="78" t="str">
        <f t="shared" si="95"/>
        <v>00</v>
      </c>
      <c r="Q134" s="78" t="str">
        <f t="shared" si="96"/>
        <v>0A</v>
      </c>
      <c r="R134" s="78" t="str">
        <f t="shared" si="97"/>
        <v>DD</v>
      </c>
      <c r="S134" s="78" t="str">
        <f t="shared" si="98"/>
        <v>DD</v>
      </c>
      <c r="T134" s="78" t="str">
        <f t="shared" si="99"/>
        <v>FF0023B0000ADD</v>
      </c>
    </row>
    <row r="135" spans="2:20" s="2" customFormat="1">
      <c r="B135" s="78" t="s">
        <v>1053</v>
      </c>
      <c r="C135" s="78" t="str">
        <f t="shared" si="72"/>
        <v>FF0023B1000ADE</v>
      </c>
      <c r="D135" s="78" t="s">
        <v>1054</v>
      </c>
      <c r="E135" s="78" t="s">
        <v>884</v>
      </c>
      <c r="F135" s="78" t="s">
        <v>857</v>
      </c>
      <c r="G135" s="78"/>
      <c r="H135" s="79">
        <v>0</v>
      </c>
      <c r="I135" s="81"/>
      <c r="J135" s="78" t="s">
        <v>860</v>
      </c>
      <c r="K135" s="78" t="str">
        <f t="shared" si="91"/>
        <v>23B1</v>
      </c>
      <c r="L135" s="78" t="str">
        <f t="shared" si="92"/>
        <v>23</v>
      </c>
      <c r="M135" s="78" t="str">
        <f t="shared" si="93"/>
        <v>B1</v>
      </c>
      <c r="N135" s="78">
        <v>10</v>
      </c>
      <c r="O135" s="78" t="str">
        <f t="shared" si="100"/>
        <v>000A</v>
      </c>
      <c r="P135" s="78" t="str">
        <f t="shared" si="95"/>
        <v>00</v>
      </c>
      <c r="Q135" s="78" t="str">
        <f t="shared" si="96"/>
        <v>0A</v>
      </c>
      <c r="R135" s="78" t="str">
        <f t="shared" si="97"/>
        <v>DE</v>
      </c>
      <c r="S135" s="78" t="str">
        <f t="shared" si="98"/>
        <v>DE</v>
      </c>
      <c r="T135" s="78" t="str">
        <f t="shared" si="99"/>
        <v>FF0023B1000ADE</v>
      </c>
    </row>
    <row r="136" spans="2:20" s="2" customFormat="1">
      <c r="B136" s="78" t="s">
        <v>1055</v>
      </c>
      <c r="C136" s="78" t="str">
        <f t="shared" si="72"/>
        <v>FF0023B202754C</v>
      </c>
      <c r="D136" s="78" t="s">
        <v>1056</v>
      </c>
      <c r="E136" s="78" t="s">
        <v>884</v>
      </c>
      <c r="F136" s="78" t="s">
        <v>857</v>
      </c>
      <c r="G136" s="78"/>
      <c r="H136" s="79">
        <v>0</v>
      </c>
      <c r="I136" s="81"/>
      <c r="J136" s="78" t="s">
        <v>860</v>
      </c>
      <c r="K136" s="78" t="str">
        <f t="shared" si="91"/>
        <v>23B2</v>
      </c>
      <c r="L136" s="78" t="str">
        <f t="shared" si="92"/>
        <v>23</v>
      </c>
      <c r="M136" s="78" t="str">
        <f t="shared" si="93"/>
        <v>B2</v>
      </c>
      <c r="N136" s="78">
        <v>629</v>
      </c>
      <c r="O136" s="78" t="str">
        <f t="shared" si="100"/>
        <v>0275</v>
      </c>
      <c r="P136" s="78" t="str">
        <f t="shared" si="95"/>
        <v>02</v>
      </c>
      <c r="Q136" s="78" t="str">
        <f t="shared" si="96"/>
        <v>75</v>
      </c>
      <c r="R136" s="78" t="str">
        <f t="shared" si="97"/>
        <v>14C</v>
      </c>
      <c r="S136" s="78" t="str">
        <f t="shared" si="98"/>
        <v>4C</v>
      </c>
      <c r="T136" s="78" t="str">
        <f t="shared" si="99"/>
        <v>FF0023B202754C</v>
      </c>
    </row>
    <row r="137" spans="2:20" s="2" customFormat="1">
      <c r="B137" s="78" t="s">
        <v>1057</v>
      </c>
      <c r="C137" s="78" t="str">
        <f t="shared" si="72"/>
        <v>FF0023B301D5AC</v>
      </c>
      <c r="D137" s="78" t="s">
        <v>1058</v>
      </c>
      <c r="E137" s="78" t="s">
        <v>884</v>
      </c>
      <c r="F137" s="78" t="s">
        <v>857</v>
      </c>
      <c r="G137" s="78"/>
      <c r="H137" s="79">
        <v>0</v>
      </c>
      <c r="I137" s="81"/>
      <c r="J137" s="78" t="s">
        <v>860</v>
      </c>
      <c r="K137" s="78" t="str">
        <f t="shared" si="91"/>
        <v>23B3</v>
      </c>
      <c r="L137" s="78" t="str">
        <f t="shared" si="92"/>
        <v>23</v>
      </c>
      <c r="M137" s="78" t="str">
        <f t="shared" si="93"/>
        <v>B3</v>
      </c>
      <c r="N137" s="78">
        <v>469</v>
      </c>
      <c r="O137" s="78" t="str">
        <f t="shared" si="100"/>
        <v>01D5</v>
      </c>
      <c r="P137" s="78" t="str">
        <f t="shared" si="95"/>
        <v>01</v>
      </c>
      <c r="Q137" s="78" t="str">
        <f t="shared" si="96"/>
        <v>D5</v>
      </c>
      <c r="R137" s="78" t="str">
        <f t="shared" si="97"/>
        <v>1AC</v>
      </c>
      <c r="S137" s="78" t="str">
        <f t="shared" si="98"/>
        <v>AC</v>
      </c>
      <c r="T137" s="78" t="str">
        <f t="shared" si="99"/>
        <v>FF0023B301D5AC</v>
      </c>
    </row>
    <row r="138" spans="2:20" s="2" customFormat="1" ht="27">
      <c r="B138" s="78" t="s">
        <v>1059</v>
      </c>
      <c r="C138" s="78" t="str">
        <f t="shared" si="72"/>
        <v>FF0023B4800158</v>
      </c>
      <c r="D138" s="78" t="s">
        <v>1060</v>
      </c>
      <c r="E138" s="78" t="s">
        <v>884</v>
      </c>
      <c r="F138" s="78" t="s">
        <v>857</v>
      </c>
      <c r="G138" s="78"/>
      <c r="H138" s="79">
        <v>3500</v>
      </c>
      <c r="I138" s="81"/>
      <c r="J138" s="78" t="s">
        <v>860</v>
      </c>
      <c r="K138" s="78" t="str">
        <f t="shared" si="91"/>
        <v>23B4</v>
      </c>
      <c r="L138" s="78" t="str">
        <f t="shared" si="92"/>
        <v>23</v>
      </c>
      <c r="M138" s="78" t="str">
        <f t="shared" si="93"/>
        <v>B4</v>
      </c>
      <c r="N138" s="78">
        <v>-32767</v>
      </c>
      <c r="O138" s="78" t="str">
        <f>TEXT(DEC2HEX(65536 + N138), "0000")</f>
        <v>8001</v>
      </c>
      <c r="P138" s="78" t="str">
        <f t="shared" si="95"/>
        <v>80</v>
      </c>
      <c r="Q138" s="78" t="str">
        <f t="shared" si="96"/>
        <v>01</v>
      </c>
      <c r="R138" s="78" t="str">
        <f t="shared" si="97"/>
        <v>158</v>
      </c>
      <c r="S138" s="78" t="str">
        <f t="shared" si="98"/>
        <v>58</v>
      </c>
      <c r="T138" s="78" t="str">
        <f t="shared" si="99"/>
        <v>FF0023B4800158</v>
      </c>
    </row>
    <row r="139" spans="2:20" s="2" customFormat="1" ht="27">
      <c r="B139" s="78" t="s">
        <v>1061</v>
      </c>
      <c r="C139" s="78" t="str">
        <f t="shared" si="72"/>
        <v>FF0023B47FFF55</v>
      </c>
      <c r="D139" s="78" t="s">
        <v>1060</v>
      </c>
      <c r="E139" s="78" t="s">
        <v>884</v>
      </c>
      <c r="F139" s="78" t="s">
        <v>857</v>
      </c>
      <c r="G139" s="78"/>
      <c r="H139" s="79">
        <v>3500</v>
      </c>
      <c r="I139" s="81"/>
      <c r="J139" s="78" t="s">
        <v>860</v>
      </c>
      <c r="K139" s="78" t="str">
        <f t="shared" si="91"/>
        <v>23B4</v>
      </c>
      <c r="L139" s="78" t="str">
        <f t="shared" si="92"/>
        <v>23</v>
      </c>
      <c r="M139" s="78" t="str">
        <f t="shared" si="93"/>
        <v>B4</v>
      </c>
      <c r="N139" s="78">
        <v>32767</v>
      </c>
      <c r="O139" s="78" t="str">
        <f>REPT("0", 4 - LEN(DEC2HEX(N139))) &amp; DEC2HEX(N139)</f>
        <v>7FFF</v>
      </c>
      <c r="P139" s="78" t="str">
        <f t="shared" si="95"/>
        <v>7F</v>
      </c>
      <c r="Q139" s="78" t="str">
        <f t="shared" si="96"/>
        <v>FF</v>
      </c>
      <c r="R139" s="78" t="str">
        <f t="shared" si="97"/>
        <v>255</v>
      </c>
      <c r="S139" s="78" t="str">
        <f t="shared" si="98"/>
        <v>55</v>
      </c>
      <c r="T139" s="78" t="str">
        <f t="shared" si="99"/>
        <v>FF0023B47FFF55</v>
      </c>
    </row>
    <row r="140" spans="2:20" s="2" customFormat="1">
      <c r="B140" s="78" t="s">
        <v>1062</v>
      </c>
      <c r="C140" s="78" t="str">
        <f t="shared" si="72"/>
        <v>FF0023B50000D8</v>
      </c>
      <c r="D140" s="78" t="s">
        <v>1063</v>
      </c>
      <c r="E140" s="78" t="s">
        <v>884</v>
      </c>
      <c r="F140" s="78" t="s">
        <v>857</v>
      </c>
      <c r="G140" s="78"/>
      <c r="H140" s="79">
        <v>1</v>
      </c>
      <c r="I140" s="81"/>
      <c r="J140" s="78" t="s">
        <v>860</v>
      </c>
      <c r="K140" s="78" t="str">
        <f t="shared" si="91"/>
        <v>23B5</v>
      </c>
      <c r="L140" s="78" t="str">
        <f t="shared" si="92"/>
        <v>23</v>
      </c>
      <c r="M140" s="78" t="str">
        <f t="shared" si="93"/>
        <v>B5</v>
      </c>
      <c r="N140" s="78"/>
      <c r="O140" s="80" t="s">
        <v>861</v>
      </c>
      <c r="P140" s="78" t="str">
        <f t="shared" si="95"/>
        <v>00</v>
      </c>
      <c r="Q140" s="78" t="str">
        <f t="shared" si="96"/>
        <v>00</v>
      </c>
      <c r="R140" s="78" t="str">
        <f t="shared" si="97"/>
        <v>D8</v>
      </c>
      <c r="S140" s="78" t="str">
        <f t="shared" si="98"/>
        <v>D8</v>
      </c>
      <c r="T140" s="78" t="str">
        <f t="shared" si="99"/>
        <v>FF0023B50000D8</v>
      </c>
    </row>
    <row r="141" spans="2:20" s="2" customFormat="1">
      <c r="B141" s="78" t="s">
        <v>1064</v>
      </c>
      <c r="C141" s="78" t="str">
        <f t="shared" ref="C141:C156" si="101">T141</f>
        <v>FF0023B50001D9</v>
      </c>
      <c r="D141" s="78" t="s">
        <v>1063</v>
      </c>
      <c r="E141" s="78" t="s">
        <v>884</v>
      </c>
      <c r="F141" s="78" t="s">
        <v>857</v>
      </c>
      <c r="G141" s="78"/>
      <c r="H141" s="79">
        <v>1</v>
      </c>
      <c r="I141" s="81"/>
      <c r="J141" s="78" t="s">
        <v>860</v>
      </c>
      <c r="K141" s="78" t="str">
        <f t="shared" si="91"/>
        <v>23B5</v>
      </c>
      <c r="L141" s="78" t="str">
        <f t="shared" si="92"/>
        <v>23</v>
      </c>
      <c r="M141" s="78" t="str">
        <f t="shared" si="93"/>
        <v>B5</v>
      </c>
      <c r="N141" s="78"/>
      <c r="O141" s="80" t="s">
        <v>863</v>
      </c>
      <c r="P141" s="78" t="str">
        <f t="shared" si="95"/>
        <v>00</v>
      </c>
      <c r="Q141" s="78" t="str">
        <f t="shared" si="96"/>
        <v>01</v>
      </c>
      <c r="R141" s="78" t="str">
        <f t="shared" si="97"/>
        <v>D9</v>
      </c>
      <c r="S141" s="78" t="str">
        <f t="shared" si="98"/>
        <v>D9</v>
      </c>
      <c r="T141" s="78" t="str">
        <f t="shared" si="99"/>
        <v>FF0023B50001D9</v>
      </c>
    </row>
    <row r="142" spans="2:20" s="2" customFormat="1">
      <c r="B142" s="78" t="s">
        <v>1065</v>
      </c>
      <c r="C142" s="78" t="str">
        <f t="shared" si="101"/>
        <v>FF0023B50002DA</v>
      </c>
      <c r="D142" s="78" t="s">
        <v>1063</v>
      </c>
      <c r="E142" s="78" t="s">
        <v>884</v>
      </c>
      <c r="F142" s="78" t="s">
        <v>857</v>
      </c>
      <c r="G142" s="78"/>
      <c r="H142" s="79">
        <v>1</v>
      </c>
      <c r="I142" s="81"/>
      <c r="J142" s="78" t="s">
        <v>860</v>
      </c>
      <c r="K142" s="78" t="str">
        <f t="shared" si="91"/>
        <v>23B5</v>
      </c>
      <c r="L142" s="78" t="str">
        <f t="shared" si="92"/>
        <v>23</v>
      </c>
      <c r="M142" s="78" t="str">
        <f t="shared" si="93"/>
        <v>B5</v>
      </c>
      <c r="N142" s="78"/>
      <c r="O142" s="80" t="s">
        <v>888</v>
      </c>
      <c r="P142" s="78" t="str">
        <f t="shared" si="95"/>
        <v>00</v>
      </c>
      <c r="Q142" s="78" t="str">
        <f t="shared" si="96"/>
        <v>02</v>
      </c>
      <c r="R142" s="78" t="str">
        <f t="shared" si="97"/>
        <v>DA</v>
      </c>
      <c r="S142" s="78" t="str">
        <f t="shared" si="98"/>
        <v>DA</v>
      </c>
      <c r="T142" s="78" t="str">
        <f t="shared" si="99"/>
        <v>FF0023B50002DA</v>
      </c>
    </row>
    <row r="143" spans="2:20" s="2" customFormat="1" ht="16.5" customHeight="1">
      <c r="B143" s="78" t="s">
        <v>1066</v>
      </c>
      <c r="C143" s="78" t="str">
        <f t="shared" si="101"/>
        <v>FF0023B60000D9</v>
      </c>
      <c r="D143" s="78" t="s">
        <v>1067</v>
      </c>
      <c r="E143" s="78" t="s">
        <v>884</v>
      </c>
      <c r="F143" s="78" t="s">
        <v>857</v>
      </c>
      <c r="G143" s="78"/>
      <c r="H143" s="79">
        <v>0</v>
      </c>
      <c r="I143" s="81"/>
      <c r="J143" s="78" t="s">
        <v>860</v>
      </c>
      <c r="K143" s="78" t="str">
        <f t="shared" si="91"/>
        <v>23B6</v>
      </c>
      <c r="L143" s="78" t="str">
        <f t="shared" si="92"/>
        <v>23</v>
      </c>
      <c r="M143" s="78" t="str">
        <f t="shared" si="93"/>
        <v>B6</v>
      </c>
      <c r="N143" s="78"/>
      <c r="O143" s="80" t="s">
        <v>861</v>
      </c>
      <c r="P143" s="78" t="str">
        <f t="shared" si="95"/>
        <v>00</v>
      </c>
      <c r="Q143" s="78" t="str">
        <f t="shared" si="96"/>
        <v>00</v>
      </c>
      <c r="R143" s="78" t="str">
        <f t="shared" si="97"/>
        <v>D9</v>
      </c>
      <c r="S143" s="78" t="str">
        <f t="shared" si="98"/>
        <v>D9</v>
      </c>
      <c r="T143" s="78" t="str">
        <f t="shared" si="99"/>
        <v>FF0023B60000D9</v>
      </c>
    </row>
    <row r="144" spans="2:20" s="2" customFormat="1">
      <c r="B144" s="78" t="s">
        <v>1068</v>
      </c>
      <c r="C144" s="78" t="str">
        <f t="shared" si="101"/>
        <v>FF0023B6000AE3</v>
      </c>
      <c r="D144" s="78" t="s">
        <v>1067</v>
      </c>
      <c r="E144" s="78" t="s">
        <v>884</v>
      </c>
      <c r="F144" s="78" t="s">
        <v>857</v>
      </c>
      <c r="G144" s="78"/>
      <c r="H144" s="79">
        <v>0</v>
      </c>
      <c r="I144" s="81"/>
      <c r="J144" s="78" t="s">
        <v>860</v>
      </c>
      <c r="K144" s="78" t="str">
        <f t="shared" si="91"/>
        <v>23B6</v>
      </c>
      <c r="L144" s="78" t="str">
        <f t="shared" si="92"/>
        <v>23</v>
      </c>
      <c r="M144" s="78" t="str">
        <f t="shared" si="93"/>
        <v>B6</v>
      </c>
      <c r="N144" s="78">
        <v>10</v>
      </c>
      <c r="O144" s="78" t="str">
        <f>REPT("0", 4 - LEN(DEC2HEX(N144))) &amp; DEC2HEX(N144)</f>
        <v>000A</v>
      </c>
      <c r="P144" s="78" t="str">
        <f t="shared" si="95"/>
        <v>00</v>
      </c>
      <c r="Q144" s="78" t="str">
        <f t="shared" si="96"/>
        <v>0A</v>
      </c>
      <c r="R144" s="78" t="str">
        <f>DEC2HEX(SUM(HEX2DEC(L144), HEX2DEC(M144), HEX2DEC(P144), HEX2DEC(Q144)))</f>
        <v>E3</v>
      </c>
      <c r="S144" s="78" t="str">
        <f t="shared" si="98"/>
        <v>E3</v>
      </c>
      <c r="T144" s="78" t="str">
        <f t="shared" si="99"/>
        <v>FF0023B6000AE3</v>
      </c>
    </row>
    <row r="145" spans="2:20" s="2" customFormat="1">
      <c r="B145" s="78" t="s">
        <v>1069</v>
      </c>
      <c r="C145" s="78" t="str">
        <f t="shared" si="101"/>
        <v>FF0023C0000AED</v>
      </c>
      <c r="D145" s="78" t="s">
        <v>1070</v>
      </c>
      <c r="E145" s="78" t="s">
        <v>884</v>
      </c>
      <c r="F145" s="78" t="s">
        <v>857</v>
      </c>
      <c r="G145" s="78"/>
      <c r="H145" s="79">
        <v>0</v>
      </c>
      <c r="I145" s="81"/>
      <c r="J145" s="78" t="s">
        <v>860</v>
      </c>
      <c r="K145" s="78" t="str">
        <f t="shared" si="91"/>
        <v>23C0</v>
      </c>
      <c r="L145" s="78" t="str">
        <f t="shared" si="92"/>
        <v>23</v>
      </c>
      <c r="M145" s="78" t="str">
        <f t="shared" si="93"/>
        <v>C0</v>
      </c>
      <c r="N145" s="78">
        <v>10</v>
      </c>
      <c r="O145" s="78" t="str">
        <f t="shared" ref="O145:O156" si="102">REPT("0", 4 - LEN(DEC2HEX(N145))) &amp; DEC2HEX(N145)</f>
        <v>000A</v>
      </c>
      <c r="P145" s="78" t="str">
        <f t="shared" si="95"/>
        <v>00</v>
      </c>
      <c r="Q145" s="78" t="str">
        <f t="shared" si="96"/>
        <v>0A</v>
      </c>
      <c r="R145" s="78" t="str">
        <f t="shared" si="97"/>
        <v>ED</v>
      </c>
      <c r="S145" s="78" t="str">
        <f t="shared" si="98"/>
        <v>ED</v>
      </c>
      <c r="T145" s="78" t="str">
        <f t="shared" si="99"/>
        <v>FF0023C0000AED</v>
      </c>
    </row>
    <row r="146" spans="2:20" s="2" customFormat="1">
      <c r="B146" s="78" t="s">
        <v>1071</v>
      </c>
      <c r="C146" s="78" t="str">
        <f t="shared" si="101"/>
        <v>FF0023C1000AEE</v>
      </c>
      <c r="D146" s="78" t="s">
        <v>1072</v>
      </c>
      <c r="E146" s="78" t="s">
        <v>884</v>
      </c>
      <c r="F146" s="78" t="s">
        <v>857</v>
      </c>
      <c r="G146" s="78"/>
      <c r="H146" s="79">
        <v>0</v>
      </c>
      <c r="I146" s="81"/>
      <c r="J146" s="78" t="s">
        <v>860</v>
      </c>
      <c r="K146" s="78" t="str">
        <f t="shared" si="91"/>
        <v>23C1</v>
      </c>
      <c r="L146" s="78" t="str">
        <f t="shared" si="92"/>
        <v>23</v>
      </c>
      <c r="M146" s="78" t="str">
        <f t="shared" si="93"/>
        <v>C1</v>
      </c>
      <c r="N146" s="78">
        <v>10</v>
      </c>
      <c r="O146" s="78" t="str">
        <f t="shared" si="102"/>
        <v>000A</v>
      </c>
      <c r="P146" s="78" t="str">
        <f t="shared" si="95"/>
        <v>00</v>
      </c>
      <c r="Q146" s="78" t="str">
        <f t="shared" si="96"/>
        <v>0A</v>
      </c>
      <c r="R146" s="78" t="str">
        <f t="shared" si="97"/>
        <v>EE</v>
      </c>
      <c r="S146" s="78" t="str">
        <f t="shared" si="98"/>
        <v>EE</v>
      </c>
      <c r="T146" s="78" t="str">
        <f t="shared" si="99"/>
        <v>FF0023C1000AEE</v>
      </c>
    </row>
    <row r="147" spans="2:20" s="2" customFormat="1">
      <c r="B147" s="78" t="s">
        <v>1073</v>
      </c>
      <c r="C147" s="78" t="str">
        <f t="shared" si="101"/>
        <v>FF0023C202755C</v>
      </c>
      <c r="D147" s="78" t="s">
        <v>1074</v>
      </c>
      <c r="E147" s="78" t="s">
        <v>884</v>
      </c>
      <c r="F147" s="78" t="s">
        <v>857</v>
      </c>
      <c r="G147" s="78"/>
      <c r="H147" s="79">
        <v>0</v>
      </c>
      <c r="I147" s="81"/>
      <c r="J147" s="78" t="s">
        <v>860</v>
      </c>
      <c r="K147" s="78" t="str">
        <f t="shared" si="91"/>
        <v>23C2</v>
      </c>
      <c r="L147" s="78" t="str">
        <f t="shared" si="92"/>
        <v>23</v>
      </c>
      <c r="M147" s="78" t="str">
        <f t="shared" si="93"/>
        <v>C2</v>
      </c>
      <c r="N147" s="78">
        <v>629</v>
      </c>
      <c r="O147" s="78" t="str">
        <f t="shared" si="102"/>
        <v>0275</v>
      </c>
      <c r="P147" s="78" t="str">
        <f t="shared" si="95"/>
        <v>02</v>
      </c>
      <c r="Q147" s="78" t="str">
        <f t="shared" si="96"/>
        <v>75</v>
      </c>
      <c r="R147" s="78" t="str">
        <f t="shared" si="97"/>
        <v>15C</v>
      </c>
      <c r="S147" s="78" t="str">
        <f t="shared" si="98"/>
        <v>5C</v>
      </c>
      <c r="T147" s="78" t="str">
        <f t="shared" si="99"/>
        <v>FF0023C202755C</v>
      </c>
    </row>
    <row r="148" spans="2:20" s="2" customFormat="1">
      <c r="B148" s="78" t="s">
        <v>1075</v>
      </c>
      <c r="C148" s="78" t="str">
        <f t="shared" si="101"/>
        <v>FF0023C301D5BC</v>
      </c>
      <c r="D148" s="78" t="s">
        <v>1076</v>
      </c>
      <c r="E148" s="78" t="s">
        <v>884</v>
      </c>
      <c r="F148" s="78" t="s">
        <v>857</v>
      </c>
      <c r="G148" s="78"/>
      <c r="H148" s="79">
        <v>0</v>
      </c>
      <c r="I148" s="81"/>
      <c r="J148" s="78" t="s">
        <v>860</v>
      </c>
      <c r="K148" s="78" t="str">
        <f t="shared" si="91"/>
        <v>23C3</v>
      </c>
      <c r="L148" s="78" t="str">
        <f t="shared" si="92"/>
        <v>23</v>
      </c>
      <c r="M148" s="78" t="str">
        <f t="shared" si="93"/>
        <v>C3</v>
      </c>
      <c r="N148" s="78">
        <v>469</v>
      </c>
      <c r="O148" s="78" t="str">
        <f t="shared" si="102"/>
        <v>01D5</v>
      </c>
      <c r="P148" s="78" t="str">
        <f t="shared" si="95"/>
        <v>01</v>
      </c>
      <c r="Q148" s="78" t="str">
        <f t="shared" si="96"/>
        <v>D5</v>
      </c>
      <c r="R148" s="78" t="str">
        <f t="shared" si="97"/>
        <v>1BC</v>
      </c>
      <c r="S148" s="78" t="str">
        <f t="shared" si="98"/>
        <v>BC</v>
      </c>
      <c r="T148" s="78" t="str">
        <f t="shared" si="99"/>
        <v>FF0023C301D5BC</v>
      </c>
    </row>
    <row r="149" spans="2:20" s="2" customFormat="1">
      <c r="B149" s="78" t="s">
        <v>1077</v>
      </c>
      <c r="C149" s="78" t="str">
        <f t="shared" si="101"/>
        <v>FF0023D0000AFD</v>
      </c>
      <c r="D149" s="78" t="s">
        <v>1078</v>
      </c>
      <c r="E149" s="78" t="s">
        <v>884</v>
      </c>
      <c r="F149" s="78" t="s">
        <v>857</v>
      </c>
      <c r="G149" s="78"/>
      <c r="H149" s="79">
        <v>0</v>
      </c>
      <c r="I149" s="81"/>
      <c r="J149" s="78" t="s">
        <v>860</v>
      </c>
      <c r="K149" s="78" t="str">
        <f t="shared" si="91"/>
        <v>23D0</v>
      </c>
      <c r="L149" s="78" t="str">
        <f t="shared" si="92"/>
        <v>23</v>
      </c>
      <c r="M149" s="78" t="str">
        <f t="shared" si="93"/>
        <v>D0</v>
      </c>
      <c r="N149" s="78">
        <v>10</v>
      </c>
      <c r="O149" s="78" t="str">
        <f t="shared" si="102"/>
        <v>000A</v>
      </c>
      <c r="P149" s="78" t="str">
        <f t="shared" si="95"/>
        <v>00</v>
      </c>
      <c r="Q149" s="78" t="str">
        <f t="shared" si="96"/>
        <v>0A</v>
      </c>
      <c r="R149" s="78" t="str">
        <f t="shared" si="97"/>
        <v>FD</v>
      </c>
      <c r="S149" s="78" t="str">
        <f t="shared" si="98"/>
        <v>FD</v>
      </c>
      <c r="T149" s="78" t="str">
        <f t="shared" si="99"/>
        <v>FF0023D0000AFD</v>
      </c>
    </row>
    <row r="150" spans="2:20" s="2" customFormat="1">
      <c r="B150" s="78" t="s">
        <v>1079</v>
      </c>
      <c r="C150" s="78" t="str">
        <f t="shared" si="101"/>
        <v>FF0023D1000AFE</v>
      </c>
      <c r="D150" s="78" t="s">
        <v>1080</v>
      </c>
      <c r="E150" s="78" t="s">
        <v>884</v>
      </c>
      <c r="F150" s="78" t="s">
        <v>857</v>
      </c>
      <c r="G150" s="78"/>
      <c r="H150" s="79">
        <v>0</v>
      </c>
      <c r="I150" s="81"/>
      <c r="J150" s="78" t="s">
        <v>860</v>
      </c>
      <c r="K150" s="78" t="str">
        <f t="shared" si="91"/>
        <v>23D1</v>
      </c>
      <c r="L150" s="78" t="str">
        <f t="shared" si="92"/>
        <v>23</v>
      </c>
      <c r="M150" s="78" t="str">
        <f t="shared" si="93"/>
        <v>D1</v>
      </c>
      <c r="N150" s="78">
        <v>10</v>
      </c>
      <c r="O150" s="78" t="str">
        <f t="shared" si="102"/>
        <v>000A</v>
      </c>
      <c r="P150" s="78" t="str">
        <f t="shared" si="95"/>
        <v>00</v>
      </c>
      <c r="Q150" s="78" t="str">
        <f t="shared" si="96"/>
        <v>0A</v>
      </c>
      <c r="R150" s="78" t="str">
        <f t="shared" si="97"/>
        <v>FE</v>
      </c>
      <c r="S150" s="78" t="str">
        <f t="shared" si="98"/>
        <v>FE</v>
      </c>
      <c r="T150" s="78" t="str">
        <f t="shared" si="99"/>
        <v>FF0023D1000AFE</v>
      </c>
    </row>
    <row r="151" spans="2:20" s="2" customFormat="1">
      <c r="B151" s="78" t="s">
        <v>1081</v>
      </c>
      <c r="C151" s="78" t="str">
        <f t="shared" si="101"/>
        <v>FF0023D202756C</v>
      </c>
      <c r="D151" s="78" t="s">
        <v>1082</v>
      </c>
      <c r="E151" s="78" t="s">
        <v>884</v>
      </c>
      <c r="F151" s="78" t="s">
        <v>857</v>
      </c>
      <c r="G151" s="78"/>
      <c r="H151" s="79">
        <v>0</v>
      </c>
      <c r="I151" s="81"/>
      <c r="J151" s="78" t="s">
        <v>860</v>
      </c>
      <c r="K151" s="78" t="str">
        <f t="shared" si="91"/>
        <v>23D2</v>
      </c>
      <c r="L151" s="78" t="str">
        <f t="shared" si="92"/>
        <v>23</v>
      </c>
      <c r="M151" s="78" t="str">
        <f t="shared" si="93"/>
        <v>D2</v>
      </c>
      <c r="N151" s="78">
        <v>629</v>
      </c>
      <c r="O151" s="78" t="str">
        <f t="shared" si="102"/>
        <v>0275</v>
      </c>
      <c r="P151" s="78" t="str">
        <f t="shared" si="95"/>
        <v>02</v>
      </c>
      <c r="Q151" s="78" t="str">
        <f t="shared" si="96"/>
        <v>75</v>
      </c>
      <c r="R151" s="78" t="str">
        <f t="shared" si="97"/>
        <v>16C</v>
      </c>
      <c r="S151" s="78" t="str">
        <f t="shared" si="98"/>
        <v>6C</v>
      </c>
      <c r="T151" s="78" t="str">
        <f t="shared" si="99"/>
        <v>FF0023D202756C</v>
      </c>
    </row>
    <row r="152" spans="2:20" s="2" customFormat="1">
      <c r="B152" s="78" t="s">
        <v>1083</v>
      </c>
      <c r="C152" s="78" t="str">
        <f t="shared" si="101"/>
        <v>FF0023D301D5CC</v>
      </c>
      <c r="D152" s="78" t="s">
        <v>1084</v>
      </c>
      <c r="E152" s="78" t="s">
        <v>884</v>
      </c>
      <c r="F152" s="78" t="s">
        <v>857</v>
      </c>
      <c r="G152" s="78"/>
      <c r="H152" s="79">
        <v>0</v>
      </c>
      <c r="I152" s="81"/>
      <c r="J152" s="78" t="s">
        <v>860</v>
      </c>
      <c r="K152" s="78" t="str">
        <f t="shared" si="91"/>
        <v>23D3</v>
      </c>
      <c r="L152" s="78" t="str">
        <f t="shared" si="92"/>
        <v>23</v>
      </c>
      <c r="M152" s="78" t="str">
        <f t="shared" si="93"/>
        <v>D3</v>
      </c>
      <c r="N152" s="78">
        <v>469</v>
      </c>
      <c r="O152" s="78" t="str">
        <f t="shared" si="102"/>
        <v>01D5</v>
      </c>
      <c r="P152" s="78" t="str">
        <f t="shared" si="95"/>
        <v>01</v>
      </c>
      <c r="Q152" s="78" t="str">
        <f t="shared" si="96"/>
        <v>D5</v>
      </c>
      <c r="R152" s="78" t="str">
        <f t="shared" si="97"/>
        <v>1CC</v>
      </c>
      <c r="S152" s="78" t="str">
        <f t="shared" si="98"/>
        <v>CC</v>
      </c>
      <c r="T152" s="78" t="str">
        <f t="shared" si="99"/>
        <v>FF0023D301D5CC</v>
      </c>
    </row>
    <row r="153" spans="2:20" s="2" customFormat="1">
      <c r="B153" s="78" t="s">
        <v>1085</v>
      </c>
      <c r="C153" s="78" t="str">
        <f t="shared" si="101"/>
        <v>FF0023E0000A0D</v>
      </c>
      <c r="D153" s="78" t="s">
        <v>1086</v>
      </c>
      <c r="E153" s="78" t="s">
        <v>884</v>
      </c>
      <c r="F153" s="78" t="s">
        <v>857</v>
      </c>
      <c r="G153" s="78"/>
      <c r="H153" s="79">
        <v>0</v>
      </c>
      <c r="I153" s="81"/>
      <c r="J153" s="78" t="s">
        <v>860</v>
      </c>
      <c r="K153" s="78" t="str">
        <f t="shared" si="91"/>
        <v>23E0</v>
      </c>
      <c r="L153" s="78" t="str">
        <f t="shared" si="92"/>
        <v>23</v>
      </c>
      <c r="M153" s="78" t="str">
        <f t="shared" si="93"/>
        <v>E0</v>
      </c>
      <c r="N153" s="78">
        <v>10</v>
      </c>
      <c r="O153" s="78" t="str">
        <f t="shared" si="102"/>
        <v>000A</v>
      </c>
      <c r="P153" s="78" t="str">
        <f t="shared" si="95"/>
        <v>00</v>
      </c>
      <c r="Q153" s="78" t="str">
        <f t="shared" si="96"/>
        <v>0A</v>
      </c>
      <c r="R153" s="78" t="str">
        <f t="shared" si="97"/>
        <v>10D</v>
      </c>
      <c r="S153" s="78" t="str">
        <f t="shared" si="98"/>
        <v>0D</v>
      </c>
      <c r="T153" s="78" t="str">
        <f t="shared" si="99"/>
        <v>FF0023E0000A0D</v>
      </c>
    </row>
    <row r="154" spans="2:20" s="2" customFormat="1">
      <c r="B154" s="78" t="s">
        <v>1087</v>
      </c>
      <c r="C154" s="78" t="str">
        <f t="shared" si="101"/>
        <v>FF0023E1000A0E</v>
      </c>
      <c r="D154" s="78" t="s">
        <v>1088</v>
      </c>
      <c r="E154" s="78" t="s">
        <v>884</v>
      </c>
      <c r="F154" s="78" t="s">
        <v>857</v>
      </c>
      <c r="G154" s="78"/>
      <c r="H154" s="79">
        <v>0</v>
      </c>
      <c r="I154" s="81"/>
      <c r="J154" s="78" t="s">
        <v>860</v>
      </c>
      <c r="K154" s="78" t="str">
        <f t="shared" si="91"/>
        <v>23E1</v>
      </c>
      <c r="L154" s="78" t="str">
        <f t="shared" si="92"/>
        <v>23</v>
      </c>
      <c r="M154" s="78" t="str">
        <f t="shared" si="93"/>
        <v>E1</v>
      </c>
      <c r="N154" s="78">
        <v>10</v>
      </c>
      <c r="O154" s="78" t="str">
        <f t="shared" si="102"/>
        <v>000A</v>
      </c>
      <c r="P154" s="78" t="str">
        <f t="shared" si="95"/>
        <v>00</v>
      </c>
      <c r="Q154" s="78" t="str">
        <f t="shared" si="96"/>
        <v>0A</v>
      </c>
      <c r="R154" s="78" t="str">
        <f t="shared" si="97"/>
        <v>10E</v>
      </c>
      <c r="S154" s="78" t="str">
        <f t="shared" si="98"/>
        <v>0E</v>
      </c>
      <c r="T154" s="78" t="str">
        <f t="shared" si="99"/>
        <v>FF0023E1000A0E</v>
      </c>
    </row>
    <row r="155" spans="2:20" s="2" customFormat="1">
      <c r="B155" s="78" t="s">
        <v>1089</v>
      </c>
      <c r="C155" s="78" t="str">
        <f t="shared" si="101"/>
        <v>FF0023E202757C</v>
      </c>
      <c r="D155" s="78" t="s">
        <v>1090</v>
      </c>
      <c r="E155" s="78" t="s">
        <v>884</v>
      </c>
      <c r="F155" s="78" t="s">
        <v>857</v>
      </c>
      <c r="G155" s="78"/>
      <c r="H155" s="79">
        <v>0</v>
      </c>
      <c r="I155" s="81"/>
      <c r="J155" s="78" t="s">
        <v>860</v>
      </c>
      <c r="K155" s="78" t="str">
        <f t="shared" si="91"/>
        <v>23E2</v>
      </c>
      <c r="L155" s="78" t="str">
        <f t="shared" si="92"/>
        <v>23</v>
      </c>
      <c r="M155" s="78" t="str">
        <f t="shared" si="93"/>
        <v>E2</v>
      </c>
      <c r="N155" s="78">
        <v>629</v>
      </c>
      <c r="O155" s="78" t="str">
        <f t="shared" si="102"/>
        <v>0275</v>
      </c>
      <c r="P155" s="78" t="str">
        <f t="shared" si="95"/>
        <v>02</v>
      </c>
      <c r="Q155" s="78" t="str">
        <f t="shared" si="96"/>
        <v>75</v>
      </c>
      <c r="R155" s="78" t="str">
        <f t="shared" si="97"/>
        <v>17C</v>
      </c>
      <c r="S155" s="78" t="str">
        <f t="shared" si="98"/>
        <v>7C</v>
      </c>
      <c r="T155" s="78" t="str">
        <f t="shared" si="99"/>
        <v>FF0023E202757C</v>
      </c>
    </row>
    <row r="156" spans="2:20" s="2" customFormat="1">
      <c r="B156" s="78" t="s">
        <v>1091</v>
      </c>
      <c r="C156" s="78" t="str">
        <f t="shared" si="101"/>
        <v>FF0023E301D5DC</v>
      </c>
      <c r="D156" s="94" t="s">
        <v>1092</v>
      </c>
      <c r="E156" s="94" t="s">
        <v>884</v>
      </c>
      <c r="F156" s="94" t="s">
        <v>857</v>
      </c>
      <c r="G156" s="94"/>
      <c r="H156" s="95">
        <v>0</v>
      </c>
      <c r="I156" s="96"/>
      <c r="J156" s="94" t="s">
        <v>860</v>
      </c>
      <c r="K156" s="94" t="str">
        <f t="shared" si="91"/>
        <v>23E3</v>
      </c>
      <c r="L156" s="94" t="str">
        <f t="shared" si="92"/>
        <v>23</v>
      </c>
      <c r="M156" s="94" t="str">
        <f t="shared" si="93"/>
        <v>E3</v>
      </c>
      <c r="N156" s="94">
        <v>469</v>
      </c>
      <c r="O156" s="94" t="str">
        <f t="shared" si="102"/>
        <v>01D5</v>
      </c>
      <c r="P156" s="94" t="str">
        <f t="shared" si="95"/>
        <v>01</v>
      </c>
      <c r="Q156" s="94" t="str">
        <f t="shared" si="96"/>
        <v>D5</v>
      </c>
      <c r="R156" s="94" t="str">
        <f t="shared" si="97"/>
        <v>1DC</v>
      </c>
      <c r="S156" s="94" t="str">
        <f t="shared" si="98"/>
        <v>DC</v>
      </c>
      <c r="T156" s="94" t="str">
        <f t="shared" si="99"/>
        <v>FF0023E301D5DC</v>
      </c>
    </row>
    <row r="157" spans="2:20">
      <c r="B157" s="78" t="s">
        <v>1253</v>
      </c>
      <c r="C157" s="93" t="s">
        <v>181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8"/>
      <c r="P157" s="97"/>
      <c r="Q157" s="97"/>
      <c r="R157" s="97"/>
      <c r="S157" s="97"/>
      <c r="T157" s="97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71C3-214F-41F6-A7D2-DC0A13EEF00C}">
  <dimension ref="B1:Q68"/>
  <sheetViews>
    <sheetView zoomScaleNormal="100" workbookViewId="0">
      <pane xSplit="3" ySplit="2" topLeftCell="D15" activePane="bottomRight" state="frozen"/>
      <selection pane="topRight" activeCell="I1" sqref="I1"/>
      <selection pane="bottomLeft" activeCell="A3" sqref="A3"/>
      <selection pane="bottomRight" activeCell="O3" sqref="O3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16.6640625" customWidth="1"/>
    <col min="4" max="4" width="11.5546875" customWidth="1"/>
    <col min="9" max="9" width="3.109375" style="7" bestFit="1" customWidth="1"/>
    <col min="10" max="10" width="3.109375" style="7" customWidth="1"/>
    <col min="11" max="11" width="3.6640625" style="8" bestFit="1" customWidth="1"/>
    <col min="12" max="13" width="3.109375" style="7" bestFit="1" customWidth="1"/>
    <col min="14" max="15" width="7" style="7" bestFit="1" customWidth="1"/>
    <col min="16" max="16" width="16.5546875" style="7" bestFit="1" customWidth="1"/>
    <col min="17" max="17" width="11.5546875" customWidth="1"/>
  </cols>
  <sheetData>
    <row r="1" spans="2:16" ht="16.5" customHeight="1" thickBot="1">
      <c r="C1" s="7" t="s">
        <v>274</v>
      </c>
      <c r="P1" s="7" t="s">
        <v>274</v>
      </c>
    </row>
    <row r="2" spans="2:16" s="2" customFormat="1" ht="16.5" customHeight="1" thickBot="1">
      <c r="B2" s="107" t="s">
        <v>0</v>
      </c>
      <c r="C2" s="108" t="s">
        <v>7</v>
      </c>
      <c r="D2" s="109" t="s">
        <v>29</v>
      </c>
      <c r="E2" s="109" t="s">
        <v>34</v>
      </c>
      <c r="F2" s="109" t="s">
        <v>35</v>
      </c>
      <c r="G2" s="109" t="s">
        <v>36</v>
      </c>
      <c r="H2" s="109" t="s">
        <v>1271</v>
      </c>
      <c r="I2" s="109" t="s">
        <v>32</v>
      </c>
      <c r="J2" s="109" t="s">
        <v>33</v>
      </c>
      <c r="K2" s="109" t="s">
        <v>34</v>
      </c>
      <c r="L2" s="109" t="s">
        <v>35</v>
      </c>
      <c r="M2" s="109" t="s">
        <v>36</v>
      </c>
      <c r="N2" s="109" t="s">
        <v>39</v>
      </c>
      <c r="O2" s="110" t="s">
        <v>40</v>
      </c>
      <c r="P2" s="64" t="s">
        <v>178</v>
      </c>
    </row>
    <row r="3" spans="2:16" s="2" customFormat="1" ht="16.5" customHeight="1">
      <c r="B3" s="90" t="s">
        <v>1313</v>
      </c>
      <c r="C3" s="101" t="str">
        <f t="shared" ref="C3:C17" si="0">"FF00"&amp;D3&amp;E3&amp;""&amp;F3&amp;G3&amp;H3</f>
        <v>FF00F1000001F2</v>
      </c>
      <c r="D3" s="61" t="s">
        <v>1315</v>
      </c>
      <c r="E3" s="61" t="s">
        <v>16</v>
      </c>
      <c r="F3" s="61" t="s">
        <v>16</v>
      </c>
      <c r="G3" s="61" t="s">
        <v>24</v>
      </c>
      <c r="H3" s="24" t="str">
        <f t="shared" ref="H3:H17" si="1">O3</f>
        <v>F2</v>
      </c>
      <c r="I3" s="24" t="s">
        <v>9</v>
      </c>
      <c r="J3" s="25">
        <f t="shared" ref="J3:J17" si="2">HEX2DEC(D3)</f>
        <v>241</v>
      </c>
      <c r="K3" s="25">
        <f t="shared" ref="K3:K17" si="3">HEX2DEC(E3)</f>
        <v>0</v>
      </c>
      <c r="L3" s="25">
        <f t="shared" ref="L3:L17" si="4">HEX2DEC(F3)</f>
        <v>0</v>
      </c>
      <c r="M3" s="25">
        <f t="shared" ref="M3:M17" si="5">HEX2DEC(G3)</f>
        <v>1</v>
      </c>
      <c r="N3" s="25">
        <f t="shared" ref="N3:N17" si="6">SUM(J3:M3)</f>
        <v>242</v>
      </c>
      <c r="O3" s="26" t="str">
        <f t="shared" ref="O3:O17" si="7">REPT("0",2-LEN(RIGHT(DEC2HEX(N3), 2)))&amp;RIGHT(DEC2HEX(N3), 2)</f>
        <v>F2</v>
      </c>
      <c r="P3" s="64" t="s">
        <v>1401</v>
      </c>
    </row>
    <row r="4" spans="2:16" s="2" customFormat="1" ht="16.5" customHeight="1">
      <c r="B4" s="91" t="s">
        <v>1314</v>
      </c>
      <c r="C4" s="102" t="str">
        <f t="shared" si="0"/>
        <v>FF00F1000000F1</v>
      </c>
      <c r="D4" s="60" t="s">
        <v>1315</v>
      </c>
      <c r="E4" s="60" t="s">
        <v>16</v>
      </c>
      <c r="F4" s="60" t="s">
        <v>16</v>
      </c>
      <c r="G4" s="60" t="s">
        <v>16</v>
      </c>
      <c r="H4" s="12" t="str">
        <f t="shared" si="1"/>
        <v>F1</v>
      </c>
      <c r="I4" s="12" t="s">
        <v>9</v>
      </c>
      <c r="J4" s="13">
        <f t="shared" si="2"/>
        <v>241</v>
      </c>
      <c r="K4" s="13">
        <f t="shared" si="3"/>
        <v>0</v>
      </c>
      <c r="L4" s="13">
        <f t="shared" si="4"/>
        <v>0</v>
      </c>
      <c r="M4" s="13">
        <f t="shared" si="5"/>
        <v>0</v>
      </c>
      <c r="N4" s="13">
        <f t="shared" si="6"/>
        <v>241</v>
      </c>
      <c r="O4" s="28" t="str">
        <f t="shared" si="7"/>
        <v>F1</v>
      </c>
      <c r="P4" s="64" t="s">
        <v>1402</v>
      </c>
    </row>
    <row r="5" spans="2:16" s="2" customFormat="1" ht="16.5" customHeight="1">
      <c r="B5" s="91" t="s">
        <v>1452</v>
      </c>
      <c r="C5" s="102" t="str">
        <f t="shared" ref="C5" si="8">"FF00"&amp;D5&amp;E5&amp;""&amp;F5&amp;G5&amp;H5</f>
        <v>FF00FA000000FA</v>
      </c>
      <c r="D5" s="60" t="s">
        <v>1454</v>
      </c>
      <c r="E5" s="60" t="s">
        <v>16</v>
      </c>
      <c r="F5" s="60" t="s">
        <v>16</v>
      </c>
      <c r="G5" s="60" t="s">
        <v>16</v>
      </c>
      <c r="H5" s="12" t="str">
        <f t="shared" ref="H5" si="9">O5</f>
        <v>FA</v>
      </c>
      <c r="I5" s="12" t="s">
        <v>9</v>
      </c>
      <c r="J5" s="13">
        <f t="shared" ref="J5" si="10">HEX2DEC(D5)</f>
        <v>250</v>
      </c>
      <c r="K5" s="13">
        <f t="shared" ref="K5" si="11">HEX2DEC(E5)</f>
        <v>0</v>
      </c>
      <c r="L5" s="13">
        <f t="shared" ref="L5" si="12">HEX2DEC(F5)</f>
        <v>0</v>
      </c>
      <c r="M5" s="13">
        <f t="shared" ref="M5" si="13">HEX2DEC(G5)</f>
        <v>0</v>
      </c>
      <c r="N5" s="13">
        <f t="shared" ref="N5" si="14">SUM(J5:M5)</f>
        <v>250</v>
      </c>
      <c r="O5" s="28" t="str">
        <f t="shared" ref="O5" si="15">REPT("0",2-LEN(RIGHT(DEC2HEX(N5), 2)))&amp;RIGHT(DEC2HEX(N5), 2)</f>
        <v>FA</v>
      </c>
      <c r="P5" s="64" t="s">
        <v>1455</v>
      </c>
    </row>
    <row r="6" spans="2:16" s="2" customFormat="1" ht="16.5" customHeight="1">
      <c r="B6" s="91" t="s">
        <v>1453</v>
      </c>
      <c r="C6" s="102" t="str">
        <f t="shared" ref="C6" si="16">"FF00"&amp;D6&amp;E6&amp;""&amp;F6&amp;G6&amp;H6</f>
        <v>FF00FA000001FB</v>
      </c>
      <c r="D6" s="60" t="s">
        <v>1454</v>
      </c>
      <c r="E6" s="60" t="s">
        <v>16</v>
      </c>
      <c r="F6" s="60" t="s">
        <v>16</v>
      </c>
      <c r="G6" s="60" t="s">
        <v>24</v>
      </c>
      <c r="H6" s="12" t="str">
        <f t="shared" ref="H6" si="17">O6</f>
        <v>FB</v>
      </c>
      <c r="I6" s="12" t="s">
        <v>9</v>
      </c>
      <c r="J6" s="13">
        <f t="shared" ref="J6" si="18">HEX2DEC(D6)</f>
        <v>250</v>
      </c>
      <c r="K6" s="13">
        <f t="shared" ref="K6" si="19">HEX2DEC(E6)</f>
        <v>0</v>
      </c>
      <c r="L6" s="13">
        <f t="shared" ref="L6" si="20">HEX2DEC(F6)</f>
        <v>0</v>
      </c>
      <c r="M6" s="13">
        <f t="shared" ref="M6" si="21">HEX2DEC(G6)</f>
        <v>1</v>
      </c>
      <c r="N6" s="13">
        <f t="shared" ref="N6" si="22">SUM(J6:M6)</f>
        <v>251</v>
      </c>
      <c r="O6" s="28" t="str">
        <f t="shared" ref="O6" si="23">REPT("0",2-LEN(RIGHT(DEC2HEX(N6), 2)))&amp;RIGHT(DEC2HEX(N6), 2)</f>
        <v>FB</v>
      </c>
      <c r="P6" s="64" t="s">
        <v>1456</v>
      </c>
    </row>
    <row r="7" spans="2:16" s="2" customFormat="1" ht="16.5" customHeight="1">
      <c r="B7" s="91" t="s">
        <v>1317</v>
      </c>
      <c r="C7" s="102" t="str">
        <f t="shared" si="0"/>
        <v>FF00FB000000FB</v>
      </c>
      <c r="D7" s="60" t="s">
        <v>1316</v>
      </c>
      <c r="E7" s="60" t="s">
        <v>16</v>
      </c>
      <c r="F7" s="60" t="s">
        <v>16</v>
      </c>
      <c r="G7" s="60" t="s">
        <v>16</v>
      </c>
      <c r="H7" s="12" t="str">
        <f t="shared" si="1"/>
        <v>FB</v>
      </c>
      <c r="I7" s="12" t="s">
        <v>9</v>
      </c>
      <c r="J7" s="13">
        <f t="shared" si="2"/>
        <v>251</v>
      </c>
      <c r="K7" s="13">
        <f t="shared" si="3"/>
        <v>0</v>
      </c>
      <c r="L7" s="13">
        <f t="shared" si="4"/>
        <v>0</v>
      </c>
      <c r="M7" s="13">
        <f t="shared" si="5"/>
        <v>0</v>
      </c>
      <c r="N7" s="13">
        <f t="shared" si="6"/>
        <v>251</v>
      </c>
      <c r="O7" s="28" t="str">
        <f t="shared" si="7"/>
        <v>FB</v>
      </c>
      <c r="P7" s="64" t="s">
        <v>1403</v>
      </c>
    </row>
    <row r="8" spans="2:16" s="2" customFormat="1" ht="16.5" customHeight="1">
      <c r="B8" s="91" t="s">
        <v>1318</v>
      </c>
      <c r="C8" s="102" t="str">
        <f t="shared" si="0"/>
        <v>FF00FB0000504B</v>
      </c>
      <c r="D8" s="60" t="s">
        <v>1316</v>
      </c>
      <c r="E8" s="60" t="s">
        <v>16</v>
      </c>
      <c r="F8" s="60" t="s">
        <v>16</v>
      </c>
      <c r="G8" s="60" t="s">
        <v>162</v>
      </c>
      <c r="H8" s="12" t="str">
        <f t="shared" si="1"/>
        <v>4B</v>
      </c>
      <c r="I8" s="12" t="s">
        <v>9</v>
      </c>
      <c r="J8" s="13">
        <f t="shared" si="2"/>
        <v>251</v>
      </c>
      <c r="K8" s="13">
        <f t="shared" si="3"/>
        <v>0</v>
      </c>
      <c r="L8" s="13">
        <f t="shared" si="4"/>
        <v>0</v>
      </c>
      <c r="M8" s="13">
        <f t="shared" si="5"/>
        <v>80</v>
      </c>
      <c r="N8" s="13">
        <f t="shared" si="6"/>
        <v>331</v>
      </c>
      <c r="O8" s="28" t="str">
        <f t="shared" si="7"/>
        <v>4B</v>
      </c>
      <c r="P8" s="64" t="s">
        <v>1404</v>
      </c>
    </row>
    <row r="9" spans="2:16" s="2" customFormat="1" ht="16.5" customHeight="1">
      <c r="B9" s="91" t="s">
        <v>1319</v>
      </c>
      <c r="C9" s="102" t="str">
        <f t="shared" si="0"/>
        <v>FF00FB0000FFFA</v>
      </c>
      <c r="D9" s="60" t="s">
        <v>1316</v>
      </c>
      <c r="E9" s="60" t="s">
        <v>16</v>
      </c>
      <c r="F9" s="60" t="s">
        <v>16</v>
      </c>
      <c r="G9" s="60" t="s">
        <v>9</v>
      </c>
      <c r="H9" s="12" t="str">
        <f t="shared" si="1"/>
        <v>FA</v>
      </c>
      <c r="I9" s="12" t="s">
        <v>9</v>
      </c>
      <c r="J9" s="13">
        <f t="shared" si="2"/>
        <v>251</v>
      </c>
      <c r="K9" s="13">
        <f t="shared" si="3"/>
        <v>0</v>
      </c>
      <c r="L9" s="13">
        <f t="shared" si="4"/>
        <v>0</v>
      </c>
      <c r="M9" s="13">
        <f t="shared" si="5"/>
        <v>255</v>
      </c>
      <c r="N9" s="13">
        <f t="shared" si="6"/>
        <v>506</v>
      </c>
      <c r="O9" s="28" t="str">
        <f t="shared" si="7"/>
        <v>FA</v>
      </c>
      <c r="P9" s="64" t="s">
        <v>1405</v>
      </c>
    </row>
    <row r="10" spans="2:16" s="2" customFormat="1" ht="16.5" customHeight="1">
      <c r="B10" s="91" t="s">
        <v>1320</v>
      </c>
      <c r="C10" s="102" t="str">
        <f t="shared" si="0"/>
        <v>FF00FC000001FD</v>
      </c>
      <c r="D10" s="60" t="s">
        <v>1323</v>
      </c>
      <c r="E10" s="60" t="s">
        <v>16</v>
      </c>
      <c r="F10" s="60" t="s">
        <v>16</v>
      </c>
      <c r="G10" s="60" t="s">
        <v>1324</v>
      </c>
      <c r="H10" s="12" t="str">
        <f t="shared" si="1"/>
        <v>FD</v>
      </c>
      <c r="I10" s="12" t="s">
        <v>9</v>
      </c>
      <c r="J10" s="13">
        <f t="shared" si="2"/>
        <v>252</v>
      </c>
      <c r="K10" s="13">
        <f t="shared" si="3"/>
        <v>0</v>
      </c>
      <c r="L10" s="13">
        <f t="shared" si="4"/>
        <v>0</v>
      </c>
      <c r="M10" s="13">
        <f t="shared" si="5"/>
        <v>1</v>
      </c>
      <c r="N10" s="13">
        <f t="shared" si="6"/>
        <v>253</v>
      </c>
      <c r="O10" s="28" t="str">
        <f t="shared" si="7"/>
        <v>FD</v>
      </c>
      <c r="P10" s="64" t="s">
        <v>1406</v>
      </c>
    </row>
    <row r="11" spans="2:16" s="2" customFormat="1" ht="16.5" customHeight="1">
      <c r="B11" s="91" t="s">
        <v>1321</v>
      </c>
      <c r="C11" s="102" t="str">
        <f t="shared" si="0"/>
        <v>FF00FC00001410</v>
      </c>
      <c r="D11" s="60" t="s">
        <v>1323</v>
      </c>
      <c r="E11" s="60" t="s">
        <v>16</v>
      </c>
      <c r="F11" s="60" t="s">
        <v>16</v>
      </c>
      <c r="G11" s="60" t="s">
        <v>62</v>
      </c>
      <c r="H11" s="12" t="str">
        <f t="shared" si="1"/>
        <v>10</v>
      </c>
      <c r="I11" s="12" t="s">
        <v>9</v>
      </c>
      <c r="J11" s="13">
        <f t="shared" si="2"/>
        <v>252</v>
      </c>
      <c r="K11" s="13">
        <f t="shared" si="3"/>
        <v>0</v>
      </c>
      <c r="L11" s="13">
        <f t="shared" si="4"/>
        <v>0</v>
      </c>
      <c r="M11" s="13">
        <f t="shared" si="5"/>
        <v>20</v>
      </c>
      <c r="N11" s="13">
        <f t="shared" si="6"/>
        <v>272</v>
      </c>
      <c r="O11" s="28" t="str">
        <f t="shared" si="7"/>
        <v>10</v>
      </c>
      <c r="P11" s="64" t="s">
        <v>1407</v>
      </c>
    </row>
    <row r="12" spans="2:16" s="2" customFormat="1" ht="16.5" customHeight="1">
      <c r="B12" s="91" t="s">
        <v>1322</v>
      </c>
      <c r="C12" s="102" t="str">
        <f t="shared" si="0"/>
        <v>FF00FC00003C38</v>
      </c>
      <c r="D12" s="60" t="s">
        <v>1323</v>
      </c>
      <c r="E12" s="60" t="s">
        <v>16</v>
      </c>
      <c r="F12" s="60" t="s">
        <v>16</v>
      </c>
      <c r="G12" s="60" t="s">
        <v>1325</v>
      </c>
      <c r="H12" s="12" t="str">
        <f t="shared" si="1"/>
        <v>38</v>
      </c>
      <c r="I12" s="12" t="s">
        <v>9</v>
      </c>
      <c r="J12" s="13">
        <f t="shared" si="2"/>
        <v>252</v>
      </c>
      <c r="K12" s="13">
        <f t="shared" si="3"/>
        <v>0</v>
      </c>
      <c r="L12" s="13">
        <f t="shared" si="4"/>
        <v>0</v>
      </c>
      <c r="M12" s="13">
        <f t="shared" si="5"/>
        <v>60</v>
      </c>
      <c r="N12" s="13">
        <f t="shared" si="6"/>
        <v>312</v>
      </c>
      <c r="O12" s="28" t="str">
        <f t="shared" si="7"/>
        <v>38</v>
      </c>
      <c r="P12" s="64" t="s">
        <v>1408</v>
      </c>
    </row>
    <row r="13" spans="2:16" s="2" customFormat="1" ht="16.5" customHeight="1">
      <c r="B13" s="91" t="s">
        <v>1327</v>
      </c>
      <c r="C13" s="102" t="str">
        <f t="shared" si="0"/>
        <v>FF00FD000000FD</v>
      </c>
      <c r="D13" s="60" t="s">
        <v>1329</v>
      </c>
      <c r="E13" s="60" t="s">
        <v>16</v>
      </c>
      <c r="F13" s="60" t="s">
        <v>16</v>
      </c>
      <c r="G13" s="60" t="s">
        <v>16</v>
      </c>
      <c r="H13" s="12" t="str">
        <f t="shared" si="1"/>
        <v>FD</v>
      </c>
      <c r="I13" s="12" t="s">
        <v>9</v>
      </c>
      <c r="J13" s="13">
        <f t="shared" si="2"/>
        <v>253</v>
      </c>
      <c r="K13" s="13">
        <f t="shared" si="3"/>
        <v>0</v>
      </c>
      <c r="L13" s="13">
        <f t="shared" si="4"/>
        <v>0</v>
      </c>
      <c r="M13" s="13">
        <f t="shared" si="5"/>
        <v>0</v>
      </c>
      <c r="N13" s="13">
        <f t="shared" si="6"/>
        <v>253</v>
      </c>
      <c r="O13" s="28" t="str">
        <f t="shared" si="7"/>
        <v>FD</v>
      </c>
      <c r="P13" s="64" t="s">
        <v>1409</v>
      </c>
    </row>
    <row r="14" spans="2:16" s="2" customFormat="1" ht="16.5" customHeight="1">
      <c r="B14" s="91" t="s">
        <v>1328</v>
      </c>
      <c r="C14" s="102" t="str">
        <f t="shared" si="0"/>
        <v>FF00FD0000322F</v>
      </c>
      <c r="D14" s="60" t="s">
        <v>1329</v>
      </c>
      <c r="E14" s="60" t="s">
        <v>16</v>
      </c>
      <c r="F14" s="60" t="s">
        <v>16</v>
      </c>
      <c r="G14" s="60" t="s">
        <v>1330</v>
      </c>
      <c r="H14" s="12" t="str">
        <f t="shared" si="1"/>
        <v>2F</v>
      </c>
      <c r="I14" s="12" t="s">
        <v>9</v>
      </c>
      <c r="J14" s="13">
        <f t="shared" si="2"/>
        <v>253</v>
      </c>
      <c r="K14" s="13">
        <f t="shared" si="3"/>
        <v>0</v>
      </c>
      <c r="L14" s="13">
        <f t="shared" si="4"/>
        <v>0</v>
      </c>
      <c r="M14" s="13">
        <f t="shared" si="5"/>
        <v>50</v>
      </c>
      <c r="N14" s="13">
        <f t="shared" si="6"/>
        <v>303</v>
      </c>
      <c r="O14" s="28" t="str">
        <f t="shared" si="7"/>
        <v>2F</v>
      </c>
      <c r="P14" s="64" t="s">
        <v>1410</v>
      </c>
    </row>
    <row r="15" spans="2:16" s="2" customFormat="1" ht="16.5" customHeight="1">
      <c r="B15" s="91" t="s">
        <v>1326</v>
      </c>
      <c r="C15" s="102" t="str">
        <f t="shared" si="0"/>
        <v>FF00FD00006461</v>
      </c>
      <c r="D15" s="60" t="s">
        <v>1329</v>
      </c>
      <c r="E15" s="60" t="s">
        <v>16</v>
      </c>
      <c r="F15" s="60" t="s">
        <v>16</v>
      </c>
      <c r="G15" s="60" t="s">
        <v>128</v>
      </c>
      <c r="H15" s="12" t="str">
        <f t="shared" si="1"/>
        <v>61</v>
      </c>
      <c r="I15" s="12" t="s">
        <v>9</v>
      </c>
      <c r="J15" s="13">
        <f t="shared" si="2"/>
        <v>253</v>
      </c>
      <c r="K15" s="13">
        <f t="shared" si="3"/>
        <v>0</v>
      </c>
      <c r="L15" s="13">
        <f t="shared" si="4"/>
        <v>0</v>
      </c>
      <c r="M15" s="13">
        <f t="shared" si="5"/>
        <v>100</v>
      </c>
      <c r="N15" s="13">
        <f t="shared" si="6"/>
        <v>353</v>
      </c>
      <c r="O15" s="28" t="str">
        <f t="shared" si="7"/>
        <v>61</v>
      </c>
      <c r="P15" s="64" t="s">
        <v>1411</v>
      </c>
    </row>
    <row r="16" spans="2:16" s="2" customFormat="1" ht="16.5" customHeight="1">
      <c r="B16" s="91" t="s">
        <v>1331</v>
      </c>
      <c r="C16" s="102" t="str">
        <f t="shared" si="0"/>
        <v>FF00FE000000FE</v>
      </c>
      <c r="D16" s="60" t="s">
        <v>1334</v>
      </c>
      <c r="E16" s="60" t="s">
        <v>16</v>
      </c>
      <c r="F16" s="60" t="s">
        <v>16</v>
      </c>
      <c r="G16" s="60" t="s">
        <v>16</v>
      </c>
      <c r="H16" s="12" t="str">
        <f t="shared" si="1"/>
        <v>FE</v>
      </c>
      <c r="I16" s="12" t="s">
        <v>9</v>
      </c>
      <c r="J16" s="13">
        <f t="shared" si="2"/>
        <v>254</v>
      </c>
      <c r="K16" s="13">
        <f t="shared" si="3"/>
        <v>0</v>
      </c>
      <c r="L16" s="13">
        <f t="shared" si="4"/>
        <v>0</v>
      </c>
      <c r="M16" s="13">
        <f t="shared" si="5"/>
        <v>0</v>
      </c>
      <c r="N16" s="13">
        <f t="shared" si="6"/>
        <v>254</v>
      </c>
      <c r="O16" s="28" t="str">
        <f t="shared" si="7"/>
        <v>FE</v>
      </c>
      <c r="P16" s="64" t="s">
        <v>1412</v>
      </c>
    </row>
    <row r="17" spans="2:17" s="2" customFormat="1" ht="16.5" customHeight="1">
      <c r="B17" s="91" t="s">
        <v>1332</v>
      </c>
      <c r="C17" s="102" t="str">
        <f t="shared" si="0"/>
        <v>FF00FE00003C3A</v>
      </c>
      <c r="D17" s="60" t="s">
        <v>1334</v>
      </c>
      <c r="E17" s="60" t="s">
        <v>16</v>
      </c>
      <c r="F17" s="60" t="s">
        <v>16</v>
      </c>
      <c r="G17" s="60" t="s">
        <v>1325</v>
      </c>
      <c r="H17" s="12" t="str">
        <f t="shared" si="1"/>
        <v>3A</v>
      </c>
      <c r="I17" s="12" t="s">
        <v>9</v>
      </c>
      <c r="J17" s="13">
        <f t="shared" si="2"/>
        <v>254</v>
      </c>
      <c r="K17" s="13">
        <f t="shared" si="3"/>
        <v>0</v>
      </c>
      <c r="L17" s="13">
        <f t="shared" si="4"/>
        <v>0</v>
      </c>
      <c r="M17" s="13">
        <f t="shared" si="5"/>
        <v>60</v>
      </c>
      <c r="N17" s="13">
        <f t="shared" si="6"/>
        <v>314</v>
      </c>
      <c r="O17" s="28" t="str">
        <f t="shared" si="7"/>
        <v>3A</v>
      </c>
      <c r="P17" s="64" t="s">
        <v>1413</v>
      </c>
    </row>
    <row r="18" spans="2:17" s="2" customFormat="1" ht="16.5" customHeight="1">
      <c r="B18" s="91" t="s">
        <v>1333</v>
      </c>
      <c r="C18" s="102" t="str">
        <f t="shared" ref="C18:C30" si="24">"FF00"&amp;D18&amp;E18&amp;""&amp;F18&amp;G18&amp;H18</f>
        <v>FF00FE00009694</v>
      </c>
      <c r="D18" s="60" t="s">
        <v>1334</v>
      </c>
      <c r="E18" s="60" t="s">
        <v>16</v>
      </c>
      <c r="F18" s="60" t="s">
        <v>16</v>
      </c>
      <c r="G18" s="60" t="s">
        <v>1335</v>
      </c>
      <c r="H18" s="12" t="str">
        <f t="shared" ref="H18:H30" si="25">O18</f>
        <v>94</v>
      </c>
      <c r="I18" s="12" t="s">
        <v>9</v>
      </c>
      <c r="J18" s="13">
        <f t="shared" ref="J18:J30" si="26">HEX2DEC(D18)</f>
        <v>254</v>
      </c>
      <c r="K18" s="13">
        <f t="shared" ref="K18:K30" si="27">HEX2DEC(E18)</f>
        <v>0</v>
      </c>
      <c r="L18" s="13">
        <f t="shared" ref="L18:L30" si="28">HEX2DEC(F18)</f>
        <v>0</v>
      </c>
      <c r="M18" s="13">
        <f t="shared" ref="M18:M30" si="29">HEX2DEC(G18)</f>
        <v>150</v>
      </c>
      <c r="N18" s="13">
        <f t="shared" ref="N18:N30" si="30">SUM(J18:M18)</f>
        <v>404</v>
      </c>
      <c r="O18" s="28" t="str">
        <f t="shared" ref="O18:O30" si="31">REPT("0",2-LEN(RIGHT(DEC2HEX(N18), 2)))&amp;RIGHT(DEC2HEX(N18), 2)</f>
        <v>94</v>
      </c>
      <c r="P18" s="64" t="s">
        <v>1414</v>
      </c>
    </row>
    <row r="19" spans="2:17" s="2" customFormat="1" ht="16.5" customHeight="1">
      <c r="B19" s="91" t="s">
        <v>1336</v>
      </c>
      <c r="C19" s="102" t="str">
        <f t="shared" si="24"/>
        <v>FF00F6000001F7</v>
      </c>
      <c r="D19" s="60" t="s">
        <v>1338</v>
      </c>
      <c r="E19" s="60" t="s">
        <v>16</v>
      </c>
      <c r="F19" s="60" t="s">
        <v>16</v>
      </c>
      <c r="G19" s="60" t="s">
        <v>24</v>
      </c>
      <c r="H19" s="12" t="str">
        <f t="shared" si="25"/>
        <v>F7</v>
      </c>
      <c r="I19" s="12" t="s">
        <v>9</v>
      </c>
      <c r="J19" s="13">
        <f t="shared" si="26"/>
        <v>246</v>
      </c>
      <c r="K19" s="13">
        <f t="shared" si="27"/>
        <v>0</v>
      </c>
      <c r="L19" s="13">
        <f t="shared" si="28"/>
        <v>0</v>
      </c>
      <c r="M19" s="13">
        <f t="shared" si="29"/>
        <v>1</v>
      </c>
      <c r="N19" s="13">
        <f t="shared" si="30"/>
        <v>247</v>
      </c>
      <c r="O19" s="28" t="str">
        <f t="shared" si="31"/>
        <v>F7</v>
      </c>
      <c r="P19" s="64" t="s">
        <v>1415</v>
      </c>
      <c r="Q19" s="99"/>
    </row>
    <row r="20" spans="2:17" s="2" customFormat="1" ht="16.5" customHeight="1">
      <c r="B20" s="91" t="s">
        <v>1337</v>
      </c>
      <c r="C20" s="102" t="str">
        <f t="shared" si="24"/>
        <v>FF00F6000002F8</v>
      </c>
      <c r="D20" s="60" t="s">
        <v>1338</v>
      </c>
      <c r="E20" s="60" t="s">
        <v>16</v>
      </c>
      <c r="F20" s="60" t="s">
        <v>16</v>
      </c>
      <c r="G20" s="60" t="s">
        <v>17</v>
      </c>
      <c r="H20" s="12" t="str">
        <f t="shared" si="25"/>
        <v>F8</v>
      </c>
      <c r="I20" s="12" t="s">
        <v>9</v>
      </c>
      <c r="J20" s="13">
        <f t="shared" si="26"/>
        <v>246</v>
      </c>
      <c r="K20" s="13">
        <f t="shared" si="27"/>
        <v>0</v>
      </c>
      <c r="L20" s="13">
        <f t="shared" si="28"/>
        <v>0</v>
      </c>
      <c r="M20" s="13">
        <f t="shared" si="29"/>
        <v>2</v>
      </c>
      <c r="N20" s="13">
        <f t="shared" si="30"/>
        <v>248</v>
      </c>
      <c r="O20" s="28" t="str">
        <f t="shared" si="31"/>
        <v>F8</v>
      </c>
      <c r="P20" s="64" t="s">
        <v>1416</v>
      </c>
    </row>
    <row r="21" spans="2:17" s="2" customFormat="1" ht="16.5" customHeight="1">
      <c r="B21" s="91" t="s">
        <v>1341</v>
      </c>
      <c r="C21" s="102" t="str">
        <f t="shared" si="24"/>
        <v>FF00F5000000F5</v>
      </c>
      <c r="D21" s="60" t="s">
        <v>1339</v>
      </c>
      <c r="E21" s="60" t="s">
        <v>16</v>
      </c>
      <c r="F21" s="60" t="s">
        <v>16</v>
      </c>
      <c r="G21" s="60" t="s">
        <v>16</v>
      </c>
      <c r="H21" s="12" t="str">
        <f t="shared" si="25"/>
        <v>F5</v>
      </c>
      <c r="I21" s="12" t="s">
        <v>9</v>
      </c>
      <c r="J21" s="13">
        <f t="shared" si="26"/>
        <v>245</v>
      </c>
      <c r="K21" s="13">
        <f t="shared" si="27"/>
        <v>0</v>
      </c>
      <c r="L21" s="13">
        <f t="shared" si="28"/>
        <v>0</v>
      </c>
      <c r="M21" s="13">
        <f t="shared" si="29"/>
        <v>0</v>
      </c>
      <c r="N21" s="13">
        <f t="shared" si="30"/>
        <v>245</v>
      </c>
      <c r="O21" s="28" t="str">
        <f t="shared" si="31"/>
        <v>F5</v>
      </c>
      <c r="P21" s="64" t="s">
        <v>1417</v>
      </c>
    </row>
    <row r="22" spans="2:17" s="2" customFormat="1" ht="16.5" customHeight="1">
      <c r="B22" s="91" t="s">
        <v>1342</v>
      </c>
      <c r="C22" s="102" t="str">
        <f t="shared" si="24"/>
        <v>FF00F50000968B</v>
      </c>
      <c r="D22" s="60" t="s">
        <v>1339</v>
      </c>
      <c r="E22" s="60" t="s">
        <v>16</v>
      </c>
      <c r="F22" s="60" t="s">
        <v>16</v>
      </c>
      <c r="G22" s="60" t="s">
        <v>1335</v>
      </c>
      <c r="H22" s="12" t="str">
        <f t="shared" si="25"/>
        <v>8B</v>
      </c>
      <c r="I22" s="12" t="s">
        <v>9</v>
      </c>
      <c r="J22" s="13">
        <f t="shared" si="26"/>
        <v>245</v>
      </c>
      <c r="K22" s="13">
        <f t="shared" si="27"/>
        <v>0</v>
      </c>
      <c r="L22" s="13">
        <f t="shared" si="28"/>
        <v>0</v>
      </c>
      <c r="M22" s="13">
        <f t="shared" si="29"/>
        <v>150</v>
      </c>
      <c r="N22" s="13">
        <f t="shared" si="30"/>
        <v>395</v>
      </c>
      <c r="O22" s="28" t="str">
        <f t="shared" si="31"/>
        <v>8B</v>
      </c>
      <c r="P22" s="64" t="s">
        <v>1418</v>
      </c>
    </row>
    <row r="23" spans="2:17" s="2" customFormat="1" ht="16.5" customHeight="1">
      <c r="B23" s="91" t="s">
        <v>1343</v>
      </c>
      <c r="C23" s="102" t="str">
        <f t="shared" ref="C23:C25" si="32">"FF00"&amp;D23&amp;E23&amp;""&amp;F23&amp;G23&amp;H23</f>
        <v>FF00F500012C22</v>
      </c>
      <c r="D23" s="60" t="s">
        <v>1339</v>
      </c>
      <c r="E23" s="60" t="s">
        <v>16</v>
      </c>
      <c r="F23" s="60" t="s">
        <v>24</v>
      </c>
      <c r="G23" s="60" t="s">
        <v>1340</v>
      </c>
      <c r="H23" s="12" t="str">
        <f t="shared" ref="H23:H25" si="33">O23</f>
        <v>22</v>
      </c>
      <c r="I23" s="12" t="s">
        <v>9</v>
      </c>
      <c r="J23" s="13">
        <f t="shared" ref="J23:J25" si="34">HEX2DEC(D23)</f>
        <v>245</v>
      </c>
      <c r="K23" s="13">
        <f t="shared" ref="K23:K25" si="35">HEX2DEC(E23)</f>
        <v>0</v>
      </c>
      <c r="L23" s="13">
        <f t="shared" ref="L23:L25" si="36">HEX2DEC(F23)</f>
        <v>1</v>
      </c>
      <c r="M23" s="13">
        <f t="shared" ref="M23:M25" si="37">HEX2DEC(G23)</f>
        <v>44</v>
      </c>
      <c r="N23" s="13">
        <f t="shared" ref="N23:N25" si="38">SUM(J23:M23)</f>
        <v>290</v>
      </c>
      <c r="O23" s="28" t="str">
        <f t="shared" ref="O23:O25" si="39">REPT("0",2-LEN(RIGHT(DEC2HEX(N23), 2)))&amp;RIGHT(DEC2HEX(N23), 2)</f>
        <v>22</v>
      </c>
      <c r="P23" s="64" t="s">
        <v>1419</v>
      </c>
    </row>
    <row r="24" spans="2:17" s="2" customFormat="1" ht="16.5" customHeight="1">
      <c r="B24" s="91" t="s">
        <v>1458</v>
      </c>
      <c r="C24" s="102" t="str">
        <f t="shared" ref="C24" si="40">"FF00"&amp;D24&amp;E24&amp;""&amp;F24&amp;G24&amp;H24</f>
        <v>FF00E000012E3</v>
      </c>
      <c r="D24" s="60" t="s">
        <v>15</v>
      </c>
      <c r="E24" s="60" t="s">
        <v>16</v>
      </c>
      <c r="F24" s="60" t="s">
        <v>24</v>
      </c>
      <c r="G24" s="60" t="s">
        <v>1457</v>
      </c>
      <c r="H24" s="12" t="str">
        <f t="shared" ref="H24" si="41">O24</f>
        <v>E3</v>
      </c>
      <c r="I24" s="12" t="s">
        <v>9</v>
      </c>
      <c r="J24" s="13">
        <f t="shared" ref="J24" si="42">HEX2DEC(D24)</f>
        <v>224</v>
      </c>
      <c r="K24" s="13">
        <f t="shared" ref="K24" si="43">HEX2DEC(E24)</f>
        <v>0</v>
      </c>
      <c r="L24" s="13">
        <f t="shared" ref="L24" si="44">HEX2DEC(F24)</f>
        <v>1</v>
      </c>
      <c r="M24" s="13">
        <f t="shared" ref="M24" si="45">HEX2DEC(G24)</f>
        <v>2</v>
      </c>
      <c r="N24" s="13">
        <f t="shared" ref="N24" si="46">SUM(J24:M24)</f>
        <v>227</v>
      </c>
      <c r="O24" s="28" t="str">
        <f t="shared" ref="O24" si="47">REPT("0",2-LEN(RIGHT(DEC2HEX(N24), 2)))&amp;RIGHT(DEC2HEX(N24), 2)</f>
        <v>E3</v>
      </c>
      <c r="P24" s="64" t="s">
        <v>1461</v>
      </c>
    </row>
    <row r="25" spans="2:17" s="2" customFormat="1" ht="16.5" customHeight="1">
      <c r="B25" s="91" t="s">
        <v>1459</v>
      </c>
      <c r="C25" s="102" t="str">
        <f t="shared" si="32"/>
        <v>FF00E000016445</v>
      </c>
      <c r="D25" s="60" t="s">
        <v>15</v>
      </c>
      <c r="E25" s="60" t="s">
        <v>16</v>
      </c>
      <c r="F25" s="60" t="s">
        <v>24</v>
      </c>
      <c r="G25" s="60" t="s">
        <v>128</v>
      </c>
      <c r="H25" s="12" t="str">
        <f t="shared" si="33"/>
        <v>45</v>
      </c>
      <c r="I25" s="12" t="s">
        <v>9</v>
      </c>
      <c r="J25" s="13">
        <f t="shared" si="34"/>
        <v>224</v>
      </c>
      <c r="K25" s="13">
        <f t="shared" si="35"/>
        <v>0</v>
      </c>
      <c r="L25" s="13">
        <f t="shared" si="36"/>
        <v>1</v>
      </c>
      <c r="M25" s="13">
        <f t="shared" si="37"/>
        <v>100</v>
      </c>
      <c r="N25" s="13">
        <f t="shared" si="38"/>
        <v>325</v>
      </c>
      <c r="O25" s="28" t="str">
        <f t="shared" si="39"/>
        <v>45</v>
      </c>
      <c r="P25" s="64" t="s">
        <v>1462</v>
      </c>
    </row>
    <row r="26" spans="2:17" s="2" customFormat="1" ht="16.5" customHeight="1" thickBot="1">
      <c r="B26" s="92" t="s">
        <v>1460</v>
      </c>
      <c r="C26" s="103" t="str">
        <f t="shared" si="24"/>
        <v>FF00E00001C8A9</v>
      </c>
      <c r="D26" s="62" t="s">
        <v>15</v>
      </c>
      <c r="E26" s="62" t="s">
        <v>16</v>
      </c>
      <c r="F26" s="62" t="s">
        <v>24</v>
      </c>
      <c r="G26" s="62" t="s">
        <v>1246</v>
      </c>
      <c r="H26" s="34" t="str">
        <f t="shared" si="25"/>
        <v>A9</v>
      </c>
      <c r="I26" s="34" t="s">
        <v>9</v>
      </c>
      <c r="J26" s="35">
        <f t="shared" si="26"/>
        <v>224</v>
      </c>
      <c r="K26" s="35">
        <f t="shared" si="27"/>
        <v>0</v>
      </c>
      <c r="L26" s="35">
        <f t="shared" si="28"/>
        <v>1</v>
      </c>
      <c r="M26" s="35">
        <f t="shared" si="29"/>
        <v>200</v>
      </c>
      <c r="N26" s="35">
        <f t="shared" si="30"/>
        <v>425</v>
      </c>
      <c r="O26" s="36" t="str">
        <f t="shared" si="31"/>
        <v>A9</v>
      </c>
      <c r="P26" s="64" t="s">
        <v>1463</v>
      </c>
    </row>
    <row r="27" spans="2:17" s="2" customFormat="1" ht="16.5" customHeight="1">
      <c r="B27" s="105" t="s">
        <v>1289</v>
      </c>
      <c r="C27" s="104" t="str">
        <f t="shared" ref="C27:C28" si="48">"FF00"&amp;D27&amp;E27&amp;""&amp;F27&amp;G27&amp;H27</f>
        <v>FF00B0000001B1</v>
      </c>
      <c r="D27" s="100" t="s">
        <v>1275</v>
      </c>
      <c r="E27" s="100" t="s">
        <v>16</v>
      </c>
      <c r="F27" s="100" t="s">
        <v>16</v>
      </c>
      <c r="G27" s="100" t="s">
        <v>24</v>
      </c>
      <c r="H27" s="87" t="str">
        <f t="shared" ref="H27:H28" si="49">O27</f>
        <v>B1</v>
      </c>
      <c r="I27" s="87" t="s">
        <v>9</v>
      </c>
      <c r="J27" s="88">
        <f t="shared" ref="J27:J28" si="50">HEX2DEC(D27)</f>
        <v>176</v>
      </c>
      <c r="K27" s="88">
        <f t="shared" ref="K27:K28" si="51">HEX2DEC(E27)</f>
        <v>0</v>
      </c>
      <c r="L27" s="88">
        <f t="shared" ref="L27:L28" si="52">HEX2DEC(F27)</f>
        <v>0</v>
      </c>
      <c r="M27" s="88">
        <f t="shared" ref="M27:M28" si="53">HEX2DEC(G27)</f>
        <v>1</v>
      </c>
      <c r="N27" s="88">
        <f t="shared" ref="N27:N28" si="54">SUM(J27:M27)</f>
        <v>177</v>
      </c>
      <c r="O27" s="89" t="str">
        <f>REPT("0",2-LEN(RIGHT(DEC2HEX(N27), 2)))&amp;RIGHT(DEC2HEX(N27), 2)</f>
        <v>B1</v>
      </c>
      <c r="P27" s="64" t="s">
        <v>1303</v>
      </c>
    </row>
    <row r="28" spans="2:17" s="2" customFormat="1" ht="16.5" customHeight="1">
      <c r="B28" s="91" t="s">
        <v>1290</v>
      </c>
      <c r="C28" s="102" t="str">
        <f t="shared" si="48"/>
        <v>FF00B0000000B0</v>
      </c>
      <c r="D28" s="60" t="s">
        <v>1275</v>
      </c>
      <c r="E28" s="60" t="s">
        <v>16</v>
      </c>
      <c r="F28" s="60" t="s">
        <v>16</v>
      </c>
      <c r="G28" s="60" t="s">
        <v>16</v>
      </c>
      <c r="H28" s="12" t="str">
        <f t="shared" si="49"/>
        <v>B0</v>
      </c>
      <c r="I28" s="12" t="s">
        <v>9</v>
      </c>
      <c r="J28" s="13">
        <f t="shared" si="50"/>
        <v>176</v>
      </c>
      <c r="K28" s="13">
        <f t="shared" si="51"/>
        <v>0</v>
      </c>
      <c r="L28" s="13">
        <f t="shared" si="52"/>
        <v>0</v>
      </c>
      <c r="M28" s="13">
        <f t="shared" si="53"/>
        <v>0</v>
      </c>
      <c r="N28" s="13">
        <f t="shared" si="54"/>
        <v>176</v>
      </c>
      <c r="O28" s="28" t="str">
        <f>REPT("0",2-LEN(RIGHT(DEC2HEX(N28), 2)))&amp;RIGHT(DEC2HEX(N28), 2)</f>
        <v>B0</v>
      </c>
      <c r="P28" s="64" t="s">
        <v>1304</v>
      </c>
    </row>
    <row r="29" spans="2:17" s="2" customFormat="1" ht="16.5" customHeight="1">
      <c r="B29" s="105" t="s">
        <v>1344</v>
      </c>
      <c r="C29" s="104" t="str">
        <f t="shared" si="24"/>
        <v>FF00B1000001B2</v>
      </c>
      <c r="D29" s="100" t="s">
        <v>32</v>
      </c>
      <c r="E29" s="100" t="s">
        <v>16</v>
      </c>
      <c r="F29" s="100" t="s">
        <v>16</v>
      </c>
      <c r="G29" s="100" t="s">
        <v>24</v>
      </c>
      <c r="H29" s="87" t="str">
        <f t="shared" si="25"/>
        <v>B2</v>
      </c>
      <c r="I29" s="87" t="s">
        <v>9</v>
      </c>
      <c r="J29" s="88">
        <f t="shared" si="26"/>
        <v>177</v>
      </c>
      <c r="K29" s="88">
        <f t="shared" si="27"/>
        <v>0</v>
      </c>
      <c r="L29" s="88">
        <f t="shared" si="28"/>
        <v>0</v>
      </c>
      <c r="M29" s="88">
        <f t="shared" si="29"/>
        <v>1</v>
      </c>
      <c r="N29" s="88">
        <f t="shared" si="30"/>
        <v>178</v>
      </c>
      <c r="O29" s="89" t="str">
        <f t="shared" si="31"/>
        <v>B2</v>
      </c>
      <c r="P29" s="64" t="s">
        <v>1420</v>
      </c>
    </row>
    <row r="30" spans="2:17" s="2" customFormat="1" ht="16.5" customHeight="1">
      <c r="B30" s="91" t="s">
        <v>1384</v>
      </c>
      <c r="C30" s="102" t="str">
        <f t="shared" si="24"/>
        <v>FF00B1000000B1</v>
      </c>
      <c r="D30" s="100" t="s">
        <v>32</v>
      </c>
      <c r="E30" s="60" t="s">
        <v>16</v>
      </c>
      <c r="F30" s="60" t="s">
        <v>16</v>
      </c>
      <c r="G30" s="60" t="s">
        <v>16</v>
      </c>
      <c r="H30" s="12" t="str">
        <f t="shared" si="25"/>
        <v>B1</v>
      </c>
      <c r="I30" s="12" t="s">
        <v>9</v>
      </c>
      <c r="J30" s="13">
        <f t="shared" si="26"/>
        <v>177</v>
      </c>
      <c r="K30" s="13">
        <f t="shared" si="27"/>
        <v>0</v>
      </c>
      <c r="L30" s="13">
        <f t="shared" si="28"/>
        <v>0</v>
      </c>
      <c r="M30" s="13">
        <f t="shared" si="29"/>
        <v>0</v>
      </c>
      <c r="N30" s="13">
        <f t="shared" si="30"/>
        <v>177</v>
      </c>
      <c r="O30" s="28" t="str">
        <f t="shared" si="31"/>
        <v>B1</v>
      </c>
      <c r="P30" s="64" t="s">
        <v>1421</v>
      </c>
    </row>
    <row r="31" spans="2:17" s="2" customFormat="1" ht="16.5" customHeight="1">
      <c r="B31" s="91" t="s">
        <v>1345</v>
      </c>
      <c r="C31" s="102" t="str">
        <f t="shared" ref="C31:C34" si="55">"FF00"&amp;D31&amp;E31&amp;""&amp;F31&amp;G31&amp;H31</f>
        <v>FF00B2000001B3</v>
      </c>
      <c r="D31" s="60" t="s">
        <v>29</v>
      </c>
      <c r="E31" s="60" t="s">
        <v>16</v>
      </c>
      <c r="F31" s="60" t="s">
        <v>16</v>
      </c>
      <c r="G31" s="60" t="s">
        <v>24</v>
      </c>
      <c r="H31" s="12" t="str">
        <f t="shared" ref="H31:H34" si="56">O31</f>
        <v>B3</v>
      </c>
      <c r="I31" s="12" t="s">
        <v>9</v>
      </c>
      <c r="J31" s="13">
        <f t="shared" ref="J31:J34" si="57">HEX2DEC(D31)</f>
        <v>178</v>
      </c>
      <c r="K31" s="13">
        <f t="shared" ref="K31:K34" si="58">HEX2DEC(E31)</f>
        <v>0</v>
      </c>
      <c r="L31" s="13">
        <f t="shared" ref="L31:L34" si="59">HEX2DEC(F31)</f>
        <v>0</v>
      </c>
      <c r="M31" s="13">
        <f t="shared" ref="M31:M34" si="60">HEX2DEC(G31)</f>
        <v>1</v>
      </c>
      <c r="N31" s="13">
        <f t="shared" ref="N31:N34" si="61">SUM(J31:M31)</f>
        <v>179</v>
      </c>
      <c r="O31" s="28" t="str">
        <f t="shared" ref="O31:O34" si="62">REPT("0",2-LEN(RIGHT(DEC2HEX(N31), 2)))&amp;RIGHT(DEC2HEX(N31), 2)</f>
        <v>B3</v>
      </c>
      <c r="P31" s="64" t="s">
        <v>1422</v>
      </c>
    </row>
    <row r="32" spans="2:17" s="2" customFormat="1" ht="16.5" customHeight="1">
      <c r="B32" s="91" t="s">
        <v>1346</v>
      </c>
      <c r="C32" s="102" t="str">
        <f t="shared" si="55"/>
        <v>FF00B2000000B2</v>
      </c>
      <c r="D32" s="60" t="s">
        <v>29</v>
      </c>
      <c r="E32" s="60" t="s">
        <v>16</v>
      </c>
      <c r="F32" s="60" t="s">
        <v>16</v>
      </c>
      <c r="G32" s="60" t="s">
        <v>16</v>
      </c>
      <c r="H32" s="12" t="str">
        <f t="shared" si="56"/>
        <v>B2</v>
      </c>
      <c r="I32" s="12" t="s">
        <v>9</v>
      </c>
      <c r="J32" s="13">
        <f t="shared" si="57"/>
        <v>178</v>
      </c>
      <c r="K32" s="13">
        <f t="shared" si="58"/>
        <v>0</v>
      </c>
      <c r="L32" s="13">
        <f t="shared" si="59"/>
        <v>0</v>
      </c>
      <c r="M32" s="13">
        <f t="shared" si="60"/>
        <v>0</v>
      </c>
      <c r="N32" s="13">
        <f t="shared" si="61"/>
        <v>178</v>
      </c>
      <c r="O32" s="28" t="str">
        <f t="shared" si="62"/>
        <v>B2</v>
      </c>
      <c r="P32" s="64" t="s">
        <v>1423</v>
      </c>
    </row>
    <row r="33" spans="2:16" s="2" customFormat="1" ht="16.5" customHeight="1">
      <c r="B33" s="91" t="s">
        <v>1348</v>
      </c>
      <c r="C33" s="102" t="str">
        <f t="shared" si="55"/>
        <v>FF00B3000001B4</v>
      </c>
      <c r="D33" s="60" t="s">
        <v>1347</v>
      </c>
      <c r="E33" s="60" t="s">
        <v>16</v>
      </c>
      <c r="F33" s="60" t="s">
        <v>16</v>
      </c>
      <c r="G33" s="60" t="s">
        <v>24</v>
      </c>
      <c r="H33" s="12" t="str">
        <f t="shared" si="56"/>
        <v>B4</v>
      </c>
      <c r="I33" s="12" t="s">
        <v>9</v>
      </c>
      <c r="J33" s="13">
        <f t="shared" si="57"/>
        <v>179</v>
      </c>
      <c r="K33" s="13">
        <f t="shared" si="58"/>
        <v>0</v>
      </c>
      <c r="L33" s="13">
        <f t="shared" si="59"/>
        <v>0</v>
      </c>
      <c r="M33" s="13">
        <f t="shared" si="60"/>
        <v>1</v>
      </c>
      <c r="N33" s="13">
        <f t="shared" si="61"/>
        <v>180</v>
      </c>
      <c r="O33" s="28" t="str">
        <f t="shared" si="62"/>
        <v>B4</v>
      </c>
      <c r="P33" s="64" t="s">
        <v>1424</v>
      </c>
    </row>
    <row r="34" spans="2:16" s="2" customFormat="1" ht="16.5" customHeight="1">
      <c r="B34" s="91" t="s">
        <v>1349</v>
      </c>
      <c r="C34" s="102" t="str">
        <f t="shared" si="55"/>
        <v>FF00B3000000B3</v>
      </c>
      <c r="D34" s="60" t="s">
        <v>1347</v>
      </c>
      <c r="E34" s="60" t="s">
        <v>16</v>
      </c>
      <c r="F34" s="60" t="s">
        <v>16</v>
      </c>
      <c r="G34" s="60" t="s">
        <v>16</v>
      </c>
      <c r="H34" s="12" t="str">
        <f t="shared" si="56"/>
        <v>B3</v>
      </c>
      <c r="I34" s="12" t="s">
        <v>9</v>
      </c>
      <c r="J34" s="13">
        <f t="shared" si="57"/>
        <v>179</v>
      </c>
      <c r="K34" s="13">
        <f t="shared" si="58"/>
        <v>0</v>
      </c>
      <c r="L34" s="13">
        <f t="shared" si="59"/>
        <v>0</v>
      </c>
      <c r="M34" s="13">
        <f t="shared" si="60"/>
        <v>0</v>
      </c>
      <c r="N34" s="13">
        <f t="shared" si="61"/>
        <v>179</v>
      </c>
      <c r="O34" s="28" t="str">
        <f t="shared" si="62"/>
        <v>B3</v>
      </c>
      <c r="P34" s="64" t="s">
        <v>1425</v>
      </c>
    </row>
    <row r="35" spans="2:16" s="2" customFormat="1" ht="16.5" customHeight="1">
      <c r="B35" s="91" t="s">
        <v>1350</v>
      </c>
      <c r="C35" s="102" t="str">
        <f t="shared" ref="C35:C36" si="63">"FF00"&amp;D35&amp;E35&amp;""&amp;F35&amp;G35&amp;H35</f>
        <v>FF00B4000000B4</v>
      </c>
      <c r="D35" s="60" t="s">
        <v>124</v>
      </c>
      <c r="E35" s="60" t="s">
        <v>16</v>
      </c>
      <c r="F35" s="60" t="s">
        <v>16</v>
      </c>
      <c r="G35" s="60" t="s">
        <v>16</v>
      </c>
      <c r="H35" s="12" t="str">
        <f t="shared" ref="H35:H36" si="64">O35</f>
        <v>B4</v>
      </c>
      <c r="I35" s="12" t="s">
        <v>9</v>
      </c>
      <c r="J35" s="13">
        <f t="shared" ref="J35:J36" si="65">HEX2DEC(D35)</f>
        <v>180</v>
      </c>
      <c r="K35" s="13">
        <f t="shared" ref="K35:K36" si="66">HEX2DEC(E35)</f>
        <v>0</v>
      </c>
      <c r="L35" s="13">
        <f t="shared" ref="L35:L36" si="67">HEX2DEC(F35)</f>
        <v>0</v>
      </c>
      <c r="M35" s="13">
        <f t="shared" ref="M35:M36" si="68">HEX2DEC(G35)</f>
        <v>0</v>
      </c>
      <c r="N35" s="13">
        <f t="shared" ref="N35:N36" si="69">SUM(J35:M35)</f>
        <v>180</v>
      </c>
      <c r="O35" s="28" t="str">
        <f t="shared" ref="O35:O68" si="70">REPT("0",2-LEN(RIGHT(DEC2HEX(N35), 2)))&amp;RIGHT(DEC2HEX(N35), 2)</f>
        <v>B4</v>
      </c>
      <c r="P35" s="64" t="s">
        <v>1426</v>
      </c>
    </row>
    <row r="36" spans="2:16" s="2" customFormat="1" ht="16.5" customHeight="1">
      <c r="B36" s="91" t="s">
        <v>1351</v>
      </c>
      <c r="C36" s="102" t="str">
        <f t="shared" si="63"/>
        <v>FF00B4000001B5</v>
      </c>
      <c r="D36" s="60" t="s">
        <v>124</v>
      </c>
      <c r="E36" s="60" t="s">
        <v>16</v>
      </c>
      <c r="F36" s="60" t="s">
        <v>16</v>
      </c>
      <c r="G36" s="60" t="s">
        <v>24</v>
      </c>
      <c r="H36" s="12" t="str">
        <f t="shared" si="64"/>
        <v>B5</v>
      </c>
      <c r="I36" s="12" t="s">
        <v>9</v>
      </c>
      <c r="J36" s="13">
        <f t="shared" si="65"/>
        <v>180</v>
      </c>
      <c r="K36" s="13">
        <f t="shared" si="66"/>
        <v>0</v>
      </c>
      <c r="L36" s="13">
        <f t="shared" si="67"/>
        <v>0</v>
      </c>
      <c r="M36" s="13">
        <f t="shared" si="68"/>
        <v>1</v>
      </c>
      <c r="N36" s="13">
        <f t="shared" si="69"/>
        <v>181</v>
      </c>
      <c r="O36" s="28" t="str">
        <f t="shared" si="70"/>
        <v>B5</v>
      </c>
      <c r="P36" s="64" t="s">
        <v>1427</v>
      </c>
    </row>
    <row r="37" spans="2:16" s="2" customFormat="1" ht="16.5" customHeight="1">
      <c r="B37" s="91" t="s">
        <v>1352</v>
      </c>
      <c r="C37" s="102" t="str">
        <f t="shared" ref="C37" si="71">"FF00"&amp;D37&amp;E37&amp;""&amp;F37&amp;G37&amp;H37</f>
        <v>FF00B4000002B6</v>
      </c>
      <c r="D37" s="60" t="s">
        <v>124</v>
      </c>
      <c r="E37" s="60" t="s">
        <v>16</v>
      </c>
      <c r="F37" s="60" t="s">
        <v>16</v>
      </c>
      <c r="G37" s="60" t="s">
        <v>17</v>
      </c>
      <c r="H37" s="12" t="str">
        <f t="shared" ref="H37" si="72">O37</f>
        <v>B6</v>
      </c>
      <c r="I37" s="12" t="s">
        <v>9</v>
      </c>
      <c r="J37" s="13">
        <f t="shared" ref="J37" si="73">HEX2DEC(D37)</f>
        <v>180</v>
      </c>
      <c r="K37" s="13">
        <f t="shared" ref="K37" si="74">HEX2DEC(E37)</f>
        <v>0</v>
      </c>
      <c r="L37" s="13">
        <f t="shared" ref="L37" si="75">HEX2DEC(F37)</f>
        <v>0</v>
      </c>
      <c r="M37" s="13">
        <f t="shared" ref="M37" si="76">HEX2DEC(G37)</f>
        <v>2</v>
      </c>
      <c r="N37" s="13">
        <f t="shared" ref="N37" si="77">SUM(J37:M37)</f>
        <v>182</v>
      </c>
      <c r="O37" s="28" t="str">
        <f t="shared" si="70"/>
        <v>B6</v>
      </c>
      <c r="P37" s="64" t="s">
        <v>1428</v>
      </c>
    </row>
    <row r="38" spans="2:16" s="2" customFormat="1" ht="16.5" customHeight="1">
      <c r="B38" s="91" t="s">
        <v>1353</v>
      </c>
      <c r="C38" s="102" t="str">
        <f t="shared" ref="C38" si="78">"FF00"&amp;D38&amp;E38&amp;""&amp;F38&amp;G38&amp;H38</f>
        <v>FF00B5000000B5</v>
      </c>
      <c r="D38" s="60" t="s">
        <v>1356</v>
      </c>
      <c r="E38" s="60" t="s">
        <v>16</v>
      </c>
      <c r="F38" s="60" t="s">
        <v>16</v>
      </c>
      <c r="G38" s="60" t="s">
        <v>16</v>
      </c>
      <c r="H38" s="12" t="str">
        <f t="shared" ref="H38" si="79">O38</f>
        <v>B5</v>
      </c>
      <c r="I38" s="12" t="s">
        <v>9</v>
      </c>
      <c r="J38" s="13">
        <f t="shared" ref="J38" si="80">HEX2DEC(D38)</f>
        <v>181</v>
      </c>
      <c r="K38" s="13">
        <f t="shared" ref="K38" si="81">HEX2DEC(E38)</f>
        <v>0</v>
      </c>
      <c r="L38" s="13">
        <f t="shared" ref="L38" si="82">HEX2DEC(F38)</f>
        <v>0</v>
      </c>
      <c r="M38" s="13">
        <f t="shared" ref="M38" si="83">HEX2DEC(G38)</f>
        <v>0</v>
      </c>
      <c r="N38" s="13">
        <f t="shared" ref="N38" si="84">SUM(J38:M38)</f>
        <v>181</v>
      </c>
      <c r="O38" s="28" t="str">
        <f t="shared" si="70"/>
        <v>B5</v>
      </c>
      <c r="P38" s="64" t="s">
        <v>1429</v>
      </c>
    </row>
    <row r="39" spans="2:16" s="2" customFormat="1" ht="16.5" customHeight="1">
      <c r="B39" s="91" t="s">
        <v>1354</v>
      </c>
      <c r="C39" s="102" t="str">
        <f t="shared" ref="C39:C64" si="85">"FF00"&amp;D39&amp;E39&amp;""&amp;F39&amp;G39&amp;H39</f>
        <v>FF00B5000005BA</v>
      </c>
      <c r="D39" s="60" t="s">
        <v>1356</v>
      </c>
      <c r="E39" s="60" t="s">
        <v>16</v>
      </c>
      <c r="F39" s="60" t="s">
        <v>16</v>
      </c>
      <c r="G39" s="60" t="s">
        <v>92</v>
      </c>
      <c r="H39" s="12" t="str">
        <f t="shared" ref="H39:H64" si="86">O39</f>
        <v>BA</v>
      </c>
      <c r="I39" s="12" t="s">
        <v>9</v>
      </c>
      <c r="J39" s="13">
        <f t="shared" ref="J39:J64" si="87">HEX2DEC(D39)</f>
        <v>181</v>
      </c>
      <c r="K39" s="13">
        <f t="shared" ref="K39:K64" si="88">HEX2DEC(E39)</f>
        <v>0</v>
      </c>
      <c r="L39" s="13">
        <f t="shared" ref="L39:L64" si="89">HEX2DEC(F39)</f>
        <v>0</v>
      </c>
      <c r="M39" s="13">
        <f t="shared" ref="M39:M64" si="90">HEX2DEC(G39)</f>
        <v>5</v>
      </c>
      <c r="N39" s="13">
        <f t="shared" ref="N39:N64" si="91">SUM(J39:M39)</f>
        <v>186</v>
      </c>
      <c r="O39" s="28" t="str">
        <f t="shared" si="70"/>
        <v>BA</v>
      </c>
      <c r="P39" s="64" t="s">
        <v>1430</v>
      </c>
    </row>
    <row r="40" spans="2:16" s="2" customFormat="1" ht="16.5" customHeight="1">
      <c r="B40" s="91" t="s">
        <v>1355</v>
      </c>
      <c r="C40" s="102" t="str">
        <f t="shared" si="85"/>
        <v>FF00B500000ABF</v>
      </c>
      <c r="D40" s="60" t="s">
        <v>1356</v>
      </c>
      <c r="E40" s="60" t="s">
        <v>16</v>
      </c>
      <c r="F40" s="60" t="s">
        <v>16</v>
      </c>
      <c r="G40" s="60" t="s">
        <v>61</v>
      </c>
      <c r="H40" s="12" t="str">
        <f t="shared" si="86"/>
        <v>BF</v>
      </c>
      <c r="I40" s="12" t="s">
        <v>9</v>
      </c>
      <c r="J40" s="13">
        <f t="shared" si="87"/>
        <v>181</v>
      </c>
      <c r="K40" s="13">
        <f t="shared" si="88"/>
        <v>0</v>
      </c>
      <c r="L40" s="13">
        <f t="shared" si="89"/>
        <v>0</v>
      </c>
      <c r="M40" s="13">
        <f t="shared" si="90"/>
        <v>10</v>
      </c>
      <c r="N40" s="13">
        <f t="shared" si="91"/>
        <v>191</v>
      </c>
      <c r="O40" s="28" t="str">
        <f t="shared" si="70"/>
        <v>BF</v>
      </c>
      <c r="P40" s="64" t="s">
        <v>1431</v>
      </c>
    </row>
    <row r="41" spans="2:16" s="2" customFormat="1" ht="16.5" customHeight="1">
      <c r="B41" s="91" t="s">
        <v>1357</v>
      </c>
      <c r="C41" s="102" t="str">
        <f t="shared" ref="C41:C56" si="92">"FF00"&amp;D41&amp;E41&amp;""&amp;F41&amp;G41&amp;H41</f>
        <v>FF00B7000000B7</v>
      </c>
      <c r="D41" s="60" t="s">
        <v>1360</v>
      </c>
      <c r="E41" s="60" t="s">
        <v>16</v>
      </c>
      <c r="F41" s="60" t="s">
        <v>16</v>
      </c>
      <c r="G41" s="60" t="s">
        <v>16</v>
      </c>
      <c r="H41" s="12" t="str">
        <f t="shared" ref="H41:H56" si="93">O41</f>
        <v>B7</v>
      </c>
      <c r="I41" s="12" t="s">
        <v>9</v>
      </c>
      <c r="J41" s="13">
        <f t="shared" ref="J41:J56" si="94">HEX2DEC(D41)</f>
        <v>183</v>
      </c>
      <c r="K41" s="13">
        <f t="shared" ref="K41:K56" si="95">HEX2DEC(E41)</f>
        <v>0</v>
      </c>
      <c r="L41" s="13">
        <f t="shared" ref="L41:L56" si="96">HEX2DEC(F41)</f>
        <v>0</v>
      </c>
      <c r="M41" s="13">
        <f t="shared" ref="M41:M56" si="97">HEX2DEC(G41)</f>
        <v>0</v>
      </c>
      <c r="N41" s="13">
        <f t="shared" ref="N41:N56" si="98">SUM(J41:M41)</f>
        <v>183</v>
      </c>
      <c r="O41" s="28" t="str">
        <f t="shared" si="70"/>
        <v>B7</v>
      </c>
      <c r="P41" s="64" t="s">
        <v>1432</v>
      </c>
    </row>
    <row r="42" spans="2:16" s="2" customFormat="1" ht="16.5" customHeight="1">
      <c r="B42" s="91" t="s">
        <v>1358</v>
      </c>
      <c r="C42" s="102" t="str">
        <f t="shared" si="92"/>
        <v>FF00B7000005BC</v>
      </c>
      <c r="D42" s="60" t="s">
        <v>1360</v>
      </c>
      <c r="E42" s="60" t="s">
        <v>16</v>
      </c>
      <c r="F42" s="60" t="s">
        <v>16</v>
      </c>
      <c r="G42" s="60" t="s">
        <v>92</v>
      </c>
      <c r="H42" s="12" t="str">
        <f t="shared" si="93"/>
        <v>BC</v>
      </c>
      <c r="I42" s="12" t="s">
        <v>9</v>
      </c>
      <c r="J42" s="13">
        <f t="shared" si="94"/>
        <v>183</v>
      </c>
      <c r="K42" s="13">
        <f t="shared" si="95"/>
        <v>0</v>
      </c>
      <c r="L42" s="13">
        <f t="shared" si="96"/>
        <v>0</v>
      </c>
      <c r="M42" s="13">
        <f t="shared" si="97"/>
        <v>5</v>
      </c>
      <c r="N42" s="13">
        <f t="shared" si="98"/>
        <v>188</v>
      </c>
      <c r="O42" s="28" t="str">
        <f t="shared" si="70"/>
        <v>BC</v>
      </c>
      <c r="P42" s="64" t="s">
        <v>1433</v>
      </c>
    </row>
    <row r="43" spans="2:16" s="2" customFormat="1" ht="16.5" customHeight="1">
      <c r="B43" s="91" t="s">
        <v>1359</v>
      </c>
      <c r="C43" s="102" t="str">
        <f t="shared" si="92"/>
        <v>FF00B700000AC1</v>
      </c>
      <c r="D43" s="60" t="s">
        <v>1360</v>
      </c>
      <c r="E43" s="60" t="s">
        <v>16</v>
      </c>
      <c r="F43" s="60" t="s">
        <v>16</v>
      </c>
      <c r="G43" s="60" t="s">
        <v>61</v>
      </c>
      <c r="H43" s="12" t="str">
        <f t="shared" si="93"/>
        <v>C1</v>
      </c>
      <c r="I43" s="12" t="s">
        <v>9</v>
      </c>
      <c r="J43" s="13">
        <f t="shared" si="94"/>
        <v>183</v>
      </c>
      <c r="K43" s="13">
        <f t="shared" si="95"/>
        <v>0</v>
      </c>
      <c r="L43" s="13">
        <f t="shared" si="96"/>
        <v>0</v>
      </c>
      <c r="M43" s="13">
        <f t="shared" si="97"/>
        <v>10</v>
      </c>
      <c r="N43" s="13">
        <f t="shared" si="98"/>
        <v>193</v>
      </c>
      <c r="O43" s="28" t="str">
        <f t="shared" si="70"/>
        <v>C1</v>
      </c>
      <c r="P43" s="64" t="s">
        <v>1434</v>
      </c>
    </row>
    <row r="44" spans="2:16" s="2" customFormat="1" ht="16.5" customHeight="1">
      <c r="B44" s="91" t="s">
        <v>1361</v>
      </c>
      <c r="C44" s="102" t="str">
        <f t="shared" si="92"/>
        <v>FF00B8000001B9</v>
      </c>
      <c r="D44" s="60" t="s">
        <v>1363</v>
      </c>
      <c r="E44" s="60" t="s">
        <v>16</v>
      </c>
      <c r="F44" s="60" t="s">
        <v>16</v>
      </c>
      <c r="G44" s="60" t="s">
        <v>24</v>
      </c>
      <c r="H44" s="12" t="str">
        <f t="shared" si="93"/>
        <v>B9</v>
      </c>
      <c r="I44" s="12" t="s">
        <v>9</v>
      </c>
      <c r="J44" s="13">
        <f t="shared" si="94"/>
        <v>184</v>
      </c>
      <c r="K44" s="13">
        <f t="shared" si="95"/>
        <v>0</v>
      </c>
      <c r="L44" s="13">
        <f t="shared" si="96"/>
        <v>0</v>
      </c>
      <c r="M44" s="13">
        <f t="shared" si="97"/>
        <v>1</v>
      </c>
      <c r="N44" s="13">
        <f t="shared" si="98"/>
        <v>185</v>
      </c>
      <c r="O44" s="28" t="str">
        <f t="shared" si="70"/>
        <v>B9</v>
      </c>
      <c r="P44" s="64" t="s">
        <v>1435</v>
      </c>
    </row>
    <row r="45" spans="2:16" s="2" customFormat="1" ht="16.5" customHeight="1" thickBot="1">
      <c r="B45" s="92" t="s">
        <v>1362</v>
      </c>
      <c r="C45" s="103" t="str">
        <f t="shared" si="92"/>
        <v>FF00B8000000B8</v>
      </c>
      <c r="D45" s="62" t="s">
        <v>1363</v>
      </c>
      <c r="E45" s="62" t="s">
        <v>16</v>
      </c>
      <c r="F45" s="62" t="s">
        <v>16</v>
      </c>
      <c r="G45" s="62" t="s">
        <v>16</v>
      </c>
      <c r="H45" s="34" t="str">
        <f t="shared" si="93"/>
        <v>B8</v>
      </c>
      <c r="I45" s="34" t="s">
        <v>9</v>
      </c>
      <c r="J45" s="35">
        <f t="shared" si="94"/>
        <v>184</v>
      </c>
      <c r="K45" s="35">
        <f t="shared" si="95"/>
        <v>0</v>
      </c>
      <c r="L45" s="35">
        <f t="shared" si="96"/>
        <v>0</v>
      </c>
      <c r="M45" s="35">
        <f t="shared" si="97"/>
        <v>0</v>
      </c>
      <c r="N45" s="35">
        <f t="shared" si="98"/>
        <v>184</v>
      </c>
      <c r="O45" s="36" t="str">
        <f t="shared" si="70"/>
        <v>B8</v>
      </c>
      <c r="P45" s="64" t="s">
        <v>1436</v>
      </c>
    </row>
    <row r="46" spans="2:16" s="2" customFormat="1" ht="16.5" customHeight="1">
      <c r="B46" s="90" t="s">
        <v>1288</v>
      </c>
      <c r="C46" s="101" t="str">
        <f t="shared" ref="C46:C53" si="99">"FF00"&amp;D46&amp;E46&amp;""&amp;F46&amp;G46&amp;H46</f>
        <v>FF00C0000001C1</v>
      </c>
      <c r="D46" s="61" t="s">
        <v>1276</v>
      </c>
      <c r="E46" s="61" t="s">
        <v>16</v>
      </c>
      <c r="F46" s="61" t="s">
        <v>16</v>
      </c>
      <c r="G46" s="61" t="s">
        <v>24</v>
      </c>
      <c r="H46" s="24" t="str">
        <f t="shared" ref="H46:H53" si="100">O46</f>
        <v>C1</v>
      </c>
      <c r="I46" s="24" t="s">
        <v>9</v>
      </c>
      <c r="J46" s="25">
        <f t="shared" ref="J46:M53" si="101">HEX2DEC(D46)</f>
        <v>192</v>
      </c>
      <c r="K46" s="25">
        <f t="shared" si="101"/>
        <v>0</v>
      </c>
      <c r="L46" s="25">
        <f t="shared" si="101"/>
        <v>0</v>
      </c>
      <c r="M46" s="25">
        <f t="shared" si="101"/>
        <v>1</v>
      </c>
      <c r="N46" s="25">
        <f t="shared" ref="N46:N53" si="102">SUM(J46:M46)</f>
        <v>193</v>
      </c>
      <c r="O46" s="26" t="str">
        <f t="shared" ref="O46:O53" si="103">REPT("0",2-LEN(RIGHT(DEC2HEX(N46), 2)))&amp;RIGHT(DEC2HEX(N46), 2)</f>
        <v>C1</v>
      </c>
      <c r="P46" s="64" t="s">
        <v>1305</v>
      </c>
    </row>
    <row r="47" spans="2:16" s="2" customFormat="1" ht="16.5" customHeight="1">
      <c r="B47" s="91" t="s">
        <v>1281</v>
      </c>
      <c r="C47" s="102" t="str">
        <f t="shared" si="99"/>
        <v>FF00C0000002C2</v>
      </c>
      <c r="D47" s="60" t="s">
        <v>1276</v>
      </c>
      <c r="E47" s="60" t="s">
        <v>16</v>
      </c>
      <c r="F47" s="60" t="s">
        <v>16</v>
      </c>
      <c r="G47" s="60" t="s">
        <v>1270</v>
      </c>
      <c r="H47" s="12" t="str">
        <f t="shared" si="100"/>
        <v>C2</v>
      </c>
      <c r="I47" s="12" t="s">
        <v>9</v>
      </c>
      <c r="J47" s="13">
        <f t="shared" si="101"/>
        <v>192</v>
      </c>
      <c r="K47" s="13">
        <f t="shared" si="101"/>
        <v>0</v>
      </c>
      <c r="L47" s="13">
        <f t="shared" si="101"/>
        <v>0</v>
      </c>
      <c r="M47" s="13">
        <f t="shared" si="101"/>
        <v>2</v>
      </c>
      <c r="N47" s="13">
        <f t="shared" si="102"/>
        <v>194</v>
      </c>
      <c r="O47" s="28" t="str">
        <f t="shared" si="103"/>
        <v>C2</v>
      </c>
      <c r="P47" s="64" t="s">
        <v>1306</v>
      </c>
    </row>
    <row r="48" spans="2:16" s="2" customFormat="1" ht="16.5" customHeight="1">
      <c r="B48" s="91" t="s">
        <v>1282</v>
      </c>
      <c r="C48" s="102" t="str">
        <f t="shared" si="99"/>
        <v>FF00C0000003C3</v>
      </c>
      <c r="D48" s="60" t="s">
        <v>1276</v>
      </c>
      <c r="E48" s="60" t="s">
        <v>16</v>
      </c>
      <c r="F48" s="60" t="s">
        <v>16</v>
      </c>
      <c r="G48" s="60" t="s">
        <v>1277</v>
      </c>
      <c r="H48" s="12" t="str">
        <f t="shared" si="100"/>
        <v>C3</v>
      </c>
      <c r="I48" s="12" t="s">
        <v>9</v>
      </c>
      <c r="J48" s="13">
        <f t="shared" si="101"/>
        <v>192</v>
      </c>
      <c r="K48" s="13">
        <f t="shared" si="101"/>
        <v>0</v>
      </c>
      <c r="L48" s="13">
        <f t="shared" si="101"/>
        <v>0</v>
      </c>
      <c r="M48" s="13">
        <f t="shared" si="101"/>
        <v>3</v>
      </c>
      <c r="N48" s="13">
        <f t="shared" si="102"/>
        <v>195</v>
      </c>
      <c r="O48" s="28" t="str">
        <f t="shared" si="103"/>
        <v>C3</v>
      </c>
      <c r="P48" s="64" t="s">
        <v>1307</v>
      </c>
    </row>
    <row r="49" spans="2:16" s="2" customFormat="1" ht="16.5" customHeight="1">
      <c r="B49" s="91" t="s">
        <v>1283</v>
      </c>
      <c r="C49" s="102" t="str">
        <f t="shared" si="99"/>
        <v>FF00C0000004C4</v>
      </c>
      <c r="D49" s="60" t="s">
        <v>1276</v>
      </c>
      <c r="E49" s="60" t="s">
        <v>16</v>
      </c>
      <c r="F49" s="60" t="s">
        <v>16</v>
      </c>
      <c r="G49" s="60" t="s">
        <v>1269</v>
      </c>
      <c r="H49" s="12" t="str">
        <f t="shared" si="100"/>
        <v>C4</v>
      </c>
      <c r="I49" s="12" t="s">
        <v>9</v>
      </c>
      <c r="J49" s="13">
        <f t="shared" si="101"/>
        <v>192</v>
      </c>
      <c r="K49" s="13">
        <f t="shared" si="101"/>
        <v>0</v>
      </c>
      <c r="L49" s="13">
        <f t="shared" si="101"/>
        <v>0</v>
      </c>
      <c r="M49" s="13">
        <f t="shared" si="101"/>
        <v>4</v>
      </c>
      <c r="N49" s="13">
        <f t="shared" si="102"/>
        <v>196</v>
      </c>
      <c r="O49" s="28" t="str">
        <f t="shared" si="103"/>
        <v>C4</v>
      </c>
      <c r="P49" s="64" t="s">
        <v>1308</v>
      </c>
    </row>
    <row r="50" spans="2:16" s="2" customFormat="1" ht="16.5" customHeight="1">
      <c r="B50" s="91" t="s">
        <v>1284</v>
      </c>
      <c r="C50" s="102" t="str">
        <f t="shared" si="99"/>
        <v>FF00C0000005C5</v>
      </c>
      <c r="D50" s="60" t="s">
        <v>1276</v>
      </c>
      <c r="E50" s="60" t="s">
        <v>16</v>
      </c>
      <c r="F50" s="60" t="s">
        <v>16</v>
      </c>
      <c r="G50" s="60" t="s">
        <v>1278</v>
      </c>
      <c r="H50" s="12" t="str">
        <f t="shared" si="100"/>
        <v>C5</v>
      </c>
      <c r="I50" s="12" t="s">
        <v>9</v>
      </c>
      <c r="J50" s="13">
        <f t="shared" si="101"/>
        <v>192</v>
      </c>
      <c r="K50" s="13">
        <f t="shared" si="101"/>
        <v>0</v>
      </c>
      <c r="L50" s="13">
        <f t="shared" si="101"/>
        <v>0</v>
      </c>
      <c r="M50" s="13">
        <f t="shared" si="101"/>
        <v>5</v>
      </c>
      <c r="N50" s="13">
        <f t="shared" si="102"/>
        <v>197</v>
      </c>
      <c r="O50" s="28" t="str">
        <f t="shared" si="103"/>
        <v>C5</v>
      </c>
      <c r="P50" s="64" t="s">
        <v>1309</v>
      </c>
    </row>
    <row r="51" spans="2:16" s="2" customFormat="1" ht="16.5" customHeight="1">
      <c r="B51" s="91" t="s">
        <v>1285</v>
      </c>
      <c r="C51" s="102" t="str">
        <f t="shared" si="99"/>
        <v>FF00C0000006C6</v>
      </c>
      <c r="D51" s="60" t="s">
        <v>1276</v>
      </c>
      <c r="E51" s="60" t="s">
        <v>16</v>
      </c>
      <c r="F51" s="60" t="s">
        <v>16</v>
      </c>
      <c r="G51" s="60" t="s">
        <v>1279</v>
      </c>
      <c r="H51" s="12" t="str">
        <f t="shared" si="100"/>
        <v>C6</v>
      </c>
      <c r="I51" s="12" t="s">
        <v>9</v>
      </c>
      <c r="J51" s="13">
        <f t="shared" si="101"/>
        <v>192</v>
      </c>
      <c r="K51" s="13">
        <f t="shared" si="101"/>
        <v>0</v>
      </c>
      <c r="L51" s="13">
        <f t="shared" si="101"/>
        <v>0</v>
      </c>
      <c r="M51" s="13">
        <f t="shared" si="101"/>
        <v>6</v>
      </c>
      <c r="N51" s="13">
        <f t="shared" si="102"/>
        <v>198</v>
      </c>
      <c r="O51" s="28" t="str">
        <f t="shared" si="103"/>
        <v>C6</v>
      </c>
      <c r="P51" s="64" t="s">
        <v>1310</v>
      </c>
    </row>
    <row r="52" spans="2:16" s="2" customFormat="1" ht="16.5" customHeight="1">
      <c r="B52" s="91" t="s">
        <v>1286</v>
      </c>
      <c r="C52" s="102" t="str">
        <f t="shared" si="99"/>
        <v>FF00C0000007C7</v>
      </c>
      <c r="D52" s="60" t="s">
        <v>1276</v>
      </c>
      <c r="E52" s="60" t="s">
        <v>16</v>
      </c>
      <c r="F52" s="60" t="s">
        <v>16</v>
      </c>
      <c r="G52" s="60" t="s">
        <v>1280</v>
      </c>
      <c r="H52" s="12" t="str">
        <f t="shared" si="100"/>
        <v>C7</v>
      </c>
      <c r="I52" s="12" t="s">
        <v>9</v>
      </c>
      <c r="J52" s="13">
        <f t="shared" si="101"/>
        <v>192</v>
      </c>
      <c r="K52" s="13">
        <f t="shared" si="101"/>
        <v>0</v>
      </c>
      <c r="L52" s="13">
        <f t="shared" si="101"/>
        <v>0</v>
      </c>
      <c r="M52" s="13">
        <f t="shared" si="101"/>
        <v>7</v>
      </c>
      <c r="N52" s="13">
        <f t="shared" si="102"/>
        <v>199</v>
      </c>
      <c r="O52" s="28" t="str">
        <f t="shared" si="103"/>
        <v>C7</v>
      </c>
      <c r="P52" s="64" t="s">
        <v>1311</v>
      </c>
    </row>
    <row r="53" spans="2:16" s="2" customFormat="1" ht="16.5" customHeight="1">
      <c r="B53" s="91" t="s">
        <v>1287</v>
      </c>
      <c r="C53" s="102" t="str">
        <f t="shared" si="99"/>
        <v>FF00C0000008C8</v>
      </c>
      <c r="D53" s="60" t="s">
        <v>1276</v>
      </c>
      <c r="E53" s="60" t="s">
        <v>16</v>
      </c>
      <c r="F53" s="60" t="s">
        <v>16</v>
      </c>
      <c r="G53" s="60" t="s">
        <v>1267</v>
      </c>
      <c r="H53" s="12" t="str">
        <f t="shared" si="100"/>
        <v>C8</v>
      </c>
      <c r="I53" s="12" t="s">
        <v>9</v>
      </c>
      <c r="J53" s="13">
        <f t="shared" si="101"/>
        <v>192</v>
      </c>
      <c r="K53" s="13">
        <f t="shared" si="101"/>
        <v>0</v>
      </c>
      <c r="L53" s="13">
        <f t="shared" si="101"/>
        <v>0</v>
      </c>
      <c r="M53" s="13">
        <f t="shared" si="101"/>
        <v>8</v>
      </c>
      <c r="N53" s="13">
        <f t="shared" si="102"/>
        <v>200</v>
      </c>
      <c r="O53" s="28" t="str">
        <f t="shared" si="103"/>
        <v>C8</v>
      </c>
      <c r="P53" s="64" t="s">
        <v>1312</v>
      </c>
    </row>
    <row r="54" spans="2:16" s="2" customFormat="1" ht="16.5" customHeight="1">
      <c r="B54" s="105" t="s">
        <v>1364</v>
      </c>
      <c r="C54" s="104" t="str">
        <f t="shared" si="92"/>
        <v>FF00C1000000C1</v>
      </c>
      <c r="D54" s="106" t="s">
        <v>1374</v>
      </c>
      <c r="E54" s="100" t="s">
        <v>16</v>
      </c>
      <c r="F54" s="100" t="s">
        <v>16</v>
      </c>
      <c r="G54" s="100" t="s">
        <v>16</v>
      </c>
      <c r="H54" s="87" t="str">
        <f t="shared" si="93"/>
        <v>C1</v>
      </c>
      <c r="I54" s="87" t="s">
        <v>9</v>
      </c>
      <c r="J54" s="88">
        <f t="shared" si="94"/>
        <v>193</v>
      </c>
      <c r="K54" s="88">
        <f t="shared" si="95"/>
        <v>0</v>
      </c>
      <c r="L54" s="88">
        <f t="shared" si="96"/>
        <v>0</v>
      </c>
      <c r="M54" s="88">
        <f t="shared" si="97"/>
        <v>0</v>
      </c>
      <c r="N54" s="88">
        <f t="shared" si="98"/>
        <v>193</v>
      </c>
      <c r="O54" s="89" t="str">
        <f t="shared" si="70"/>
        <v>C1</v>
      </c>
      <c r="P54" s="64" t="s">
        <v>1437</v>
      </c>
    </row>
    <row r="55" spans="2:16" s="2" customFormat="1" ht="16.5" customHeight="1">
      <c r="B55" s="91" t="s">
        <v>1365</v>
      </c>
      <c r="C55" s="102" t="str">
        <f t="shared" si="92"/>
        <v>FF00C1000001C2</v>
      </c>
      <c r="D55" s="106" t="s">
        <v>1374</v>
      </c>
      <c r="E55" s="60" t="s">
        <v>16</v>
      </c>
      <c r="F55" s="60" t="s">
        <v>16</v>
      </c>
      <c r="G55" s="60" t="s">
        <v>24</v>
      </c>
      <c r="H55" s="12" t="str">
        <f t="shared" si="93"/>
        <v>C2</v>
      </c>
      <c r="I55" s="12" t="s">
        <v>9</v>
      </c>
      <c r="J55" s="13">
        <f t="shared" si="94"/>
        <v>193</v>
      </c>
      <c r="K55" s="13">
        <f t="shared" si="95"/>
        <v>0</v>
      </c>
      <c r="L55" s="13">
        <f t="shared" si="96"/>
        <v>0</v>
      </c>
      <c r="M55" s="13">
        <f t="shared" si="97"/>
        <v>1</v>
      </c>
      <c r="N55" s="13">
        <f t="shared" si="98"/>
        <v>194</v>
      </c>
      <c r="O55" s="28" t="str">
        <f t="shared" si="70"/>
        <v>C2</v>
      </c>
      <c r="P55" s="64" t="s">
        <v>1438</v>
      </c>
    </row>
    <row r="56" spans="2:16" s="2" customFormat="1" ht="16.5" customHeight="1">
      <c r="B56" s="91" t="s">
        <v>1366</v>
      </c>
      <c r="C56" s="102" t="str">
        <f t="shared" si="92"/>
        <v>FF00C1000002C3</v>
      </c>
      <c r="D56" s="106" t="s">
        <v>1374</v>
      </c>
      <c r="E56" s="60" t="s">
        <v>16</v>
      </c>
      <c r="F56" s="60" t="s">
        <v>16</v>
      </c>
      <c r="G56" s="100" t="s">
        <v>1270</v>
      </c>
      <c r="H56" s="12" t="str">
        <f t="shared" si="93"/>
        <v>C3</v>
      </c>
      <c r="I56" s="12" t="s">
        <v>9</v>
      </c>
      <c r="J56" s="13">
        <f t="shared" si="94"/>
        <v>193</v>
      </c>
      <c r="K56" s="13">
        <f t="shared" si="95"/>
        <v>0</v>
      </c>
      <c r="L56" s="13">
        <f t="shared" si="96"/>
        <v>0</v>
      </c>
      <c r="M56" s="13">
        <f t="shared" si="97"/>
        <v>2</v>
      </c>
      <c r="N56" s="13">
        <f t="shared" si="98"/>
        <v>195</v>
      </c>
      <c r="O56" s="28" t="str">
        <f t="shared" si="70"/>
        <v>C3</v>
      </c>
      <c r="P56" s="64" t="s">
        <v>1439</v>
      </c>
    </row>
    <row r="57" spans="2:16" s="2" customFormat="1" ht="16.5" customHeight="1">
      <c r="B57" s="91" t="s">
        <v>1367</v>
      </c>
      <c r="C57" s="102" t="str">
        <f t="shared" si="85"/>
        <v>FF00C1000003C4</v>
      </c>
      <c r="D57" s="106" t="s">
        <v>1374</v>
      </c>
      <c r="E57" s="60" t="s">
        <v>16</v>
      </c>
      <c r="F57" s="60" t="s">
        <v>16</v>
      </c>
      <c r="G57" s="60" t="s">
        <v>1277</v>
      </c>
      <c r="H57" s="12" t="str">
        <f t="shared" si="86"/>
        <v>C4</v>
      </c>
      <c r="I57" s="12" t="s">
        <v>9</v>
      </c>
      <c r="J57" s="13">
        <f t="shared" si="87"/>
        <v>193</v>
      </c>
      <c r="K57" s="13">
        <f t="shared" si="88"/>
        <v>0</v>
      </c>
      <c r="L57" s="13">
        <f t="shared" si="89"/>
        <v>0</v>
      </c>
      <c r="M57" s="13">
        <f t="shared" si="90"/>
        <v>3</v>
      </c>
      <c r="N57" s="13">
        <f t="shared" si="91"/>
        <v>196</v>
      </c>
      <c r="O57" s="28" t="str">
        <f t="shared" si="70"/>
        <v>C4</v>
      </c>
      <c r="P57" s="64" t="s">
        <v>1440</v>
      </c>
    </row>
    <row r="58" spans="2:16" s="2" customFormat="1" ht="16.5" customHeight="1">
      <c r="B58" s="91" t="s">
        <v>1368</v>
      </c>
      <c r="C58" s="102" t="str">
        <f t="shared" si="85"/>
        <v>FF00C1000004C5</v>
      </c>
      <c r="D58" s="106" t="s">
        <v>1374</v>
      </c>
      <c r="E58" s="60" t="s">
        <v>16</v>
      </c>
      <c r="F58" s="60" t="s">
        <v>16</v>
      </c>
      <c r="G58" s="100" t="s">
        <v>1269</v>
      </c>
      <c r="H58" s="12" t="str">
        <f t="shared" si="86"/>
        <v>C5</v>
      </c>
      <c r="I58" s="12" t="s">
        <v>9</v>
      </c>
      <c r="J58" s="13">
        <f t="shared" si="87"/>
        <v>193</v>
      </c>
      <c r="K58" s="13">
        <f t="shared" si="88"/>
        <v>0</v>
      </c>
      <c r="L58" s="13">
        <f t="shared" si="89"/>
        <v>0</v>
      </c>
      <c r="M58" s="13">
        <f t="shared" si="90"/>
        <v>4</v>
      </c>
      <c r="N58" s="13">
        <f t="shared" si="91"/>
        <v>197</v>
      </c>
      <c r="O58" s="28" t="str">
        <f t="shared" si="70"/>
        <v>C5</v>
      </c>
      <c r="P58" s="64" t="s">
        <v>1441</v>
      </c>
    </row>
    <row r="59" spans="2:16" s="2" customFormat="1" ht="16.5" customHeight="1">
      <c r="B59" s="91" t="s">
        <v>1369</v>
      </c>
      <c r="C59" s="102" t="str">
        <f t="shared" ref="C59:C60" si="104">"FF00"&amp;D59&amp;E59&amp;""&amp;F59&amp;G59&amp;H59</f>
        <v>FF00C1000005C6</v>
      </c>
      <c r="D59" s="106" t="s">
        <v>1374</v>
      </c>
      <c r="E59" s="60" t="s">
        <v>16</v>
      </c>
      <c r="F59" s="60" t="s">
        <v>16</v>
      </c>
      <c r="G59" s="60" t="s">
        <v>1278</v>
      </c>
      <c r="H59" s="12" t="str">
        <f t="shared" ref="H59:H60" si="105">O59</f>
        <v>C6</v>
      </c>
      <c r="I59" s="12" t="s">
        <v>9</v>
      </c>
      <c r="J59" s="13">
        <f t="shared" ref="J59:J60" si="106">HEX2DEC(D59)</f>
        <v>193</v>
      </c>
      <c r="K59" s="13">
        <f t="shared" ref="K59:K60" si="107">HEX2DEC(E59)</f>
        <v>0</v>
      </c>
      <c r="L59" s="13">
        <f t="shared" ref="L59:L60" si="108">HEX2DEC(F59)</f>
        <v>0</v>
      </c>
      <c r="M59" s="13">
        <f t="shared" ref="M59:M60" si="109">HEX2DEC(G59)</f>
        <v>5</v>
      </c>
      <c r="N59" s="13">
        <f t="shared" ref="N59:N60" si="110">SUM(J59:M59)</f>
        <v>198</v>
      </c>
      <c r="O59" s="28" t="str">
        <f t="shared" si="70"/>
        <v>C6</v>
      </c>
      <c r="P59" s="64" t="s">
        <v>1442</v>
      </c>
    </row>
    <row r="60" spans="2:16" s="2" customFormat="1" ht="16.5" customHeight="1">
      <c r="B60" s="91" t="s">
        <v>1370</v>
      </c>
      <c r="C60" s="102" t="str">
        <f t="shared" si="104"/>
        <v>FF00C1000006C7</v>
      </c>
      <c r="D60" s="106" t="s">
        <v>1374</v>
      </c>
      <c r="E60" s="60" t="s">
        <v>16</v>
      </c>
      <c r="F60" s="60" t="s">
        <v>16</v>
      </c>
      <c r="G60" s="100" t="s">
        <v>1279</v>
      </c>
      <c r="H60" s="12" t="str">
        <f t="shared" si="105"/>
        <v>C7</v>
      </c>
      <c r="I60" s="12" t="s">
        <v>9</v>
      </c>
      <c r="J60" s="13">
        <f t="shared" si="106"/>
        <v>193</v>
      </c>
      <c r="K60" s="13">
        <f t="shared" si="107"/>
        <v>0</v>
      </c>
      <c r="L60" s="13">
        <f t="shared" si="108"/>
        <v>0</v>
      </c>
      <c r="M60" s="13">
        <f t="shared" si="109"/>
        <v>6</v>
      </c>
      <c r="N60" s="13">
        <f t="shared" si="110"/>
        <v>199</v>
      </c>
      <c r="O60" s="28" t="str">
        <f t="shared" si="70"/>
        <v>C7</v>
      </c>
      <c r="P60" s="64" t="s">
        <v>1443</v>
      </c>
    </row>
    <row r="61" spans="2:16" s="2" customFormat="1" ht="16.5" customHeight="1">
      <c r="B61" s="91" t="s">
        <v>1371</v>
      </c>
      <c r="C61" s="102" t="str">
        <f t="shared" ref="C61:C62" si="111">"FF00"&amp;D61&amp;E61&amp;""&amp;F61&amp;G61&amp;H61</f>
        <v>FF00C1000007C8</v>
      </c>
      <c r="D61" s="106" t="s">
        <v>1374</v>
      </c>
      <c r="E61" s="60" t="s">
        <v>16</v>
      </c>
      <c r="F61" s="60" t="s">
        <v>16</v>
      </c>
      <c r="G61" s="60" t="s">
        <v>1280</v>
      </c>
      <c r="H61" s="12" t="str">
        <f t="shared" ref="H61:H62" si="112">O61</f>
        <v>C8</v>
      </c>
      <c r="I61" s="12" t="s">
        <v>9</v>
      </c>
      <c r="J61" s="13">
        <f t="shared" ref="J61:J62" si="113">HEX2DEC(D61)</f>
        <v>193</v>
      </c>
      <c r="K61" s="13">
        <f t="shared" ref="K61:K62" si="114">HEX2DEC(E61)</f>
        <v>0</v>
      </c>
      <c r="L61" s="13">
        <f t="shared" ref="L61:L62" si="115">HEX2DEC(F61)</f>
        <v>0</v>
      </c>
      <c r="M61" s="13">
        <f t="shared" ref="M61:M62" si="116">HEX2DEC(G61)</f>
        <v>7</v>
      </c>
      <c r="N61" s="13">
        <f t="shared" ref="N61:N62" si="117">SUM(J61:M61)</f>
        <v>200</v>
      </c>
      <c r="O61" s="28" t="str">
        <f t="shared" si="70"/>
        <v>C8</v>
      </c>
      <c r="P61" s="64" t="s">
        <v>1444</v>
      </c>
    </row>
    <row r="62" spans="2:16" s="2" customFormat="1" ht="16.5" customHeight="1">
      <c r="B62" s="91" t="s">
        <v>1372</v>
      </c>
      <c r="C62" s="102" t="str">
        <f t="shared" si="111"/>
        <v>FF00C1000008C9</v>
      </c>
      <c r="D62" s="106" t="s">
        <v>1374</v>
      </c>
      <c r="E62" s="60" t="s">
        <v>16</v>
      </c>
      <c r="F62" s="60" t="s">
        <v>16</v>
      </c>
      <c r="G62" s="100" t="s">
        <v>1267</v>
      </c>
      <c r="H62" s="12" t="str">
        <f t="shared" si="112"/>
        <v>C9</v>
      </c>
      <c r="I62" s="12" t="s">
        <v>9</v>
      </c>
      <c r="J62" s="13">
        <f t="shared" si="113"/>
        <v>193</v>
      </c>
      <c r="K62" s="13">
        <f t="shared" si="114"/>
        <v>0</v>
      </c>
      <c r="L62" s="13">
        <f t="shared" si="115"/>
        <v>0</v>
      </c>
      <c r="M62" s="13">
        <f t="shared" si="116"/>
        <v>8</v>
      </c>
      <c r="N62" s="13">
        <f t="shared" si="117"/>
        <v>201</v>
      </c>
      <c r="O62" s="28" t="str">
        <f t="shared" si="70"/>
        <v>C9</v>
      </c>
      <c r="P62" s="64" t="s">
        <v>1445</v>
      </c>
    </row>
    <row r="63" spans="2:16" s="2" customFormat="1" ht="16.5" customHeight="1">
      <c r="B63" s="91" t="s">
        <v>1373</v>
      </c>
      <c r="C63" s="102" t="str">
        <f t="shared" si="85"/>
        <v>FF00C1000009CA</v>
      </c>
      <c r="D63" s="106" t="s">
        <v>1374</v>
      </c>
      <c r="E63" s="60" t="s">
        <v>16</v>
      </c>
      <c r="F63" s="60" t="s">
        <v>16</v>
      </c>
      <c r="G63" s="60" t="s">
        <v>1375</v>
      </c>
      <c r="H63" s="12" t="str">
        <f t="shared" si="86"/>
        <v>CA</v>
      </c>
      <c r="I63" s="12" t="s">
        <v>9</v>
      </c>
      <c r="J63" s="13">
        <f t="shared" si="87"/>
        <v>193</v>
      </c>
      <c r="K63" s="13">
        <f t="shared" si="88"/>
        <v>0</v>
      </c>
      <c r="L63" s="13">
        <f t="shared" si="89"/>
        <v>0</v>
      </c>
      <c r="M63" s="13">
        <f t="shared" si="90"/>
        <v>9</v>
      </c>
      <c r="N63" s="13">
        <f t="shared" si="91"/>
        <v>202</v>
      </c>
      <c r="O63" s="28" t="str">
        <f t="shared" si="70"/>
        <v>CA</v>
      </c>
      <c r="P63" s="64" t="s">
        <v>1446</v>
      </c>
    </row>
    <row r="64" spans="2:16" s="2" customFormat="1" ht="16.5" customHeight="1">
      <c r="B64" s="91" t="s">
        <v>1376</v>
      </c>
      <c r="C64" s="102" t="str">
        <f t="shared" si="85"/>
        <v>FF00C2000000C2</v>
      </c>
      <c r="D64" s="60" t="s">
        <v>1378</v>
      </c>
      <c r="E64" s="60" t="s">
        <v>16</v>
      </c>
      <c r="F64" s="60" t="s">
        <v>16</v>
      </c>
      <c r="G64" s="60" t="s">
        <v>16</v>
      </c>
      <c r="H64" s="12" t="str">
        <f t="shared" si="86"/>
        <v>C2</v>
      </c>
      <c r="I64" s="12" t="s">
        <v>9</v>
      </c>
      <c r="J64" s="13">
        <f t="shared" si="87"/>
        <v>194</v>
      </c>
      <c r="K64" s="13">
        <f t="shared" si="88"/>
        <v>0</v>
      </c>
      <c r="L64" s="13">
        <f t="shared" si="89"/>
        <v>0</v>
      </c>
      <c r="M64" s="13">
        <f t="shared" si="90"/>
        <v>0</v>
      </c>
      <c r="N64" s="13">
        <f t="shared" si="91"/>
        <v>194</v>
      </c>
      <c r="O64" s="28" t="str">
        <f t="shared" si="70"/>
        <v>C2</v>
      </c>
      <c r="P64" s="64" t="s">
        <v>1451</v>
      </c>
    </row>
    <row r="65" spans="2:16" s="2" customFormat="1" ht="16.5" customHeight="1">
      <c r="B65" s="91" t="s">
        <v>1377</v>
      </c>
      <c r="C65" s="102" t="str">
        <f t="shared" ref="C65:C68" si="118">"FF00"&amp;D65&amp;E65&amp;""&amp;F65&amp;G65&amp;H65</f>
        <v>FF00C2000001C3</v>
      </c>
      <c r="D65" s="60" t="s">
        <v>1378</v>
      </c>
      <c r="E65" s="60" t="s">
        <v>16</v>
      </c>
      <c r="F65" s="60" t="s">
        <v>16</v>
      </c>
      <c r="G65" s="60" t="s">
        <v>24</v>
      </c>
      <c r="H65" s="12" t="str">
        <f t="shared" ref="H65:H68" si="119">O65</f>
        <v>C3</v>
      </c>
      <c r="I65" s="12" t="s">
        <v>9</v>
      </c>
      <c r="J65" s="13">
        <f t="shared" ref="J65:J68" si="120">HEX2DEC(D65)</f>
        <v>194</v>
      </c>
      <c r="K65" s="13">
        <f t="shared" ref="K65:K68" si="121">HEX2DEC(E65)</f>
        <v>0</v>
      </c>
      <c r="L65" s="13">
        <f t="shared" ref="L65:L68" si="122">HEX2DEC(F65)</f>
        <v>0</v>
      </c>
      <c r="M65" s="13">
        <f t="shared" ref="M65:M68" si="123">HEX2DEC(G65)</f>
        <v>1</v>
      </c>
      <c r="N65" s="13">
        <f t="shared" ref="N65:N68" si="124">SUM(J65:M65)</f>
        <v>195</v>
      </c>
      <c r="O65" s="28" t="str">
        <f t="shared" si="70"/>
        <v>C3</v>
      </c>
      <c r="P65" s="64" t="s">
        <v>1447</v>
      </c>
    </row>
    <row r="66" spans="2:16" s="2" customFormat="1" ht="16.5" customHeight="1">
      <c r="B66" s="91" t="s">
        <v>1379</v>
      </c>
      <c r="C66" s="102" t="str">
        <f t="shared" si="118"/>
        <v>FF00C3000001C4</v>
      </c>
      <c r="D66" s="60" t="s">
        <v>1380</v>
      </c>
      <c r="E66" s="60" t="s">
        <v>16</v>
      </c>
      <c r="F66" s="60" t="s">
        <v>16</v>
      </c>
      <c r="G66" s="60" t="s">
        <v>24</v>
      </c>
      <c r="H66" s="12" t="str">
        <f t="shared" si="119"/>
        <v>C4</v>
      </c>
      <c r="I66" s="12" t="s">
        <v>9</v>
      </c>
      <c r="J66" s="13">
        <f t="shared" si="120"/>
        <v>195</v>
      </c>
      <c r="K66" s="13">
        <f t="shared" si="121"/>
        <v>0</v>
      </c>
      <c r="L66" s="13">
        <f t="shared" si="122"/>
        <v>0</v>
      </c>
      <c r="M66" s="13">
        <f t="shared" si="123"/>
        <v>1</v>
      </c>
      <c r="N66" s="13">
        <f t="shared" si="124"/>
        <v>196</v>
      </c>
      <c r="O66" s="28" t="str">
        <f t="shared" si="70"/>
        <v>C4</v>
      </c>
      <c r="P66" s="64" t="s">
        <v>1448</v>
      </c>
    </row>
    <row r="67" spans="2:16" s="2" customFormat="1" ht="16.5" customHeight="1">
      <c r="B67" s="91" t="s">
        <v>1383</v>
      </c>
      <c r="C67" s="102" t="str">
        <f t="shared" si="118"/>
        <v>FF00C3000000C3</v>
      </c>
      <c r="D67" s="60" t="s">
        <v>1380</v>
      </c>
      <c r="E67" s="60" t="s">
        <v>16</v>
      </c>
      <c r="F67" s="60" t="s">
        <v>16</v>
      </c>
      <c r="G67" s="60" t="s">
        <v>16</v>
      </c>
      <c r="H67" s="12" t="str">
        <f t="shared" si="119"/>
        <v>C3</v>
      </c>
      <c r="I67" s="12" t="s">
        <v>9</v>
      </c>
      <c r="J67" s="13">
        <f t="shared" si="120"/>
        <v>195</v>
      </c>
      <c r="K67" s="13">
        <f t="shared" si="121"/>
        <v>0</v>
      </c>
      <c r="L67" s="13">
        <f t="shared" si="122"/>
        <v>0</v>
      </c>
      <c r="M67" s="13">
        <f t="shared" si="123"/>
        <v>0</v>
      </c>
      <c r="N67" s="13">
        <f t="shared" si="124"/>
        <v>195</v>
      </c>
      <c r="O67" s="28" t="str">
        <f t="shared" si="70"/>
        <v>C3</v>
      </c>
      <c r="P67" s="64" t="s">
        <v>1449</v>
      </c>
    </row>
    <row r="68" spans="2:16" s="2" customFormat="1" ht="16.5" customHeight="1" thickBot="1">
      <c r="B68" s="92" t="s">
        <v>1381</v>
      </c>
      <c r="C68" s="103" t="str">
        <f t="shared" si="118"/>
        <v>FF00C4000000C4</v>
      </c>
      <c r="D68" s="62" t="s">
        <v>1382</v>
      </c>
      <c r="E68" s="62" t="s">
        <v>16</v>
      </c>
      <c r="F68" s="62" t="s">
        <v>16</v>
      </c>
      <c r="G68" s="62" t="s">
        <v>16</v>
      </c>
      <c r="H68" s="34" t="str">
        <f t="shared" si="119"/>
        <v>C4</v>
      </c>
      <c r="I68" s="34" t="s">
        <v>9</v>
      </c>
      <c r="J68" s="35">
        <f t="shared" si="120"/>
        <v>196</v>
      </c>
      <c r="K68" s="35">
        <f t="shared" si="121"/>
        <v>0</v>
      </c>
      <c r="L68" s="35">
        <f t="shared" si="122"/>
        <v>0</v>
      </c>
      <c r="M68" s="35">
        <f t="shared" si="123"/>
        <v>0</v>
      </c>
      <c r="N68" s="35">
        <f t="shared" si="124"/>
        <v>196</v>
      </c>
      <c r="O68" s="36" t="str">
        <f t="shared" si="70"/>
        <v>C4</v>
      </c>
      <c r="P68" s="64" t="s">
        <v>1450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CA2C-2102-45AC-92BA-FE564D531E29}">
  <sheetPr filterMode="1"/>
  <dimension ref="B1:N265"/>
  <sheetViews>
    <sheetView workbookViewId="0">
      <pane xSplit="1" ySplit="2" topLeftCell="B13" activePane="bottomRight" state="frozen"/>
      <selection pane="topRight" activeCell="B1" sqref="B1"/>
      <selection pane="bottomLeft" activeCell="A3" sqref="A3"/>
      <selection pane="bottomRight" activeCell="C115" sqref="C115"/>
    </sheetView>
  </sheetViews>
  <sheetFormatPr defaultColWidth="8.6640625" defaultRowHeight="17.25"/>
  <cols>
    <col min="1" max="1" width="2.44140625" customWidth="1"/>
    <col min="2" max="2" width="23.33203125" bestFit="1" customWidth="1"/>
    <col min="3" max="3" width="30.6640625" customWidth="1"/>
    <col min="4" max="4" width="8.33203125" bestFit="1" customWidth="1"/>
    <col min="5" max="5" width="6.33203125" style="7" bestFit="1" customWidth="1"/>
    <col min="6" max="6" width="24.44140625" customWidth="1"/>
    <col min="7" max="7" width="2.6640625" customWidth="1"/>
    <col min="8" max="8" width="2.109375" bestFit="1" customWidth="1"/>
    <col min="9" max="9" width="9" bestFit="1" customWidth="1"/>
  </cols>
  <sheetData>
    <row r="1" spans="2:14">
      <c r="B1" s="69"/>
      <c r="C1" s="70" t="s">
        <v>274</v>
      </c>
      <c r="D1" s="69"/>
      <c r="E1" s="70"/>
      <c r="F1" s="69"/>
    </row>
    <row r="2" spans="2:14">
      <c r="B2" s="71" t="s">
        <v>701</v>
      </c>
      <c r="C2" s="71" t="s">
        <v>7</v>
      </c>
      <c r="D2" s="71" t="s">
        <v>307</v>
      </c>
      <c r="E2" s="71" t="s">
        <v>309</v>
      </c>
      <c r="F2" s="71" t="s">
        <v>320</v>
      </c>
    </row>
    <row r="3" spans="2:14" hidden="1">
      <c r="B3" s="72" t="s">
        <v>548</v>
      </c>
      <c r="C3" s="73" t="s">
        <v>273</v>
      </c>
      <c r="D3" s="73" t="s">
        <v>308</v>
      </c>
      <c r="E3" s="74">
        <v>2</v>
      </c>
      <c r="F3" s="73"/>
      <c r="G3" s="68"/>
      <c r="H3" s="8">
        <v>0</v>
      </c>
      <c r="I3" s="8" t="s">
        <v>314</v>
      </c>
      <c r="J3" s="67" t="s">
        <v>315</v>
      </c>
      <c r="K3" s="8"/>
      <c r="L3" s="8"/>
      <c r="M3" s="8"/>
      <c r="N3" s="8"/>
    </row>
    <row r="4" spans="2:14" hidden="1">
      <c r="B4" s="72" t="s">
        <v>549</v>
      </c>
      <c r="C4" s="73" t="s">
        <v>276</v>
      </c>
      <c r="D4" s="73" t="s">
        <v>308</v>
      </c>
      <c r="E4" s="74">
        <v>0</v>
      </c>
      <c r="F4" s="73"/>
      <c r="G4" s="68"/>
      <c r="H4" s="8">
        <v>1</v>
      </c>
      <c r="I4" s="8" t="s">
        <v>316</v>
      </c>
      <c r="J4" s="67" t="s">
        <v>317</v>
      </c>
      <c r="K4" s="8"/>
      <c r="L4" s="8"/>
      <c r="M4" s="8"/>
      <c r="N4" s="8"/>
    </row>
    <row r="5" spans="2:14" hidden="1">
      <c r="B5" s="72" t="s">
        <v>702</v>
      </c>
      <c r="C5" s="73" t="s">
        <v>277</v>
      </c>
      <c r="D5" s="73" t="s">
        <v>308</v>
      </c>
      <c r="E5" s="74">
        <v>2</v>
      </c>
      <c r="F5" s="73"/>
      <c r="G5" s="68"/>
      <c r="H5" s="8">
        <v>2</v>
      </c>
      <c r="I5" s="8" t="s">
        <v>318</v>
      </c>
      <c r="J5" s="67" t="s">
        <v>319</v>
      </c>
      <c r="K5" s="8"/>
      <c r="L5" s="8"/>
      <c r="M5" s="8"/>
      <c r="N5" s="8"/>
    </row>
    <row r="6" spans="2:14" hidden="1">
      <c r="B6" s="72" t="s">
        <v>550</v>
      </c>
      <c r="C6" s="73" t="s">
        <v>275</v>
      </c>
      <c r="D6" s="73" t="s">
        <v>308</v>
      </c>
      <c r="E6" s="74">
        <v>2</v>
      </c>
      <c r="F6" s="73"/>
      <c r="G6" s="68"/>
    </row>
    <row r="7" spans="2:14" hidden="1">
      <c r="B7" s="72" t="s">
        <v>551</v>
      </c>
      <c r="C7" s="73" t="s">
        <v>278</v>
      </c>
      <c r="D7" s="73" t="s">
        <v>308</v>
      </c>
      <c r="E7" s="74">
        <v>2</v>
      </c>
      <c r="F7" s="73"/>
      <c r="G7" s="68"/>
    </row>
    <row r="8" spans="2:14" hidden="1">
      <c r="B8" s="72" t="s">
        <v>552</v>
      </c>
      <c r="C8" s="73" t="s">
        <v>279</v>
      </c>
      <c r="D8" s="73" t="s">
        <v>308</v>
      </c>
      <c r="E8" s="74">
        <v>0</v>
      </c>
      <c r="F8" s="73"/>
      <c r="G8" s="68"/>
    </row>
    <row r="9" spans="2:14" hidden="1">
      <c r="B9" s="72" t="s">
        <v>553</v>
      </c>
      <c r="C9" s="73" t="s">
        <v>280</v>
      </c>
      <c r="D9" s="73" t="s">
        <v>308</v>
      </c>
      <c r="E9" s="74">
        <v>1</v>
      </c>
      <c r="F9" s="73"/>
      <c r="G9" s="68"/>
    </row>
    <row r="10" spans="2:14" hidden="1">
      <c r="B10" s="72" t="s">
        <v>554</v>
      </c>
      <c r="C10" s="73" t="s">
        <v>281</v>
      </c>
      <c r="D10" s="73" t="s">
        <v>308</v>
      </c>
      <c r="E10" s="74">
        <v>0</v>
      </c>
      <c r="F10" s="73"/>
      <c r="G10" s="68"/>
    </row>
    <row r="11" spans="2:14" hidden="1">
      <c r="B11" s="72" t="s">
        <v>555</v>
      </c>
      <c r="C11" s="73" t="s">
        <v>282</v>
      </c>
      <c r="D11" s="73" t="s">
        <v>308</v>
      </c>
      <c r="E11" s="74">
        <v>0</v>
      </c>
      <c r="F11" s="73" t="s">
        <v>556</v>
      </c>
      <c r="G11" s="68"/>
    </row>
    <row r="12" spans="2:14" hidden="1">
      <c r="B12" s="72" t="s">
        <v>557</v>
      </c>
      <c r="C12" s="73" t="s">
        <v>283</v>
      </c>
      <c r="D12" s="73" t="s">
        <v>308</v>
      </c>
      <c r="E12" s="74">
        <v>0</v>
      </c>
      <c r="F12" s="73"/>
      <c r="G12" s="68"/>
    </row>
    <row r="13" spans="2:14">
      <c r="B13" s="72" t="s">
        <v>691</v>
      </c>
      <c r="C13" s="73" t="s">
        <v>321</v>
      </c>
      <c r="D13" s="73" t="s">
        <v>704</v>
      </c>
      <c r="E13" s="74">
        <v>0</v>
      </c>
      <c r="F13" s="73"/>
      <c r="G13" s="68"/>
    </row>
    <row r="14" spans="2:14" hidden="1">
      <c r="B14" s="72" t="s">
        <v>558</v>
      </c>
      <c r="C14" s="73" t="s">
        <v>284</v>
      </c>
      <c r="D14" s="73" t="s">
        <v>308</v>
      </c>
      <c r="E14" s="74">
        <v>0</v>
      </c>
      <c r="F14" s="73"/>
      <c r="G14" s="68"/>
    </row>
    <row r="15" spans="2:14" hidden="1">
      <c r="B15" s="72" t="s">
        <v>559</v>
      </c>
      <c r="C15" s="73" t="s">
        <v>285</v>
      </c>
      <c r="D15" s="73" t="s">
        <v>308</v>
      </c>
      <c r="E15" s="74">
        <v>1</v>
      </c>
      <c r="F15" s="73"/>
      <c r="G15" s="68"/>
    </row>
    <row r="16" spans="2:14" hidden="1">
      <c r="B16" s="72" t="s">
        <v>560</v>
      </c>
      <c r="C16" s="73" t="s">
        <v>286</v>
      </c>
      <c r="D16" s="73" t="s">
        <v>308</v>
      </c>
      <c r="E16" s="74">
        <v>1</v>
      </c>
      <c r="F16" s="73"/>
      <c r="G16" s="68"/>
    </row>
    <row r="17" spans="2:7" hidden="1">
      <c r="B17" s="72" t="s">
        <v>561</v>
      </c>
      <c r="C17" s="73" t="s">
        <v>287</v>
      </c>
      <c r="D17" s="73" t="s">
        <v>308</v>
      </c>
      <c r="E17" s="74">
        <v>1</v>
      </c>
      <c r="F17" s="73"/>
      <c r="G17" s="68"/>
    </row>
    <row r="18" spans="2:7" hidden="1">
      <c r="B18" s="72" t="s">
        <v>566</v>
      </c>
      <c r="C18" s="73" t="s">
        <v>567</v>
      </c>
      <c r="D18" s="73" t="s">
        <v>308</v>
      </c>
      <c r="E18" s="74">
        <v>1</v>
      </c>
      <c r="F18" s="73"/>
      <c r="G18" s="68"/>
    </row>
    <row r="19" spans="2:7" hidden="1">
      <c r="B19" s="72" t="s">
        <v>574</v>
      </c>
      <c r="C19" s="73" t="s">
        <v>289</v>
      </c>
      <c r="D19" s="73" t="s">
        <v>308</v>
      </c>
      <c r="E19" s="74">
        <v>0</v>
      </c>
      <c r="F19" s="73"/>
      <c r="G19" s="68"/>
    </row>
    <row r="20" spans="2:7" hidden="1">
      <c r="B20" s="72" t="s">
        <v>577</v>
      </c>
      <c r="C20" s="73" t="s">
        <v>290</v>
      </c>
      <c r="D20" s="73" t="s">
        <v>308</v>
      </c>
      <c r="E20" s="74">
        <v>1</v>
      </c>
      <c r="F20" s="73" t="s">
        <v>575</v>
      </c>
      <c r="G20" s="68"/>
    </row>
    <row r="21" spans="2:7" hidden="1">
      <c r="B21" s="72" t="s">
        <v>576</v>
      </c>
      <c r="C21" s="73" t="s">
        <v>291</v>
      </c>
      <c r="D21" s="73" t="s">
        <v>308</v>
      </c>
      <c r="E21" s="74">
        <v>1</v>
      </c>
      <c r="F21" s="73"/>
      <c r="G21" s="68"/>
    </row>
    <row r="22" spans="2:7" hidden="1">
      <c r="B22" s="72" t="s">
        <v>578</v>
      </c>
      <c r="C22" s="73" t="s">
        <v>292</v>
      </c>
      <c r="D22" s="73" t="s">
        <v>308</v>
      </c>
      <c r="E22" s="74">
        <v>0</v>
      </c>
      <c r="F22" s="73"/>
      <c r="G22" s="68"/>
    </row>
    <row r="23" spans="2:7" hidden="1">
      <c r="B23" s="72" t="s">
        <v>579</v>
      </c>
      <c r="C23" s="73" t="s">
        <v>293</v>
      </c>
      <c r="D23" s="73" t="s">
        <v>308</v>
      </c>
      <c r="E23" s="74">
        <v>0</v>
      </c>
      <c r="F23" s="73"/>
      <c r="G23" s="68"/>
    </row>
    <row r="24" spans="2:7" hidden="1">
      <c r="B24" s="72" t="s">
        <v>580</v>
      </c>
      <c r="C24" s="73" t="s">
        <v>294</v>
      </c>
      <c r="D24" s="73" t="s">
        <v>308</v>
      </c>
      <c r="E24" s="74">
        <v>0</v>
      </c>
      <c r="F24" s="73"/>
      <c r="G24" s="68"/>
    </row>
    <row r="25" spans="2:7" hidden="1">
      <c r="B25" s="72" t="s">
        <v>703</v>
      </c>
      <c r="C25" s="73" t="s">
        <v>295</v>
      </c>
      <c r="D25" s="73" t="s">
        <v>308</v>
      </c>
      <c r="E25" s="74">
        <v>0</v>
      </c>
      <c r="F25" s="73"/>
      <c r="G25" s="68"/>
    </row>
    <row r="26" spans="2:7" hidden="1">
      <c r="B26" s="72" t="s">
        <v>581</v>
      </c>
      <c r="C26" s="73" t="s">
        <v>296</v>
      </c>
      <c r="D26" s="73" t="s">
        <v>308</v>
      </c>
      <c r="E26" s="74">
        <v>0</v>
      </c>
      <c r="F26" s="73"/>
      <c r="G26" s="68"/>
    </row>
    <row r="27" spans="2:7">
      <c r="B27" s="72" t="s">
        <v>562</v>
      </c>
      <c r="C27" s="73" t="s">
        <v>310</v>
      </c>
      <c r="D27" s="73" t="s">
        <v>704</v>
      </c>
      <c r="E27" s="74">
        <v>1</v>
      </c>
      <c r="F27" s="73"/>
      <c r="G27" s="68"/>
    </row>
    <row r="28" spans="2:7">
      <c r="B28" s="72" t="s">
        <v>563</v>
      </c>
      <c r="C28" s="73" t="s">
        <v>322</v>
      </c>
      <c r="D28" s="73" t="s">
        <v>704</v>
      </c>
      <c r="E28" s="74">
        <v>1</v>
      </c>
      <c r="F28" s="73"/>
      <c r="G28" s="68"/>
    </row>
    <row r="29" spans="2:7">
      <c r="B29" s="72" t="s">
        <v>564</v>
      </c>
      <c r="C29" s="73" t="s">
        <v>323</v>
      </c>
      <c r="D29" s="73" t="s">
        <v>704</v>
      </c>
      <c r="E29" s="74">
        <v>1</v>
      </c>
      <c r="F29" s="73"/>
      <c r="G29" s="68"/>
    </row>
    <row r="30" spans="2:7">
      <c r="B30" s="72" t="s">
        <v>565</v>
      </c>
      <c r="C30" s="73" t="s">
        <v>324</v>
      </c>
      <c r="D30" s="73" t="s">
        <v>704</v>
      </c>
      <c r="E30" s="74">
        <v>1</v>
      </c>
      <c r="F30" s="73"/>
      <c r="G30" s="68"/>
    </row>
    <row r="31" spans="2:7">
      <c r="B31" s="72" t="s">
        <v>568</v>
      </c>
      <c r="C31" s="73" t="s">
        <v>325</v>
      </c>
      <c r="D31" s="73" t="s">
        <v>704</v>
      </c>
      <c r="E31" s="74">
        <v>2</v>
      </c>
      <c r="F31" s="73"/>
      <c r="G31" s="68"/>
    </row>
    <row r="32" spans="2:7">
      <c r="B32" s="72" t="s">
        <v>569</v>
      </c>
      <c r="C32" s="73" t="s">
        <v>326</v>
      </c>
      <c r="D32" s="73" t="s">
        <v>704</v>
      </c>
      <c r="E32" s="74">
        <v>2</v>
      </c>
      <c r="F32" s="73"/>
      <c r="G32" s="68"/>
    </row>
    <row r="33" spans="2:7">
      <c r="B33" s="72" t="s">
        <v>570</v>
      </c>
      <c r="C33" s="73" t="s">
        <v>327</v>
      </c>
      <c r="D33" s="73" t="s">
        <v>704</v>
      </c>
      <c r="E33" s="74">
        <v>2</v>
      </c>
      <c r="F33" s="73"/>
      <c r="G33" s="68"/>
    </row>
    <row r="34" spans="2:7">
      <c r="B34" s="72" t="s">
        <v>571</v>
      </c>
      <c r="C34" s="73" t="s">
        <v>328</v>
      </c>
      <c r="D34" s="73" t="s">
        <v>704</v>
      </c>
      <c r="E34" s="74">
        <v>2</v>
      </c>
      <c r="F34" s="73" t="s">
        <v>573</v>
      </c>
      <c r="G34" s="68"/>
    </row>
    <row r="35" spans="2:7">
      <c r="B35" s="72" t="s">
        <v>572</v>
      </c>
      <c r="C35" s="73" t="s">
        <v>329</v>
      </c>
      <c r="D35" s="73" t="s">
        <v>704</v>
      </c>
      <c r="E35" s="74">
        <v>2</v>
      </c>
      <c r="F35" s="73"/>
      <c r="G35" s="68"/>
    </row>
    <row r="36" spans="2:7">
      <c r="B36" s="72" t="s">
        <v>705</v>
      </c>
      <c r="C36" s="73" t="s">
        <v>336</v>
      </c>
      <c r="D36" s="73" t="s">
        <v>704</v>
      </c>
      <c r="E36" s="74">
        <v>1</v>
      </c>
      <c r="F36" s="73"/>
      <c r="G36" s="68"/>
    </row>
    <row r="37" spans="2:7">
      <c r="B37" s="72" t="s">
        <v>706</v>
      </c>
      <c r="C37" s="73" t="s">
        <v>337</v>
      </c>
      <c r="D37" s="73" t="s">
        <v>704</v>
      </c>
      <c r="E37" s="74">
        <v>1</v>
      </c>
      <c r="F37" s="73"/>
      <c r="G37" s="68"/>
    </row>
    <row r="38" spans="2:7">
      <c r="B38" s="72" t="s">
        <v>707</v>
      </c>
      <c r="C38" s="73" t="s">
        <v>338</v>
      </c>
      <c r="D38" s="73" t="s">
        <v>704</v>
      </c>
      <c r="E38" s="74">
        <v>1</v>
      </c>
      <c r="F38" s="73" t="s">
        <v>573</v>
      </c>
      <c r="G38" s="68"/>
    </row>
    <row r="39" spans="2:7">
      <c r="B39" s="72" t="s">
        <v>708</v>
      </c>
      <c r="C39" s="73" t="s">
        <v>339</v>
      </c>
      <c r="D39" s="73" t="s">
        <v>704</v>
      </c>
      <c r="E39" s="74">
        <v>1</v>
      </c>
      <c r="F39" s="73"/>
      <c r="G39" s="68"/>
    </row>
    <row r="40" spans="2:7">
      <c r="B40" s="72" t="s">
        <v>709</v>
      </c>
      <c r="C40" s="73" t="s">
        <v>340</v>
      </c>
      <c r="D40" s="73" t="s">
        <v>704</v>
      </c>
      <c r="E40" s="74">
        <v>1</v>
      </c>
      <c r="F40" s="73"/>
      <c r="G40" s="68"/>
    </row>
    <row r="41" spans="2:7">
      <c r="B41" s="72" t="s">
        <v>710</v>
      </c>
      <c r="C41" s="73" t="s">
        <v>341</v>
      </c>
      <c r="D41" s="73" t="s">
        <v>704</v>
      </c>
      <c r="E41" s="74">
        <v>1</v>
      </c>
      <c r="F41" s="73"/>
      <c r="G41" s="68"/>
    </row>
    <row r="42" spans="2:7">
      <c r="B42" s="72" t="s">
        <v>711</v>
      </c>
      <c r="C42" s="73" t="s">
        <v>342</v>
      </c>
      <c r="D42" s="73" t="s">
        <v>704</v>
      </c>
      <c r="E42" s="74">
        <v>1</v>
      </c>
      <c r="F42" s="73"/>
      <c r="G42" s="68"/>
    </row>
    <row r="43" spans="2:7">
      <c r="B43" s="72" t="s">
        <v>712</v>
      </c>
      <c r="C43" s="73" t="s">
        <v>343</v>
      </c>
      <c r="D43" s="73" t="s">
        <v>704</v>
      </c>
      <c r="E43" s="74">
        <v>1</v>
      </c>
      <c r="F43" s="73" t="s">
        <v>573</v>
      </c>
      <c r="G43" s="68"/>
    </row>
    <row r="44" spans="2:7">
      <c r="B44" s="72" t="s">
        <v>713</v>
      </c>
      <c r="C44" s="73" t="s">
        <v>344</v>
      </c>
      <c r="D44" s="73" t="s">
        <v>704</v>
      </c>
      <c r="E44" s="74">
        <v>1</v>
      </c>
      <c r="F44" s="73"/>
      <c r="G44" s="68"/>
    </row>
    <row r="45" spans="2:7">
      <c r="B45" s="72" t="s">
        <v>714</v>
      </c>
      <c r="C45" s="73" t="s">
        <v>345</v>
      </c>
      <c r="D45" s="73" t="s">
        <v>704</v>
      </c>
      <c r="E45" s="74">
        <v>1</v>
      </c>
      <c r="F45" s="73"/>
      <c r="G45" s="68"/>
    </row>
    <row r="46" spans="2:7">
      <c r="B46" s="72" t="s">
        <v>830</v>
      </c>
      <c r="C46" s="73" t="s">
        <v>346</v>
      </c>
      <c r="D46" s="73" t="s">
        <v>704</v>
      </c>
      <c r="E46" s="74">
        <v>1</v>
      </c>
      <c r="F46" s="73"/>
      <c r="G46" s="68"/>
    </row>
    <row r="47" spans="2:7">
      <c r="B47" s="72" t="s">
        <v>829</v>
      </c>
      <c r="C47" s="73" t="s">
        <v>347</v>
      </c>
      <c r="D47" s="73" t="s">
        <v>704</v>
      </c>
      <c r="E47" s="74">
        <v>1</v>
      </c>
      <c r="F47" s="73"/>
      <c r="G47" s="68"/>
    </row>
    <row r="48" spans="2:7">
      <c r="B48" s="72" t="s">
        <v>828</v>
      </c>
      <c r="C48" s="73" t="s">
        <v>348</v>
      </c>
      <c r="D48" s="73" t="s">
        <v>704</v>
      </c>
      <c r="E48" s="74">
        <v>1</v>
      </c>
      <c r="F48" s="73"/>
      <c r="G48" s="68"/>
    </row>
    <row r="49" spans="2:7">
      <c r="B49" s="72" t="s">
        <v>1486</v>
      </c>
      <c r="C49" s="73" t="s">
        <v>1487</v>
      </c>
      <c r="D49" s="73" t="s">
        <v>704</v>
      </c>
      <c r="E49" s="74">
        <v>1</v>
      </c>
      <c r="F49" s="73"/>
      <c r="G49" s="68"/>
    </row>
    <row r="50" spans="2:7">
      <c r="B50" s="72" t="s">
        <v>831</v>
      </c>
      <c r="C50" s="73" t="s">
        <v>695</v>
      </c>
      <c r="D50" s="73" t="s">
        <v>704</v>
      </c>
      <c r="E50" s="74">
        <v>1</v>
      </c>
      <c r="F50" s="73"/>
      <c r="G50" s="68"/>
    </row>
    <row r="51" spans="2:7">
      <c r="B51" s="72" t="s">
        <v>832</v>
      </c>
      <c r="C51" s="73" t="s">
        <v>696</v>
      </c>
      <c r="D51" s="73" t="s">
        <v>704</v>
      </c>
      <c r="E51" s="74">
        <v>1</v>
      </c>
      <c r="F51" s="73"/>
      <c r="G51" s="68"/>
    </row>
    <row r="52" spans="2:7">
      <c r="B52" s="72" t="s">
        <v>833</v>
      </c>
      <c r="C52" s="73" t="s">
        <v>693</v>
      </c>
      <c r="D52" s="73" t="s">
        <v>704</v>
      </c>
      <c r="E52" s="74">
        <v>1</v>
      </c>
      <c r="F52" s="73" t="s">
        <v>697</v>
      </c>
      <c r="G52" s="68"/>
    </row>
    <row r="53" spans="2:7">
      <c r="B53" s="72" t="s">
        <v>834</v>
      </c>
      <c r="C53" s="73" t="s">
        <v>349</v>
      </c>
      <c r="D53" s="73" t="s">
        <v>704</v>
      </c>
      <c r="E53" s="74">
        <v>1</v>
      </c>
      <c r="F53" s="73"/>
      <c r="G53" s="68"/>
    </row>
    <row r="54" spans="2:7">
      <c r="B54" s="72" t="s">
        <v>835</v>
      </c>
      <c r="C54" s="73" t="s">
        <v>694</v>
      </c>
      <c r="D54" s="73" t="s">
        <v>704</v>
      </c>
      <c r="E54" s="74">
        <v>1</v>
      </c>
      <c r="F54" s="73" t="s">
        <v>697</v>
      </c>
      <c r="G54" s="68"/>
    </row>
    <row r="55" spans="2:7">
      <c r="B55" s="72" t="s">
        <v>836</v>
      </c>
      <c r="C55" s="73" t="s">
        <v>698</v>
      </c>
      <c r="D55" s="73" t="s">
        <v>704</v>
      </c>
      <c r="E55" s="74">
        <v>1</v>
      </c>
      <c r="F55" s="73" t="s">
        <v>699</v>
      </c>
      <c r="G55" s="68"/>
    </row>
    <row r="56" spans="2:7">
      <c r="B56" s="72" t="s">
        <v>837</v>
      </c>
      <c r="C56" s="73" t="s">
        <v>698</v>
      </c>
      <c r="D56" s="73" t="s">
        <v>704</v>
      </c>
      <c r="E56" s="74">
        <v>1</v>
      </c>
      <c r="F56" s="73" t="s">
        <v>699</v>
      </c>
      <c r="G56" s="68"/>
    </row>
    <row r="57" spans="2:7" hidden="1">
      <c r="B57" s="72" t="s">
        <v>689</v>
      </c>
      <c r="C57" s="73" t="s">
        <v>297</v>
      </c>
      <c r="D57" s="73" t="s">
        <v>308</v>
      </c>
      <c r="E57" s="74">
        <v>1</v>
      </c>
      <c r="F57" s="73"/>
      <c r="G57" s="68"/>
    </row>
    <row r="58" spans="2:7">
      <c r="B58" s="72" t="s">
        <v>838</v>
      </c>
      <c r="C58" s="73" t="s">
        <v>350</v>
      </c>
      <c r="D58" s="73" t="s">
        <v>704</v>
      </c>
      <c r="E58" s="74">
        <v>1</v>
      </c>
      <c r="F58" s="73"/>
      <c r="G58" s="68"/>
    </row>
    <row r="59" spans="2:7">
      <c r="B59" s="72" t="s">
        <v>715</v>
      </c>
      <c r="C59" s="73" t="s">
        <v>351</v>
      </c>
      <c r="D59" s="73" t="s">
        <v>704</v>
      </c>
      <c r="E59" s="74">
        <v>1</v>
      </c>
      <c r="F59" s="73"/>
      <c r="G59" s="68"/>
    </row>
    <row r="60" spans="2:7">
      <c r="B60" s="72" t="s">
        <v>716</v>
      </c>
      <c r="C60" s="73" t="s">
        <v>352</v>
      </c>
      <c r="D60" s="73" t="s">
        <v>704</v>
      </c>
      <c r="E60" s="74">
        <v>1</v>
      </c>
      <c r="F60" s="73"/>
      <c r="G60" s="68"/>
    </row>
    <row r="61" spans="2:7">
      <c r="B61" s="72" t="s">
        <v>1493</v>
      </c>
      <c r="C61" s="73" t="s">
        <v>1494</v>
      </c>
      <c r="D61" s="73" t="s">
        <v>704</v>
      </c>
      <c r="E61" s="74">
        <v>1</v>
      </c>
      <c r="F61" s="73"/>
      <c r="G61" s="68"/>
    </row>
    <row r="62" spans="2:7">
      <c r="B62" s="72" t="s">
        <v>1490</v>
      </c>
      <c r="C62" s="73" t="s">
        <v>353</v>
      </c>
      <c r="D62" s="73" t="s">
        <v>704</v>
      </c>
      <c r="E62" s="74">
        <v>1</v>
      </c>
      <c r="F62" s="73"/>
      <c r="G62" s="68"/>
    </row>
    <row r="63" spans="2:7">
      <c r="B63" s="72" t="s">
        <v>1497</v>
      </c>
      <c r="C63" s="73" t="s">
        <v>1498</v>
      </c>
      <c r="D63" s="73" t="s">
        <v>704</v>
      </c>
      <c r="E63" s="74">
        <v>1</v>
      </c>
      <c r="F63" s="73"/>
      <c r="G63" s="68"/>
    </row>
    <row r="64" spans="2:7">
      <c r="B64" s="72" t="s">
        <v>1495</v>
      </c>
      <c r="C64" s="73" t="s">
        <v>1496</v>
      </c>
      <c r="D64" s="73" t="s">
        <v>704</v>
      </c>
      <c r="E64" s="74">
        <v>1</v>
      </c>
      <c r="F64" s="73"/>
      <c r="G64" s="68"/>
    </row>
    <row r="65" spans="2:7">
      <c r="B65" s="72" t="s">
        <v>1488</v>
      </c>
      <c r="C65" s="73" t="s">
        <v>1489</v>
      </c>
      <c r="D65" s="73" t="s">
        <v>704</v>
      </c>
      <c r="E65" s="74">
        <v>1</v>
      </c>
      <c r="F65" s="73"/>
      <c r="G65" s="68"/>
    </row>
    <row r="66" spans="2:7">
      <c r="B66" s="72" t="s">
        <v>1491</v>
      </c>
      <c r="C66" s="73" t="s">
        <v>1492</v>
      </c>
      <c r="D66" s="73" t="s">
        <v>704</v>
      </c>
      <c r="E66" s="74">
        <v>1</v>
      </c>
      <c r="F66" s="73"/>
      <c r="G66" s="68"/>
    </row>
    <row r="67" spans="2:7">
      <c r="B67" s="72" t="s">
        <v>690</v>
      </c>
      <c r="C67" s="73" t="s">
        <v>298</v>
      </c>
      <c r="D67" s="73" t="s">
        <v>308</v>
      </c>
      <c r="E67" s="74">
        <v>1</v>
      </c>
      <c r="F67" s="73"/>
      <c r="G67" s="68"/>
    </row>
    <row r="68" spans="2:7" ht="24.75" customHeight="1">
      <c r="B68" s="72" t="s">
        <v>582</v>
      </c>
      <c r="C68" s="73" t="s">
        <v>299</v>
      </c>
      <c r="D68" s="73" t="s">
        <v>308</v>
      </c>
      <c r="E68" s="74">
        <v>1</v>
      </c>
      <c r="F68" s="73"/>
      <c r="G68" s="68"/>
    </row>
    <row r="69" spans="2:7">
      <c r="B69" s="72" t="s">
        <v>717</v>
      </c>
      <c r="C69" s="73" t="s">
        <v>354</v>
      </c>
      <c r="D69" s="73" t="s">
        <v>704</v>
      </c>
      <c r="E69" s="74">
        <v>1</v>
      </c>
      <c r="F69" s="73"/>
      <c r="G69" s="68"/>
    </row>
    <row r="70" spans="2:7">
      <c r="B70" s="72" t="s">
        <v>718</v>
      </c>
      <c r="C70" s="73" t="s">
        <v>355</v>
      </c>
      <c r="D70" s="73" t="s">
        <v>704</v>
      </c>
      <c r="E70" s="74">
        <v>1</v>
      </c>
      <c r="F70" s="73"/>
      <c r="G70" s="68"/>
    </row>
    <row r="71" spans="2:7">
      <c r="B71" s="72" t="s">
        <v>719</v>
      </c>
      <c r="C71" s="73" t="s">
        <v>356</v>
      </c>
      <c r="D71" s="73" t="s">
        <v>704</v>
      </c>
      <c r="E71" s="74">
        <v>1</v>
      </c>
      <c r="F71" s="73"/>
      <c r="G71" s="68"/>
    </row>
    <row r="72" spans="2:7">
      <c r="B72" s="72" t="s">
        <v>720</v>
      </c>
      <c r="C72" s="73" t="s">
        <v>357</v>
      </c>
      <c r="D72" s="73" t="s">
        <v>704</v>
      </c>
      <c r="E72" s="74">
        <v>1</v>
      </c>
      <c r="F72" s="73"/>
      <c r="G72" s="68"/>
    </row>
    <row r="73" spans="2:7">
      <c r="B73" s="72" t="s">
        <v>721</v>
      </c>
      <c r="C73" s="73" t="s">
        <v>358</v>
      </c>
      <c r="D73" s="73" t="s">
        <v>704</v>
      </c>
      <c r="E73" s="74">
        <v>1</v>
      </c>
      <c r="F73" s="73"/>
      <c r="G73" s="68"/>
    </row>
    <row r="74" spans="2:7">
      <c r="B74" s="72" t="s">
        <v>722</v>
      </c>
      <c r="C74" s="73" t="s">
        <v>359</v>
      </c>
      <c r="D74" s="73" t="s">
        <v>704</v>
      </c>
      <c r="E74" s="74">
        <v>1</v>
      </c>
      <c r="F74" s="73"/>
      <c r="G74" s="68"/>
    </row>
    <row r="75" spans="2:7">
      <c r="B75" s="72" t="s">
        <v>825</v>
      </c>
      <c r="C75" s="73" t="s">
        <v>360</v>
      </c>
      <c r="D75" s="73" t="s">
        <v>704</v>
      </c>
      <c r="E75" s="74">
        <v>1</v>
      </c>
      <c r="F75" s="73"/>
      <c r="G75" s="68"/>
    </row>
    <row r="76" spans="2:7">
      <c r="B76" s="72" t="s">
        <v>826</v>
      </c>
      <c r="C76" s="73" t="s">
        <v>361</v>
      </c>
      <c r="D76" s="73" t="s">
        <v>704</v>
      </c>
      <c r="E76" s="74">
        <v>1</v>
      </c>
      <c r="F76" s="73"/>
      <c r="G76" s="68"/>
    </row>
    <row r="77" spans="2:7">
      <c r="B77" s="72" t="s">
        <v>827</v>
      </c>
      <c r="C77" s="73" t="s">
        <v>362</v>
      </c>
      <c r="D77" s="73" t="s">
        <v>704</v>
      </c>
      <c r="E77" s="74">
        <v>1</v>
      </c>
      <c r="F77" s="73"/>
      <c r="G77" s="68"/>
    </row>
    <row r="78" spans="2:7">
      <c r="B78" s="72" t="s">
        <v>723</v>
      </c>
      <c r="C78" s="73" t="s">
        <v>363</v>
      </c>
      <c r="D78" s="73" t="s">
        <v>704</v>
      </c>
      <c r="E78" s="74">
        <v>1</v>
      </c>
      <c r="F78" s="73"/>
      <c r="G78" s="68"/>
    </row>
    <row r="79" spans="2:7">
      <c r="B79" s="72" t="s">
        <v>724</v>
      </c>
      <c r="C79" s="73" t="s">
        <v>364</v>
      </c>
      <c r="D79" s="73" t="s">
        <v>704</v>
      </c>
      <c r="E79" s="74">
        <v>1</v>
      </c>
      <c r="F79" s="73"/>
      <c r="G79" s="68"/>
    </row>
    <row r="80" spans="2:7" hidden="1">
      <c r="B80" s="72" t="s">
        <v>583</v>
      </c>
      <c r="C80" s="73" t="s">
        <v>300</v>
      </c>
      <c r="D80" s="73" t="s">
        <v>308</v>
      </c>
      <c r="E80" s="74">
        <v>1</v>
      </c>
      <c r="F80" s="73" t="s">
        <v>575</v>
      </c>
      <c r="G80" s="68"/>
    </row>
    <row r="81" spans="2:7" hidden="1">
      <c r="B81" s="72" t="s">
        <v>584</v>
      </c>
      <c r="C81" s="73" t="s">
        <v>301</v>
      </c>
      <c r="D81" s="73" t="s">
        <v>308</v>
      </c>
      <c r="E81" s="74">
        <v>0</v>
      </c>
      <c r="F81" s="73"/>
      <c r="G81" s="68"/>
    </row>
    <row r="82" spans="2:7" hidden="1">
      <c r="B82" s="72" t="s">
        <v>585</v>
      </c>
      <c r="C82" s="73" t="s">
        <v>302</v>
      </c>
      <c r="D82" s="73" t="s">
        <v>308</v>
      </c>
      <c r="E82" s="74">
        <v>0</v>
      </c>
      <c r="F82" s="73" t="s">
        <v>556</v>
      </c>
      <c r="G82" s="68"/>
    </row>
    <row r="83" spans="2:7" hidden="1">
      <c r="B83" s="72" t="s">
        <v>586</v>
      </c>
      <c r="C83" s="73" t="s">
        <v>303</v>
      </c>
      <c r="D83" s="73" t="s">
        <v>308</v>
      </c>
      <c r="E83" s="74">
        <v>0</v>
      </c>
      <c r="F83" s="73" t="s">
        <v>587</v>
      </c>
      <c r="G83" s="68"/>
    </row>
    <row r="84" spans="2:7" hidden="1">
      <c r="B84" s="72" t="s">
        <v>588</v>
      </c>
      <c r="C84" s="73" t="s">
        <v>304</v>
      </c>
      <c r="D84" s="73" t="s">
        <v>308</v>
      </c>
      <c r="E84" s="74">
        <v>1</v>
      </c>
      <c r="F84" s="73"/>
      <c r="G84" s="68"/>
    </row>
    <row r="85" spans="2:7">
      <c r="B85" s="72" t="s">
        <v>725</v>
      </c>
      <c r="C85" s="73" t="s">
        <v>365</v>
      </c>
      <c r="D85" s="73" t="s">
        <v>704</v>
      </c>
      <c r="E85" s="74">
        <v>2</v>
      </c>
      <c r="F85" s="73"/>
      <c r="G85" s="68"/>
    </row>
    <row r="86" spans="2:7">
      <c r="B86" s="72" t="s">
        <v>726</v>
      </c>
      <c r="C86" s="73" t="s">
        <v>366</v>
      </c>
      <c r="D86" s="73" t="s">
        <v>704</v>
      </c>
      <c r="E86" s="74">
        <v>2</v>
      </c>
      <c r="F86" s="73"/>
      <c r="G86" s="68"/>
    </row>
    <row r="87" spans="2:7">
      <c r="B87" s="72" t="s">
        <v>823</v>
      </c>
      <c r="C87" s="73" t="s">
        <v>367</v>
      </c>
      <c r="D87" s="73" t="s">
        <v>704</v>
      </c>
      <c r="E87" s="74">
        <v>2</v>
      </c>
      <c r="F87" s="73" t="s">
        <v>573</v>
      </c>
      <c r="G87" s="68"/>
    </row>
    <row r="88" spans="2:7">
      <c r="B88" s="72" t="s">
        <v>824</v>
      </c>
      <c r="C88" s="73" t="s">
        <v>589</v>
      </c>
      <c r="D88" s="73" t="s">
        <v>704</v>
      </c>
      <c r="E88" s="74">
        <v>2</v>
      </c>
      <c r="F88" s="73"/>
      <c r="G88" s="68"/>
    </row>
    <row r="89" spans="2:7">
      <c r="B89" s="72" t="s">
        <v>727</v>
      </c>
      <c r="C89" s="73" t="s">
        <v>368</v>
      </c>
      <c r="D89" s="73" t="s">
        <v>704</v>
      </c>
      <c r="E89" s="74">
        <v>1</v>
      </c>
      <c r="F89" s="73"/>
      <c r="G89" s="68"/>
    </row>
    <row r="90" spans="2:7">
      <c r="B90" s="72" t="s">
        <v>728</v>
      </c>
      <c r="C90" s="73" t="s">
        <v>369</v>
      </c>
      <c r="D90" s="73" t="s">
        <v>704</v>
      </c>
      <c r="E90" s="74">
        <v>1</v>
      </c>
      <c r="F90" s="73"/>
      <c r="G90" s="68"/>
    </row>
    <row r="91" spans="2:7">
      <c r="B91" s="72" t="s">
        <v>816</v>
      </c>
      <c r="C91" s="73" t="s">
        <v>370</v>
      </c>
      <c r="D91" s="73" t="s">
        <v>704</v>
      </c>
      <c r="E91" s="74">
        <v>1</v>
      </c>
      <c r="F91" s="73"/>
      <c r="G91" s="68"/>
    </row>
    <row r="92" spans="2:7">
      <c r="B92" s="72" t="s">
        <v>817</v>
      </c>
      <c r="C92" s="73" t="s">
        <v>371</v>
      </c>
      <c r="D92" s="73" t="s">
        <v>704</v>
      </c>
      <c r="E92" s="74">
        <v>1</v>
      </c>
      <c r="F92" s="73"/>
      <c r="G92" s="68"/>
    </row>
    <row r="93" spans="2:7">
      <c r="B93" s="72" t="s">
        <v>818</v>
      </c>
      <c r="C93" s="73" t="s">
        <v>372</v>
      </c>
      <c r="D93" s="73" t="s">
        <v>704</v>
      </c>
      <c r="E93" s="74">
        <v>1</v>
      </c>
      <c r="F93" s="73"/>
      <c r="G93" s="68"/>
    </row>
    <row r="94" spans="2:7">
      <c r="B94" s="72" t="s">
        <v>819</v>
      </c>
      <c r="C94" s="73" t="s">
        <v>373</v>
      </c>
      <c r="D94" s="73" t="s">
        <v>704</v>
      </c>
      <c r="E94" s="74">
        <v>1</v>
      </c>
      <c r="F94" s="73"/>
      <c r="G94" s="68"/>
    </row>
    <row r="95" spans="2:7">
      <c r="B95" s="72" t="s">
        <v>820</v>
      </c>
      <c r="C95" s="73" t="s">
        <v>374</v>
      </c>
      <c r="D95" s="73" t="s">
        <v>704</v>
      </c>
      <c r="E95" s="74">
        <v>1</v>
      </c>
      <c r="F95" s="73"/>
      <c r="G95" s="68"/>
    </row>
    <row r="96" spans="2:7">
      <c r="B96" s="72" t="s">
        <v>821</v>
      </c>
      <c r="C96" s="73" t="s">
        <v>590</v>
      </c>
      <c r="D96" s="73" t="s">
        <v>704</v>
      </c>
      <c r="E96" s="74">
        <v>1</v>
      </c>
      <c r="F96" s="73"/>
      <c r="G96" s="68"/>
    </row>
    <row r="97" spans="2:7">
      <c r="B97" s="72" t="s">
        <v>822</v>
      </c>
      <c r="C97" s="73" t="s">
        <v>591</v>
      </c>
      <c r="D97" s="73" t="s">
        <v>704</v>
      </c>
      <c r="E97" s="74">
        <v>1</v>
      </c>
      <c r="F97" s="73"/>
      <c r="G97" s="68"/>
    </row>
    <row r="98" spans="2:7">
      <c r="B98" s="72" t="s">
        <v>808</v>
      </c>
      <c r="C98" s="73" t="s">
        <v>375</v>
      </c>
      <c r="D98" s="73" t="s">
        <v>704</v>
      </c>
      <c r="E98" s="74">
        <v>1</v>
      </c>
      <c r="F98" s="73"/>
      <c r="G98" s="68"/>
    </row>
    <row r="99" spans="2:7">
      <c r="B99" s="72" t="s">
        <v>809</v>
      </c>
      <c r="C99" s="73" t="s">
        <v>376</v>
      </c>
      <c r="D99" s="73" t="s">
        <v>704</v>
      </c>
      <c r="E99" s="74">
        <v>1</v>
      </c>
      <c r="F99" s="73"/>
      <c r="G99" s="68"/>
    </row>
    <row r="100" spans="2:7">
      <c r="B100" s="72" t="s">
        <v>810</v>
      </c>
      <c r="C100" s="73" t="s">
        <v>592</v>
      </c>
      <c r="D100" s="73" t="s">
        <v>704</v>
      </c>
      <c r="E100" s="74">
        <v>1</v>
      </c>
      <c r="F100" s="73"/>
      <c r="G100" s="68"/>
    </row>
    <row r="101" spans="2:7">
      <c r="B101" s="72" t="s">
        <v>811</v>
      </c>
      <c r="C101" s="73" t="s">
        <v>593</v>
      </c>
      <c r="D101" s="73" t="s">
        <v>704</v>
      </c>
      <c r="E101" s="74">
        <v>1</v>
      </c>
      <c r="F101" s="73" t="s">
        <v>594</v>
      </c>
      <c r="G101" s="68"/>
    </row>
    <row r="102" spans="2:7">
      <c r="B102" s="72" t="s">
        <v>812</v>
      </c>
      <c r="C102" s="73" t="s">
        <v>595</v>
      </c>
      <c r="D102" s="73" t="s">
        <v>704</v>
      </c>
      <c r="E102" s="74">
        <v>1</v>
      </c>
      <c r="F102" s="73"/>
      <c r="G102" s="68"/>
    </row>
    <row r="103" spans="2:7">
      <c r="B103" s="72" t="s">
        <v>813</v>
      </c>
      <c r="C103" s="73" t="s">
        <v>596</v>
      </c>
      <c r="D103" s="73" t="s">
        <v>704</v>
      </c>
      <c r="E103" s="74">
        <v>1</v>
      </c>
      <c r="F103" s="73"/>
      <c r="G103" s="68"/>
    </row>
    <row r="104" spans="2:7">
      <c r="B104" s="72" t="s">
        <v>814</v>
      </c>
      <c r="C104" s="73" t="s">
        <v>597</v>
      </c>
      <c r="D104" s="73" t="s">
        <v>704</v>
      </c>
      <c r="E104" s="74">
        <v>1</v>
      </c>
      <c r="F104" s="73"/>
      <c r="G104" s="68"/>
    </row>
    <row r="105" spans="2:7">
      <c r="B105" s="72" t="s">
        <v>815</v>
      </c>
      <c r="C105" s="73" t="s">
        <v>598</v>
      </c>
      <c r="D105" s="73" t="s">
        <v>704</v>
      </c>
      <c r="E105" s="74">
        <v>1</v>
      </c>
      <c r="F105" s="73"/>
      <c r="G105" s="68"/>
    </row>
    <row r="106" spans="2:7">
      <c r="B106" s="72" t="s">
        <v>599</v>
      </c>
      <c r="C106" s="73" t="s">
        <v>377</v>
      </c>
      <c r="D106" s="73" t="s">
        <v>704</v>
      </c>
      <c r="E106" s="74">
        <v>1</v>
      </c>
      <c r="F106" s="74" t="s">
        <v>700</v>
      </c>
      <c r="G106" s="68"/>
    </row>
    <row r="107" spans="2:7">
      <c r="B107" s="72" t="s">
        <v>804</v>
      </c>
      <c r="C107" s="73" t="s">
        <v>600</v>
      </c>
      <c r="D107" s="73" t="s">
        <v>704</v>
      </c>
      <c r="E107" s="74">
        <v>1</v>
      </c>
      <c r="F107" s="73"/>
      <c r="G107" s="68"/>
    </row>
    <row r="108" spans="2:7">
      <c r="B108" s="72" t="s">
        <v>805</v>
      </c>
      <c r="C108" s="73" t="s">
        <v>601</v>
      </c>
      <c r="D108" s="73" t="s">
        <v>704</v>
      </c>
      <c r="E108" s="74">
        <v>1</v>
      </c>
      <c r="F108" s="73"/>
      <c r="G108" s="68"/>
    </row>
    <row r="109" spans="2:7">
      <c r="B109" s="72" t="s">
        <v>806</v>
      </c>
      <c r="C109" s="73" t="s">
        <v>602</v>
      </c>
      <c r="D109" s="73" t="s">
        <v>704</v>
      </c>
      <c r="E109" s="74">
        <v>1</v>
      </c>
      <c r="F109" s="73"/>
      <c r="G109" s="68"/>
    </row>
    <row r="110" spans="2:7">
      <c r="B110" s="72" t="s">
        <v>807</v>
      </c>
      <c r="C110" s="73" t="s">
        <v>603</v>
      </c>
      <c r="D110" s="73" t="s">
        <v>704</v>
      </c>
      <c r="E110" s="74">
        <v>1</v>
      </c>
      <c r="F110" s="73"/>
      <c r="G110" s="68"/>
    </row>
    <row r="111" spans="2:7">
      <c r="B111" s="72" t="s">
        <v>792</v>
      </c>
      <c r="C111" s="73" t="s">
        <v>472</v>
      </c>
      <c r="D111" s="73" t="s">
        <v>704</v>
      </c>
      <c r="E111" s="74">
        <v>1</v>
      </c>
      <c r="F111" s="73" t="s">
        <v>509</v>
      </c>
      <c r="G111" s="68"/>
    </row>
    <row r="112" spans="2:7">
      <c r="B112" s="72" t="s">
        <v>670</v>
      </c>
      <c r="C112" s="73" t="s">
        <v>473</v>
      </c>
      <c r="D112" s="73" t="s">
        <v>704</v>
      </c>
      <c r="E112" s="74">
        <v>1</v>
      </c>
      <c r="F112" s="73"/>
      <c r="G112" s="68"/>
    </row>
    <row r="113" spans="2:7">
      <c r="B113" s="72" t="s">
        <v>729</v>
      </c>
      <c r="C113" s="73" t="s">
        <v>385</v>
      </c>
      <c r="D113" s="73" t="s">
        <v>704</v>
      </c>
      <c r="E113" s="74">
        <v>2</v>
      </c>
      <c r="F113" s="73"/>
      <c r="G113" s="68"/>
    </row>
    <row r="114" spans="2:7">
      <c r="B114" s="72" t="s">
        <v>730</v>
      </c>
      <c r="C114" s="73" t="s">
        <v>386</v>
      </c>
      <c r="D114" s="73" t="s">
        <v>704</v>
      </c>
      <c r="E114" s="74">
        <v>2</v>
      </c>
      <c r="F114" s="73"/>
      <c r="G114" s="68"/>
    </row>
    <row r="115" spans="2:7">
      <c r="B115" s="72" t="s">
        <v>731</v>
      </c>
      <c r="C115" s="73" t="s">
        <v>387</v>
      </c>
      <c r="D115" s="73" t="s">
        <v>704</v>
      </c>
      <c r="E115" s="74">
        <v>2</v>
      </c>
      <c r="F115" s="73"/>
      <c r="G115" s="68"/>
    </row>
    <row r="116" spans="2:7">
      <c r="B116" s="72" t="s">
        <v>732</v>
      </c>
      <c r="C116" s="73" t="s">
        <v>388</v>
      </c>
      <c r="D116" s="73" t="s">
        <v>704</v>
      </c>
      <c r="E116" s="74">
        <v>2</v>
      </c>
      <c r="F116" s="73"/>
      <c r="G116" s="68"/>
    </row>
    <row r="117" spans="2:7">
      <c r="B117" s="72" t="s">
        <v>733</v>
      </c>
      <c r="C117" s="73" t="s">
        <v>389</v>
      </c>
      <c r="D117" s="73" t="s">
        <v>704</v>
      </c>
      <c r="E117" s="74">
        <v>2</v>
      </c>
      <c r="F117" s="73"/>
      <c r="G117" s="68"/>
    </row>
    <row r="118" spans="2:7">
      <c r="B118" s="72" t="s">
        <v>734</v>
      </c>
      <c r="C118" s="73" t="s">
        <v>390</v>
      </c>
      <c r="D118" s="73" t="s">
        <v>704</v>
      </c>
      <c r="E118" s="74">
        <v>2</v>
      </c>
      <c r="F118" s="73"/>
      <c r="G118" s="68"/>
    </row>
    <row r="119" spans="2:7">
      <c r="B119" s="72" t="s">
        <v>803</v>
      </c>
      <c r="C119" s="73" t="s">
        <v>495</v>
      </c>
      <c r="D119" s="73" t="s">
        <v>704</v>
      </c>
      <c r="E119" s="74">
        <v>1</v>
      </c>
      <c r="F119" s="73" t="s">
        <v>518</v>
      </c>
      <c r="G119" s="68"/>
    </row>
    <row r="120" spans="2:7">
      <c r="B120" s="72" t="s">
        <v>735</v>
      </c>
      <c r="C120" s="73" t="s">
        <v>604</v>
      </c>
      <c r="D120" s="73" t="s">
        <v>704</v>
      </c>
      <c r="E120" s="74">
        <v>1</v>
      </c>
      <c r="F120" s="73"/>
      <c r="G120" s="68"/>
    </row>
    <row r="121" spans="2:7">
      <c r="B121" s="72" t="s">
        <v>736</v>
      </c>
      <c r="C121" s="73" t="s">
        <v>605</v>
      </c>
      <c r="D121" s="73" t="s">
        <v>704</v>
      </c>
      <c r="E121" s="74">
        <v>1</v>
      </c>
      <c r="F121" s="73"/>
      <c r="G121" s="68"/>
    </row>
    <row r="122" spans="2:7" hidden="1">
      <c r="B122" s="72" t="s">
        <v>606</v>
      </c>
      <c r="C122" s="73" t="s">
        <v>305</v>
      </c>
      <c r="D122" s="73" t="s">
        <v>308</v>
      </c>
      <c r="E122" s="74">
        <v>0</v>
      </c>
      <c r="F122" s="73"/>
      <c r="G122" s="68"/>
    </row>
    <row r="123" spans="2:7" hidden="1">
      <c r="B123" s="72" t="s">
        <v>607</v>
      </c>
      <c r="C123" s="73" t="s">
        <v>306</v>
      </c>
      <c r="D123" s="73" t="s">
        <v>308</v>
      </c>
      <c r="E123" s="74">
        <v>1</v>
      </c>
      <c r="F123" s="73" t="s">
        <v>575</v>
      </c>
      <c r="G123" s="68"/>
    </row>
    <row r="124" spans="2:7">
      <c r="B124" s="72" t="s">
        <v>608</v>
      </c>
      <c r="C124" s="73" t="s">
        <v>391</v>
      </c>
      <c r="D124" s="73" t="s">
        <v>704</v>
      </c>
      <c r="E124" s="74">
        <v>1</v>
      </c>
      <c r="F124" s="73" t="s">
        <v>496</v>
      </c>
      <c r="G124" s="68"/>
    </row>
    <row r="125" spans="2:7">
      <c r="B125" s="72" t="s">
        <v>609</v>
      </c>
      <c r="C125" s="73" t="s">
        <v>392</v>
      </c>
      <c r="D125" s="73" t="s">
        <v>704</v>
      </c>
      <c r="E125" s="74">
        <v>1</v>
      </c>
      <c r="F125" s="73" t="s">
        <v>497</v>
      </c>
      <c r="G125" s="68"/>
    </row>
    <row r="126" spans="2:7">
      <c r="B126" s="72" t="s">
        <v>610</v>
      </c>
      <c r="C126" s="73" t="s">
        <v>393</v>
      </c>
      <c r="D126" s="73" t="s">
        <v>704</v>
      </c>
      <c r="E126" s="74">
        <v>1</v>
      </c>
      <c r="F126" s="73"/>
      <c r="G126" s="68"/>
    </row>
    <row r="127" spans="2:7">
      <c r="B127" s="72" t="s">
        <v>611</v>
      </c>
      <c r="C127" s="73" t="s">
        <v>394</v>
      </c>
      <c r="D127" s="73" t="s">
        <v>704</v>
      </c>
      <c r="E127" s="74">
        <v>1</v>
      </c>
      <c r="F127" s="73"/>
      <c r="G127" s="68"/>
    </row>
    <row r="128" spans="2:7">
      <c r="B128" s="72" t="s">
        <v>612</v>
      </c>
      <c r="C128" s="73" t="s">
        <v>395</v>
      </c>
      <c r="D128" s="73" t="s">
        <v>704</v>
      </c>
      <c r="E128" s="74">
        <v>1</v>
      </c>
      <c r="F128" s="73"/>
      <c r="G128" s="68"/>
    </row>
    <row r="129" spans="2:7">
      <c r="B129" s="72" t="s">
        <v>613</v>
      </c>
      <c r="C129" s="73" t="s">
        <v>396</v>
      </c>
      <c r="D129" s="73" t="s">
        <v>704</v>
      </c>
      <c r="E129" s="74">
        <v>1</v>
      </c>
      <c r="F129" s="73"/>
      <c r="G129" s="68"/>
    </row>
    <row r="130" spans="2:7">
      <c r="B130" s="72" t="s">
        <v>614</v>
      </c>
      <c r="C130" s="73" t="s">
        <v>397</v>
      </c>
      <c r="D130" s="73" t="s">
        <v>704</v>
      </c>
      <c r="E130" s="74">
        <v>1</v>
      </c>
      <c r="F130" s="73"/>
      <c r="G130" s="68"/>
    </row>
    <row r="131" spans="2:7">
      <c r="B131" s="72" t="s">
        <v>737</v>
      </c>
      <c r="C131" s="73" t="s">
        <v>398</v>
      </c>
      <c r="D131" s="73" t="s">
        <v>704</v>
      </c>
      <c r="E131" s="74">
        <v>2</v>
      </c>
      <c r="F131" s="73"/>
      <c r="G131" s="68"/>
    </row>
    <row r="132" spans="2:7">
      <c r="B132" s="72" t="s">
        <v>738</v>
      </c>
      <c r="C132" s="73" t="s">
        <v>399</v>
      </c>
      <c r="D132" s="73" t="s">
        <v>704</v>
      </c>
      <c r="E132" s="74">
        <v>2</v>
      </c>
      <c r="F132" s="73"/>
      <c r="G132" s="68"/>
    </row>
    <row r="133" spans="2:7">
      <c r="B133" s="72" t="s">
        <v>739</v>
      </c>
      <c r="C133" s="73" t="s">
        <v>400</v>
      </c>
      <c r="D133" s="73" t="s">
        <v>704</v>
      </c>
      <c r="E133" s="74">
        <v>2</v>
      </c>
      <c r="F133" s="73"/>
      <c r="G133" s="68"/>
    </row>
    <row r="134" spans="2:7">
      <c r="B134" s="72" t="s">
        <v>740</v>
      </c>
      <c r="C134" s="73" t="s">
        <v>401</v>
      </c>
      <c r="D134" s="73" t="s">
        <v>704</v>
      </c>
      <c r="E134" s="74">
        <v>2</v>
      </c>
      <c r="F134" s="73"/>
      <c r="G134" s="68"/>
    </row>
    <row r="135" spans="2:7">
      <c r="B135" s="72" t="s">
        <v>741</v>
      </c>
      <c r="C135" s="73" t="s">
        <v>402</v>
      </c>
      <c r="D135" s="73" t="s">
        <v>704</v>
      </c>
      <c r="E135" s="74">
        <v>2</v>
      </c>
      <c r="F135" s="73"/>
      <c r="G135" s="68"/>
    </row>
    <row r="136" spans="2:7">
      <c r="B136" s="72" t="s">
        <v>742</v>
      </c>
      <c r="C136" s="73" t="s">
        <v>403</v>
      </c>
      <c r="D136" s="73" t="s">
        <v>704</v>
      </c>
      <c r="E136" s="74">
        <v>2</v>
      </c>
      <c r="F136" s="73"/>
      <c r="G136" s="68"/>
    </row>
    <row r="137" spans="2:7">
      <c r="B137" s="72" t="s">
        <v>743</v>
      </c>
      <c r="C137" s="73" t="s">
        <v>404</v>
      </c>
      <c r="D137" s="73" t="s">
        <v>704</v>
      </c>
      <c r="E137" s="74">
        <v>2</v>
      </c>
      <c r="F137" s="73"/>
      <c r="G137" s="68"/>
    </row>
    <row r="138" spans="2:7">
      <c r="B138" s="72" t="s">
        <v>744</v>
      </c>
      <c r="C138" s="73" t="s">
        <v>405</v>
      </c>
      <c r="D138" s="73" t="s">
        <v>704</v>
      </c>
      <c r="E138" s="74">
        <v>2</v>
      </c>
      <c r="F138" s="73"/>
      <c r="G138" s="68"/>
    </row>
    <row r="139" spans="2:7">
      <c r="B139" s="72" t="s">
        <v>745</v>
      </c>
      <c r="C139" s="73" t="s">
        <v>406</v>
      </c>
      <c r="D139" s="73" t="s">
        <v>704</v>
      </c>
      <c r="E139" s="74">
        <v>2</v>
      </c>
      <c r="F139" s="73"/>
      <c r="G139" s="68"/>
    </row>
    <row r="140" spans="2:7">
      <c r="B140" s="72" t="s">
        <v>615</v>
      </c>
      <c r="C140" s="73" t="s">
        <v>407</v>
      </c>
      <c r="D140" s="73" t="s">
        <v>704</v>
      </c>
      <c r="E140" s="74">
        <v>1</v>
      </c>
      <c r="F140" s="73"/>
      <c r="G140" s="68"/>
    </row>
    <row r="141" spans="2:7">
      <c r="B141" s="72" t="s">
        <v>616</v>
      </c>
      <c r="C141" s="73" t="s">
        <v>408</v>
      </c>
      <c r="D141" s="73" t="s">
        <v>704</v>
      </c>
      <c r="E141" s="74">
        <v>1</v>
      </c>
      <c r="F141" s="73"/>
      <c r="G141" s="68"/>
    </row>
    <row r="142" spans="2:7">
      <c r="B142" s="72" t="s">
        <v>617</v>
      </c>
      <c r="C142" s="73" t="s">
        <v>409</v>
      </c>
      <c r="D142" s="73" t="s">
        <v>704</v>
      </c>
      <c r="E142" s="74">
        <v>1</v>
      </c>
      <c r="F142" s="73"/>
      <c r="G142" s="68"/>
    </row>
    <row r="143" spans="2:7">
      <c r="B143" s="72" t="s">
        <v>618</v>
      </c>
      <c r="C143" s="73" t="s">
        <v>410</v>
      </c>
      <c r="D143" s="73" t="s">
        <v>704</v>
      </c>
      <c r="E143" s="74">
        <v>1</v>
      </c>
      <c r="F143" s="73"/>
      <c r="G143" s="68"/>
    </row>
    <row r="144" spans="2:7">
      <c r="B144" s="72" t="s">
        <v>619</v>
      </c>
      <c r="C144" s="73" t="s">
        <v>411</v>
      </c>
      <c r="D144" s="73" t="s">
        <v>704</v>
      </c>
      <c r="E144" s="74">
        <v>1</v>
      </c>
      <c r="F144" s="73"/>
      <c r="G144" s="68"/>
    </row>
    <row r="145" spans="2:7">
      <c r="B145" s="72" t="s">
        <v>620</v>
      </c>
      <c r="C145" s="73" t="s">
        <v>412</v>
      </c>
      <c r="D145" s="73" t="s">
        <v>704</v>
      </c>
      <c r="E145" s="74">
        <v>1</v>
      </c>
      <c r="F145" s="73"/>
      <c r="G145" s="68"/>
    </row>
    <row r="146" spans="2:7">
      <c r="B146" s="72" t="s">
        <v>621</v>
      </c>
      <c r="C146" s="73" t="s">
        <v>413</v>
      </c>
      <c r="D146" s="73" t="s">
        <v>704</v>
      </c>
      <c r="E146" s="74">
        <v>1</v>
      </c>
      <c r="F146" s="73"/>
      <c r="G146" s="68"/>
    </row>
    <row r="147" spans="2:7">
      <c r="B147" s="72" t="s">
        <v>622</v>
      </c>
      <c r="C147" s="73" t="s">
        <v>414</v>
      </c>
      <c r="D147" s="73" t="s">
        <v>704</v>
      </c>
      <c r="E147" s="74">
        <v>1</v>
      </c>
      <c r="F147" s="73"/>
      <c r="G147" s="68"/>
    </row>
    <row r="148" spans="2:7">
      <c r="B148" s="72" t="s">
        <v>623</v>
      </c>
      <c r="C148" s="73" t="s">
        <v>415</v>
      </c>
      <c r="D148" s="73" t="s">
        <v>704</v>
      </c>
      <c r="E148" s="74">
        <v>1</v>
      </c>
      <c r="F148" s="73"/>
      <c r="G148" s="68"/>
    </row>
    <row r="149" spans="2:7">
      <c r="B149" s="72" t="s">
        <v>624</v>
      </c>
      <c r="C149" s="73" t="s">
        <v>416</v>
      </c>
      <c r="D149" s="73" t="s">
        <v>704</v>
      </c>
      <c r="E149" s="74">
        <v>1</v>
      </c>
      <c r="F149" s="73"/>
      <c r="G149" s="68"/>
    </row>
    <row r="150" spans="2:7">
      <c r="B150" s="72" t="s">
        <v>625</v>
      </c>
      <c r="C150" s="73" t="s">
        <v>417</v>
      </c>
      <c r="D150" s="73" t="s">
        <v>704</v>
      </c>
      <c r="E150" s="74">
        <v>1</v>
      </c>
      <c r="F150" s="73"/>
      <c r="G150" s="68"/>
    </row>
    <row r="151" spans="2:7">
      <c r="B151" s="72" t="s">
        <v>626</v>
      </c>
      <c r="C151" s="73" t="s">
        <v>628</v>
      </c>
      <c r="D151" s="73" t="s">
        <v>704</v>
      </c>
      <c r="E151" s="74">
        <v>1</v>
      </c>
      <c r="F151" s="73" t="s">
        <v>573</v>
      </c>
      <c r="G151" s="68"/>
    </row>
    <row r="152" spans="2:7">
      <c r="B152" s="72" t="s">
        <v>627</v>
      </c>
      <c r="C152" s="73" t="s">
        <v>418</v>
      </c>
      <c r="D152" s="73" t="s">
        <v>704</v>
      </c>
      <c r="E152" s="74">
        <v>1</v>
      </c>
      <c r="F152" s="73"/>
      <c r="G152" s="68"/>
    </row>
    <row r="153" spans="2:7">
      <c r="B153" s="72" t="s">
        <v>629</v>
      </c>
      <c r="C153" s="73" t="s">
        <v>419</v>
      </c>
      <c r="D153" s="73" t="s">
        <v>704</v>
      </c>
      <c r="E153" s="74">
        <v>1</v>
      </c>
      <c r="F153" s="73" t="s">
        <v>573</v>
      </c>
      <c r="G153" s="68"/>
    </row>
    <row r="154" spans="2:7">
      <c r="B154" s="72" t="s">
        <v>630</v>
      </c>
      <c r="C154" s="73" t="s">
        <v>420</v>
      </c>
      <c r="D154" s="73" t="s">
        <v>704</v>
      </c>
      <c r="E154" s="74">
        <v>1</v>
      </c>
      <c r="F154" s="73"/>
      <c r="G154" s="68"/>
    </row>
    <row r="155" spans="2:7">
      <c r="B155" s="72" t="s">
        <v>631</v>
      </c>
      <c r="C155" s="73" t="s">
        <v>421</v>
      </c>
      <c r="D155" s="73" t="s">
        <v>704</v>
      </c>
      <c r="E155" s="74">
        <v>1</v>
      </c>
      <c r="F155" s="73"/>
      <c r="G155" s="68"/>
    </row>
    <row r="156" spans="2:7">
      <c r="B156" s="72" t="s">
        <v>632</v>
      </c>
      <c r="C156" s="73" t="s">
        <v>422</v>
      </c>
      <c r="D156" s="73" t="s">
        <v>704</v>
      </c>
      <c r="E156" s="74">
        <v>1</v>
      </c>
      <c r="F156" s="73" t="s">
        <v>573</v>
      </c>
      <c r="G156" s="68"/>
    </row>
    <row r="157" spans="2:7">
      <c r="B157" s="72" t="s">
        <v>633</v>
      </c>
      <c r="C157" s="73" t="s">
        <v>423</v>
      </c>
      <c r="D157" s="73" t="s">
        <v>704</v>
      </c>
      <c r="E157" s="74">
        <v>1</v>
      </c>
      <c r="F157" s="73"/>
      <c r="G157" s="68"/>
    </row>
    <row r="158" spans="2:7">
      <c r="B158" s="72" t="s">
        <v>634</v>
      </c>
      <c r="C158" s="73" t="s">
        <v>424</v>
      </c>
      <c r="D158" s="73" t="s">
        <v>704</v>
      </c>
      <c r="E158" s="74">
        <v>1</v>
      </c>
      <c r="F158" s="73"/>
      <c r="G158" s="68"/>
    </row>
    <row r="159" spans="2:7">
      <c r="B159" s="72" t="s">
        <v>635</v>
      </c>
      <c r="C159" s="73" t="s">
        <v>425</v>
      </c>
      <c r="D159" s="73" t="s">
        <v>704</v>
      </c>
      <c r="E159" s="74">
        <v>1</v>
      </c>
      <c r="F159" s="73"/>
      <c r="G159" s="68"/>
    </row>
    <row r="160" spans="2:7">
      <c r="B160" s="72" t="s">
        <v>637</v>
      </c>
      <c r="C160" s="73" t="s">
        <v>638</v>
      </c>
      <c r="D160" s="73" t="s">
        <v>704</v>
      </c>
      <c r="E160" s="74">
        <v>1</v>
      </c>
      <c r="F160" s="73" t="s">
        <v>573</v>
      </c>
      <c r="G160" s="68"/>
    </row>
    <row r="161" spans="2:7">
      <c r="B161" s="72" t="s">
        <v>636</v>
      </c>
      <c r="C161" s="73" t="s">
        <v>426</v>
      </c>
      <c r="D161" s="73" t="s">
        <v>704</v>
      </c>
      <c r="E161" s="74">
        <v>1</v>
      </c>
      <c r="F161" s="73"/>
      <c r="G161" s="68"/>
    </row>
    <row r="162" spans="2:7">
      <c r="B162" s="72" t="s">
        <v>746</v>
      </c>
      <c r="C162" s="73" t="s">
        <v>427</v>
      </c>
      <c r="D162" s="73" t="s">
        <v>704</v>
      </c>
      <c r="E162" s="74">
        <v>1</v>
      </c>
      <c r="F162" s="73" t="s">
        <v>498</v>
      </c>
      <c r="G162" s="68"/>
    </row>
    <row r="163" spans="2:7">
      <c r="B163" s="72" t="s">
        <v>747</v>
      </c>
      <c r="C163" s="73" t="s">
        <v>639</v>
      </c>
      <c r="D163" s="73" t="s">
        <v>704</v>
      </c>
      <c r="E163" s="74">
        <v>1</v>
      </c>
      <c r="F163" s="73" t="s">
        <v>573</v>
      </c>
      <c r="G163" s="68"/>
    </row>
    <row r="164" spans="2:7">
      <c r="B164" s="72" t="s">
        <v>748</v>
      </c>
      <c r="C164" s="73" t="s">
        <v>428</v>
      </c>
      <c r="D164" s="73" t="s">
        <v>704</v>
      </c>
      <c r="E164" s="74">
        <v>1</v>
      </c>
      <c r="F164" s="73"/>
      <c r="G164" s="68"/>
    </row>
    <row r="165" spans="2:7">
      <c r="B165" s="72" t="s">
        <v>749</v>
      </c>
      <c r="C165" s="73" t="s">
        <v>429</v>
      </c>
      <c r="D165" s="73" t="s">
        <v>704</v>
      </c>
      <c r="E165" s="74">
        <v>1</v>
      </c>
      <c r="F165" s="73" t="s">
        <v>499</v>
      </c>
      <c r="G165" s="68"/>
    </row>
    <row r="166" spans="2:7">
      <c r="B166" s="72" t="s">
        <v>750</v>
      </c>
      <c r="C166" s="73" t="s">
        <v>430</v>
      </c>
      <c r="D166" s="73" t="s">
        <v>704</v>
      </c>
      <c r="E166" s="74">
        <v>1</v>
      </c>
      <c r="F166" s="73"/>
      <c r="G166" s="68"/>
    </row>
    <row r="167" spans="2:7">
      <c r="B167" s="72" t="s">
        <v>751</v>
      </c>
      <c r="C167" s="73" t="s">
        <v>431</v>
      </c>
      <c r="D167" s="73" t="s">
        <v>704</v>
      </c>
      <c r="E167" s="74">
        <v>1</v>
      </c>
      <c r="F167" s="73" t="s">
        <v>500</v>
      </c>
      <c r="G167" s="68"/>
    </row>
    <row r="168" spans="2:7">
      <c r="B168" s="72" t="s">
        <v>752</v>
      </c>
      <c r="C168" s="73" t="s">
        <v>640</v>
      </c>
      <c r="D168" s="73" t="s">
        <v>704</v>
      </c>
      <c r="E168" s="74">
        <v>1</v>
      </c>
      <c r="F168" s="73"/>
      <c r="G168" s="68"/>
    </row>
    <row r="169" spans="2:7">
      <c r="B169" s="72" t="s">
        <v>753</v>
      </c>
      <c r="C169" s="73" t="s">
        <v>641</v>
      </c>
      <c r="D169" s="73" t="s">
        <v>704</v>
      </c>
      <c r="E169" s="74">
        <v>1</v>
      </c>
      <c r="F169" s="73"/>
      <c r="G169" s="68"/>
    </row>
    <row r="170" spans="2:7">
      <c r="B170" s="72" t="s">
        <v>800</v>
      </c>
      <c r="C170" s="73" t="s">
        <v>432</v>
      </c>
      <c r="D170" s="73" t="s">
        <v>704</v>
      </c>
      <c r="E170" s="74">
        <v>1</v>
      </c>
      <c r="F170" s="73" t="s">
        <v>501</v>
      </c>
      <c r="G170" s="68"/>
    </row>
    <row r="171" spans="2:7">
      <c r="B171" s="72" t="s">
        <v>801</v>
      </c>
      <c r="C171" s="73" t="s">
        <v>433</v>
      </c>
      <c r="D171" s="73" t="s">
        <v>704</v>
      </c>
      <c r="E171" s="74">
        <v>1</v>
      </c>
      <c r="F171" s="73"/>
      <c r="G171" s="68"/>
    </row>
    <row r="172" spans="2:7">
      <c r="B172" s="72" t="s">
        <v>754</v>
      </c>
      <c r="C172" s="73" t="s">
        <v>434</v>
      </c>
      <c r="D172" s="73" t="s">
        <v>704</v>
      </c>
      <c r="E172" s="74">
        <v>1</v>
      </c>
      <c r="F172" s="73" t="s">
        <v>502</v>
      </c>
      <c r="G172" s="68"/>
    </row>
    <row r="173" spans="2:7">
      <c r="B173" s="72" t="s">
        <v>755</v>
      </c>
      <c r="C173" s="73" t="s">
        <v>435</v>
      </c>
      <c r="D173" s="73" t="s">
        <v>704</v>
      </c>
      <c r="E173" s="74">
        <v>1</v>
      </c>
      <c r="F173" s="73" t="s">
        <v>573</v>
      </c>
      <c r="G173" s="68"/>
    </row>
    <row r="174" spans="2:7">
      <c r="B174" s="72" t="s">
        <v>756</v>
      </c>
      <c r="C174" s="73" t="s">
        <v>436</v>
      </c>
      <c r="D174" s="73" t="s">
        <v>704</v>
      </c>
      <c r="E174" s="74">
        <v>1</v>
      </c>
      <c r="F174" s="73"/>
      <c r="G174" s="68"/>
    </row>
    <row r="175" spans="2:7">
      <c r="B175" s="72" t="s">
        <v>757</v>
      </c>
      <c r="C175" s="73" t="s">
        <v>437</v>
      </c>
      <c r="D175" s="73" t="s">
        <v>704</v>
      </c>
      <c r="E175" s="74">
        <v>1</v>
      </c>
      <c r="F175" s="73" t="s">
        <v>503</v>
      </c>
      <c r="G175" s="68"/>
    </row>
    <row r="176" spans="2:7">
      <c r="B176" s="72" t="s">
        <v>758</v>
      </c>
      <c r="C176" s="73" t="s">
        <v>642</v>
      </c>
      <c r="D176" s="73" t="s">
        <v>704</v>
      </c>
      <c r="E176" s="74">
        <v>1</v>
      </c>
      <c r="F176" s="73" t="s">
        <v>573</v>
      </c>
      <c r="G176" s="68"/>
    </row>
    <row r="177" spans="2:7">
      <c r="B177" s="72" t="s">
        <v>759</v>
      </c>
      <c r="C177" s="73" t="s">
        <v>438</v>
      </c>
      <c r="D177" s="73" t="s">
        <v>704</v>
      </c>
      <c r="E177" s="74">
        <v>1</v>
      </c>
      <c r="F177" s="73"/>
      <c r="G177" s="68"/>
    </row>
    <row r="178" spans="2:7" ht="27">
      <c r="B178" s="72" t="s">
        <v>760</v>
      </c>
      <c r="C178" s="73" t="s">
        <v>311</v>
      </c>
      <c r="D178" s="73" t="s">
        <v>704</v>
      </c>
      <c r="E178" s="74">
        <v>1</v>
      </c>
      <c r="F178" s="73" t="s">
        <v>643</v>
      </c>
      <c r="G178" s="68"/>
    </row>
    <row r="179" spans="2:7">
      <c r="B179" s="72" t="s">
        <v>761</v>
      </c>
      <c r="C179" s="73" t="s">
        <v>312</v>
      </c>
      <c r="D179" s="73" t="s">
        <v>704</v>
      </c>
      <c r="E179" s="74">
        <v>1</v>
      </c>
      <c r="F179" s="73"/>
      <c r="G179" s="68"/>
    </row>
    <row r="180" spans="2:7">
      <c r="B180" s="72" t="s">
        <v>762</v>
      </c>
      <c r="C180" s="73" t="s">
        <v>439</v>
      </c>
      <c r="D180" s="73" t="s">
        <v>704</v>
      </c>
      <c r="E180" s="74">
        <v>1</v>
      </c>
      <c r="F180" s="73"/>
      <c r="G180" s="68"/>
    </row>
    <row r="181" spans="2:7">
      <c r="B181" s="72" t="s">
        <v>763</v>
      </c>
      <c r="C181" s="73" t="s">
        <v>440</v>
      </c>
      <c r="D181" s="73" t="s">
        <v>704</v>
      </c>
      <c r="E181" s="74">
        <v>1</v>
      </c>
      <c r="F181" s="73"/>
      <c r="G181" s="68"/>
    </row>
    <row r="182" spans="2:7">
      <c r="B182" s="72" t="s">
        <v>764</v>
      </c>
      <c r="C182" s="73" t="s">
        <v>441</v>
      </c>
      <c r="D182" s="73" t="s">
        <v>704</v>
      </c>
      <c r="E182" s="74">
        <v>1</v>
      </c>
      <c r="F182" s="73"/>
      <c r="G182" s="68"/>
    </row>
    <row r="183" spans="2:7">
      <c r="B183" s="72" t="s">
        <v>802</v>
      </c>
      <c r="C183" s="73" t="s">
        <v>533</v>
      </c>
      <c r="D183" s="73" t="s">
        <v>704</v>
      </c>
      <c r="E183" s="74">
        <v>1</v>
      </c>
      <c r="F183" s="73"/>
      <c r="G183" s="68"/>
    </row>
    <row r="184" spans="2:7">
      <c r="B184" s="72" t="s">
        <v>765</v>
      </c>
      <c r="C184" s="73" t="s">
        <v>442</v>
      </c>
      <c r="D184" s="73" t="s">
        <v>704</v>
      </c>
      <c r="E184" s="74">
        <v>1</v>
      </c>
      <c r="F184" s="73"/>
      <c r="G184" s="68"/>
    </row>
    <row r="185" spans="2:7">
      <c r="B185" s="72" t="s">
        <v>766</v>
      </c>
      <c r="C185" s="73" t="s">
        <v>443</v>
      </c>
      <c r="D185" s="73" t="s">
        <v>704</v>
      </c>
      <c r="E185" s="74">
        <v>1</v>
      </c>
      <c r="F185" s="73" t="s">
        <v>573</v>
      </c>
      <c r="G185" s="68"/>
    </row>
    <row r="186" spans="2:7">
      <c r="B186" s="72" t="s">
        <v>767</v>
      </c>
      <c r="C186" s="73" t="s">
        <v>444</v>
      </c>
      <c r="D186" s="73" t="s">
        <v>704</v>
      </c>
      <c r="E186" s="74">
        <v>1</v>
      </c>
      <c r="F186" s="73"/>
      <c r="G186" s="68"/>
    </row>
    <row r="187" spans="2:7">
      <c r="B187" s="72" t="s">
        <v>644</v>
      </c>
      <c r="C187" s="73" t="s">
        <v>445</v>
      </c>
      <c r="D187" s="73" t="s">
        <v>704</v>
      </c>
      <c r="E187" s="74">
        <v>1</v>
      </c>
      <c r="F187" s="73"/>
      <c r="G187" s="68"/>
    </row>
    <row r="188" spans="2:7">
      <c r="B188" s="72" t="s">
        <v>645</v>
      </c>
      <c r="C188" s="73" t="s">
        <v>446</v>
      </c>
      <c r="D188" s="73" t="s">
        <v>704</v>
      </c>
      <c r="E188" s="74">
        <v>1</v>
      </c>
      <c r="F188" s="73" t="s">
        <v>573</v>
      </c>
      <c r="G188" s="68"/>
    </row>
    <row r="189" spans="2:7">
      <c r="B189" s="72" t="s">
        <v>646</v>
      </c>
      <c r="C189" s="73" t="s">
        <v>447</v>
      </c>
      <c r="D189" s="73" t="s">
        <v>704</v>
      </c>
      <c r="E189" s="74">
        <v>1</v>
      </c>
      <c r="F189" s="73"/>
      <c r="G189" s="68"/>
    </row>
    <row r="190" spans="2:7">
      <c r="B190" s="72" t="s">
        <v>647</v>
      </c>
      <c r="C190" s="73" t="s">
        <v>448</v>
      </c>
      <c r="D190" s="73" t="s">
        <v>704</v>
      </c>
      <c r="E190" s="74">
        <v>1</v>
      </c>
      <c r="F190" s="73" t="s">
        <v>573</v>
      </c>
      <c r="G190" s="68"/>
    </row>
    <row r="191" spans="2:7">
      <c r="B191" s="72" t="s">
        <v>648</v>
      </c>
      <c r="C191" s="73" t="s">
        <v>449</v>
      </c>
      <c r="D191" s="73" t="s">
        <v>704</v>
      </c>
      <c r="E191" s="74">
        <v>1</v>
      </c>
      <c r="F191" s="73" t="s">
        <v>655</v>
      </c>
      <c r="G191" s="68"/>
    </row>
    <row r="192" spans="2:7">
      <c r="B192" s="72" t="s">
        <v>649</v>
      </c>
      <c r="C192" s="73" t="s">
        <v>450</v>
      </c>
      <c r="D192" s="73" t="s">
        <v>704</v>
      </c>
      <c r="E192" s="74">
        <v>1</v>
      </c>
      <c r="F192" s="73"/>
      <c r="G192" s="68"/>
    </row>
    <row r="193" spans="2:7">
      <c r="B193" s="72" t="s">
        <v>650</v>
      </c>
      <c r="C193" s="73" t="s">
        <v>451</v>
      </c>
      <c r="D193" s="73" t="s">
        <v>704</v>
      </c>
      <c r="E193" s="74">
        <v>1</v>
      </c>
      <c r="F193" s="73" t="s">
        <v>504</v>
      </c>
      <c r="G193" s="68"/>
    </row>
    <row r="194" spans="2:7">
      <c r="B194" s="72" t="s">
        <v>651</v>
      </c>
      <c r="C194" s="73" t="s">
        <v>452</v>
      </c>
      <c r="D194" s="73" t="s">
        <v>704</v>
      </c>
      <c r="E194" s="74">
        <v>1</v>
      </c>
      <c r="F194" s="73"/>
      <c r="G194" s="68"/>
    </row>
    <row r="195" spans="2:7">
      <c r="B195" s="72" t="s">
        <v>652</v>
      </c>
      <c r="C195" s="73" t="s">
        <v>453</v>
      </c>
      <c r="D195" s="73" t="s">
        <v>704</v>
      </c>
      <c r="E195" s="74">
        <v>1</v>
      </c>
      <c r="F195" s="73"/>
      <c r="G195" s="68"/>
    </row>
    <row r="196" spans="2:7">
      <c r="B196" s="72" t="s">
        <v>653</v>
      </c>
      <c r="C196" s="73" t="s">
        <v>454</v>
      </c>
      <c r="D196" s="73" t="s">
        <v>704</v>
      </c>
      <c r="E196" s="74">
        <v>1</v>
      </c>
      <c r="F196" s="73"/>
      <c r="G196" s="68"/>
    </row>
    <row r="197" spans="2:7">
      <c r="B197" s="72" t="s">
        <v>654</v>
      </c>
      <c r="C197" s="73" t="s">
        <v>534</v>
      </c>
      <c r="D197" s="73" t="s">
        <v>704</v>
      </c>
      <c r="E197" s="74">
        <v>1</v>
      </c>
      <c r="F197" s="73"/>
      <c r="G197" s="68"/>
    </row>
    <row r="198" spans="2:7">
      <c r="B198" s="72" t="s">
        <v>768</v>
      </c>
      <c r="C198" s="73" t="s">
        <v>455</v>
      </c>
      <c r="D198" s="73" t="s">
        <v>704</v>
      </c>
      <c r="E198" s="74">
        <v>1</v>
      </c>
      <c r="F198" s="73" t="s">
        <v>505</v>
      </c>
      <c r="G198" s="68"/>
    </row>
    <row r="199" spans="2:7">
      <c r="B199" s="72" t="s">
        <v>769</v>
      </c>
      <c r="C199" s="73" t="s">
        <v>456</v>
      </c>
      <c r="D199" s="73" t="s">
        <v>704</v>
      </c>
      <c r="E199" s="74">
        <v>1</v>
      </c>
      <c r="F199" s="73"/>
      <c r="G199" s="68"/>
    </row>
    <row r="200" spans="2:7">
      <c r="B200" s="72" t="s">
        <v>770</v>
      </c>
      <c r="C200" s="73" t="s">
        <v>457</v>
      </c>
      <c r="D200" s="73" t="s">
        <v>704</v>
      </c>
      <c r="E200" s="74">
        <v>1</v>
      </c>
      <c r="F200" s="73" t="s">
        <v>506</v>
      </c>
      <c r="G200" s="68"/>
    </row>
    <row r="201" spans="2:7">
      <c r="B201" s="72" t="s">
        <v>771</v>
      </c>
      <c r="C201" s="73" t="s">
        <v>458</v>
      </c>
      <c r="D201" s="73" t="s">
        <v>704</v>
      </c>
      <c r="E201" s="74">
        <v>1</v>
      </c>
      <c r="F201" s="73"/>
      <c r="G201" s="68"/>
    </row>
    <row r="202" spans="2:7">
      <c r="B202" s="72" t="s">
        <v>772</v>
      </c>
      <c r="C202" s="73" t="s">
        <v>459</v>
      </c>
      <c r="D202" s="73" t="s">
        <v>704</v>
      </c>
      <c r="E202" s="74">
        <v>1</v>
      </c>
      <c r="F202" s="73"/>
      <c r="G202" s="68"/>
    </row>
    <row r="203" spans="2:7">
      <c r="B203" s="72" t="s">
        <v>773</v>
      </c>
      <c r="C203" s="73" t="s">
        <v>460</v>
      </c>
      <c r="D203" s="73" t="s">
        <v>704</v>
      </c>
      <c r="E203" s="74">
        <v>1</v>
      </c>
      <c r="F203" s="73"/>
      <c r="G203" s="68"/>
    </row>
    <row r="204" spans="2:7">
      <c r="B204" s="72" t="s">
        <v>774</v>
      </c>
      <c r="C204" s="73" t="s">
        <v>461</v>
      </c>
      <c r="D204" s="73" t="s">
        <v>704</v>
      </c>
      <c r="E204" s="74">
        <v>1</v>
      </c>
      <c r="F204" s="73"/>
      <c r="G204" s="68"/>
    </row>
    <row r="205" spans="2:7">
      <c r="B205" s="72" t="s">
        <v>775</v>
      </c>
      <c r="C205" s="73" t="s">
        <v>462</v>
      </c>
      <c r="D205" s="73" t="s">
        <v>704</v>
      </c>
      <c r="E205" s="74">
        <v>1</v>
      </c>
      <c r="F205" s="73"/>
      <c r="G205" s="68"/>
    </row>
    <row r="206" spans="2:7">
      <c r="B206" s="72" t="s">
        <v>776</v>
      </c>
      <c r="C206" s="73" t="s">
        <v>463</v>
      </c>
      <c r="D206" s="73" t="s">
        <v>704</v>
      </c>
      <c r="E206" s="74">
        <v>1</v>
      </c>
      <c r="F206" s="73" t="s">
        <v>507</v>
      </c>
      <c r="G206" s="68"/>
    </row>
    <row r="207" spans="2:7">
      <c r="B207" s="72" t="s">
        <v>777</v>
      </c>
      <c r="C207" s="73" t="s">
        <v>656</v>
      </c>
      <c r="D207" s="73" t="s">
        <v>704</v>
      </c>
      <c r="E207" s="74">
        <v>1</v>
      </c>
      <c r="F207" s="73" t="s">
        <v>573</v>
      </c>
      <c r="G207" s="68"/>
    </row>
    <row r="208" spans="2:7">
      <c r="B208" s="72" t="s">
        <v>778</v>
      </c>
      <c r="C208" s="73" t="s">
        <v>658</v>
      </c>
      <c r="D208" s="73" t="s">
        <v>704</v>
      </c>
      <c r="E208" s="74">
        <v>1</v>
      </c>
      <c r="F208" s="73"/>
      <c r="G208" s="68"/>
    </row>
    <row r="209" spans="2:7">
      <c r="B209" s="72" t="s">
        <v>779</v>
      </c>
      <c r="C209" s="73" t="s">
        <v>657</v>
      </c>
      <c r="D209" s="73" t="s">
        <v>704</v>
      </c>
      <c r="E209" s="74">
        <v>1</v>
      </c>
      <c r="F209" s="73" t="s">
        <v>659</v>
      </c>
      <c r="G209" s="68"/>
    </row>
    <row r="210" spans="2:7">
      <c r="B210" s="72" t="s">
        <v>780</v>
      </c>
      <c r="C210" s="73" t="s">
        <v>464</v>
      </c>
      <c r="D210" s="73" t="s">
        <v>704</v>
      </c>
      <c r="E210" s="74">
        <v>1</v>
      </c>
      <c r="F210" s="73"/>
      <c r="G210" s="68"/>
    </row>
    <row r="211" spans="2:7">
      <c r="B211" s="72" t="s">
        <v>781</v>
      </c>
      <c r="C211" s="73" t="s">
        <v>660</v>
      </c>
      <c r="D211" s="73" t="s">
        <v>704</v>
      </c>
      <c r="E211" s="74">
        <v>1</v>
      </c>
      <c r="F211" s="73"/>
      <c r="G211" s="68"/>
    </row>
    <row r="212" spans="2:7">
      <c r="B212" s="72" t="s">
        <v>782</v>
      </c>
      <c r="C212" s="73" t="s">
        <v>661</v>
      </c>
      <c r="D212" s="73" t="s">
        <v>704</v>
      </c>
      <c r="E212" s="74">
        <v>1</v>
      </c>
      <c r="F212" s="73" t="s">
        <v>573</v>
      </c>
      <c r="G212" s="68"/>
    </row>
    <row r="213" spans="2:7">
      <c r="B213" s="72" t="s">
        <v>783</v>
      </c>
      <c r="C213" s="73" t="s">
        <v>662</v>
      </c>
      <c r="D213" s="73" t="s">
        <v>704</v>
      </c>
      <c r="E213" s="74">
        <v>1</v>
      </c>
      <c r="F213" s="73" t="s">
        <v>659</v>
      </c>
      <c r="G213" s="68"/>
    </row>
    <row r="214" spans="2:7">
      <c r="B214" s="72" t="s">
        <v>784</v>
      </c>
      <c r="C214" s="73" t="s">
        <v>465</v>
      </c>
      <c r="D214" s="73" t="s">
        <v>704</v>
      </c>
      <c r="E214" s="74">
        <v>1</v>
      </c>
      <c r="F214" s="73"/>
      <c r="G214" s="68"/>
    </row>
    <row r="215" spans="2:7">
      <c r="B215" s="72" t="s">
        <v>785</v>
      </c>
      <c r="C215" s="73" t="s">
        <v>663</v>
      </c>
      <c r="D215" s="73" t="s">
        <v>704</v>
      </c>
      <c r="E215" s="74">
        <v>1</v>
      </c>
      <c r="F215" s="73" t="s">
        <v>573</v>
      </c>
      <c r="G215" s="68"/>
    </row>
    <row r="216" spans="2:7">
      <c r="B216" s="72" t="s">
        <v>786</v>
      </c>
      <c r="C216" s="73" t="s">
        <v>466</v>
      </c>
      <c r="D216" s="73" t="s">
        <v>704</v>
      </c>
      <c r="E216" s="74">
        <v>1</v>
      </c>
      <c r="F216" s="73"/>
      <c r="G216" s="68"/>
    </row>
    <row r="217" spans="2:7">
      <c r="B217" s="72" t="s">
        <v>787</v>
      </c>
      <c r="C217" s="73" t="s">
        <v>466</v>
      </c>
      <c r="D217" s="73" t="s">
        <v>704</v>
      </c>
      <c r="E217" s="74">
        <v>1</v>
      </c>
      <c r="F217" s="73" t="s">
        <v>659</v>
      </c>
      <c r="G217" s="68"/>
    </row>
    <row r="218" spans="2:7">
      <c r="B218" s="72" t="s">
        <v>788</v>
      </c>
      <c r="C218" s="73" t="s">
        <v>467</v>
      </c>
      <c r="D218" s="73" t="s">
        <v>704</v>
      </c>
      <c r="E218" s="74">
        <v>1</v>
      </c>
      <c r="F218" s="73"/>
      <c r="G218" s="68"/>
    </row>
    <row r="219" spans="2:7">
      <c r="B219" s="72" t="s">
        <v>789</v>
      </c>
      <c r="C219" s="73" t="s">
        <v>468</v>
      </c>
      <c r="D219" s="73" t="s">
        <v>704</v>
      </c>
      <c r="E219" s="74">
        <v>1</v>
      </c>
      <c r="F219" s="73" t="s">
        <v>573</v>
      </c>
      <c r="G219" s="68"/>
    </row>
    <row r="220" spans="2:7">
      <c r="B220" s="72" t="s">
        <v>790</v>
      </c>
      <c r="C220" s="73" t="s">
        <v>469</v>
      </c>
      <c r="D220" s="73" t="s">
        <v>704</v>
      </c>
      <c r="E220" s="74">
        <v>1</v>
      </c>
      <c r="F220" s="73"/>
      <c r="G220" s="68"/>
    </row>
    <row r="221" spans="2:7">
      <c r="B221" s="72" t="s">
        <v>791</v>
      </c>
      <c r="C221" s="73" t="s">
        <v>469</v>
      </c>
      <c r="D221" s="73" t="s">
        <v>704</v>
      </c>
      <c r="E221" s="74">
        <v>1</v>
      </c>
      <c r="F221" s="73" t="s">
        <v>659</v>
      </c>
      <c r="G221" s="68"/>
    </row>
    <row r="222" spans="2:7" ht="16.5" customHeight="1">
      <c r="B222" s="72" t="s">
        <v>664</v>
      </c>
      <c r="C222" s="73" t="s">
        <v>470</v>
      </c>
      <c r="D222" s="73" t="s">
        <v>704</v>
      </c>
      <c r="E222" s="74">
        <v>1</v>
      </c>
      <c r="F222" s="73" t="s">
        <v>508</v>
      </c>
      <c r="G222" s="68"/>
    </row>
    <row r="223" spans="2:7">
      <c r="B223" s="72" t="s">
        <v>665</v>
      </c>
      <c r="C223" s="73" t="s">
        <v>471</v>
      </c>
      <c r="D223" s="73" t="s">
        <v>704</v>
      </c>
      <c r="E223" s="74">
        <v>1</v>
      </c>
      <c r="F223" s="73"/>
      <c r="G223" s="68"/>
    </row>
    <row r="224" spans="2:7">
      <c r="B224" s="72" t="s">
        <v>668</v>
      </c>
      <c r="C224" s="73" t="s">
        <v>666</v>
      </c>
      <c r="D224" s="73" t="s">
        <v>704</v>
      </c>
      <c r="E224" s="74">
        <v>1</v>
      </c>
      <c r="F224" s="73"/>
      <c r="G224" s="68"/>
    </row>
    <row r="225" spans="2:7">
      <c r="B225" s="72" t="s">
        <v>669</v>
      </c>
      <c r="C225" s="73" t="s">
        <v>667</v>
      </c>
      <c r="D225" s="73" t="s">
        <v>704</v>
      </c>
      <c r="E225" s="74">
        <v>1</v>
      </c>
      <c r="F225" s="73"/>
      <c r="G225" s="68"/>
    </row>
    <row r="226" spans="2:7">
      <c r="B226" s="72" t="s">
        <v>792</v>
      </c>
      <c r="C226" s="73" t="s">
        <v>472</v>
      </c>
      <c r="D226" s="73" t="s">
        <v>704</v>
      </c>
      <c r="E226" s="74">
        <v>1</v>
      </c>
      <c r="F226" s="73" t="s">
        <v>509</v>
      </c>
      <c r="G226" s="68"/>
    </row>
    <row r="227" spans="2:7">
      <c r="B227" s="72" t="s">
        <v>670</v>
      </c>
      <c r="C227" s="73" t="s">
        <v>473</v>
      </c>
      <c r="D227" s="73" t="s">
        <v>704</v>
      </c>
      <c r="E227" s="74">
        <v>1</v>
      </c>
      <c r="F227" s="73"/>
      <c r="G227" s="68"/>
    </row>
    <row r="228" spans="2:7">
      <c r="B228" s="72" t="s">
        <v>793</v>
      </c>
      <c r="C228" s="73" t="s">
        <v>474</v>
      </c>
      <c r="D228" s="73" t="s">
        <v>704</v>
      </c>
      <c r="E228" s="74">
        <v>1</v>
      </c>
      <c r="F228" s="73" t="s">
        <v>510</v>
      </c>
      <c r="G228" s="68"/>
    </row>
    <row r="229" spans="2:7">
      <c r="B229" s="72" t="s">
        <v>671</v>
      </c>
      <c r="C229" s="73" t="s">
        <v>475</v>
      </c>
      <c r="D229" s="73" t="s">
        <v>704</v>
      </c>
      <c r="E229" s="74">
        <v>1</v>
      </c>
      <c r="F229" s="73"/>
      <c r="G229" s="68"/>
    </row>
    <row r="230" spans="2:7">
      <c r="B230" s="72" t="s">
        <v>672</v>
      </c>
      <c r="C230" s="73" t="s">
        <v>476</v>
      </c>
      <c r="D230" s="73" t="s">
        <v>704</v>
      </c>
      <c r="E230" s="74">
        <v>1</v>
      </c>
      <c r="F230" s="73"/>
      <c r="G230" s="68"/>
    </row>
    <row r="231" spans="2:7">
      <c r="B231" s="72" t="s">
        <v>794</v>
      </c>
      <c r="C231" s="73" t="s">
        <v>477</v>
      </c>
      <c r="D231" s="73" t="s">
        <v>704</v>
      </c>
      <c r="E231" s="74">
        <v>1</v>
      </c>
      <c r="F231" s="73" t="s">
        <v>511</v>
      </c>
      <c r="G231" s="68"/>
    </row>
    <row r="232" spans="2:7">
      <c r="B232" s="72" t="s">
        <v>673</v>
      </c>
      <c r="C232" s="73" t="s">
        <v>478</v>
      </c>
      <c r="D232" s="73" t="s">
        <v>704</v>
      </c>
      <c r="E232" s="74">
        <v>1</v>
      </c>
      <c r="F232" s="73"/>
      <c r="G232" s="68"/>
    </row>
    <row r="233" spans="2:7">
      <c r="B233" s="72" t="s">
        <v>674</v>
      </c>
      <c r="C233" s="73" t="s">
        <v>479</v>
      </c>
      <c r="D233" s="73" t="s">
        <v>704</v>
      </c>
      <c r="E233" s="74">
        <v>1</v>
      </c>
      <c r="F233" s="73"/>
      <c r="G233" s="68"/>
    </row>
    <row r="234" spans="2:7">
      <c r="B234" s="72" t="s">
        <v>675</v>
      </c>
      <c r="C234" s="73" t="s">
        <v>480</v>
      </c>
      <c r="D234" s="73" t="s">
        <v>704</v>
      </c>
      <c r="E234" s="74">
        <v>1</v>
      </c>
      <c r="F234" s="73"/>
      <c r="G234" s="68"/>
    </row>
    <row r="235" spans="2:7">
      <c r="B235" s="72" t="s">
        <v>676</v>
      </c>
      <c r="C235" s="73" t="s">
        <v>481</v>
      </c>
      <c r="D235" s="73" t="s">
        <v>704</v>
      </c>
      <c r="E235" s="74">
        <v>1</v>
      </c>
      <c r="F235" s="73"/>
      <c r="G235" s="68"/>
    </row>
    <row r="236" spans="2:7">
      <c r="B236" s="72" t="s">
        <v>795</v>
      </c>
      <c r="C236" s="73" t="s">
        <v>482</v>
      </c>
      <c r="D236" s="73" t="s">
        <v>704</v>
      </c>
      <c r="E236" s="74">
        <v>1</v>
      </c>
      <c r="F236" s="73" t="s">
        <v>512</v>
      </c>
      <c r="G236" s="68"/>
    </row>
    <row r="237" spans="2:7">
      <c r="B237" s="72" t="s">
        <v>677</v>
      </c>
      <c r="C237" s="73" t="s">
        <v>483</v>
      </c>
      <c r="D237" s="73" t="s">
        <v>704</v>
      </c>
      <c r="E237" s="74">
        <v>1</v>
      </c>
      <c r="F237" s="73"/>
      <c r="G237" s="68"/>
    </row>
    <row r="238" spans="2:7">
      <c r="B238" s="72" t="s">
        <v>678</v>
      </c>
      <c r="C238" s="73" t="s">
        <v>484</v>
      </c>
      <c r="D238" s="73" t="s">
        <v>704</v>
      </c>
      <c r="E238" s="74">
        <v>1</v>
      </c>
      <c r="F238" s="73"/>
      <c r="G238" s="68"/>
    </row>
    <row r="239" spans="2:7">
      <c r="B239" s="72" t="s">
        <v>679</v>
      </c>
      <c r="C239" s="73" t="s">
        <v>485</v>
      </c>
      <c r="D239" s="73" t="s">
        <v>704</v>
      </c>
      <c r="E239" s="74">
        <v>1</v>
      </c>
      <c r="F239" s="73" t="s">
        <v>513</v>
      </c>
      <c r="G239" s="68"/>
    </row>
    <row r="240" spans="2:7">
      <c r="B240" s="72" t="s">
        <v>680</v>
      </c>
      <c r="C240" s="73" t="s">
        <v>486</v>
      </c>
      <c r="D240" s="73" t="s">
        <v>704</v>
      </c>
      <c r="E240" s="74">
        <v>1</v>
      </c>
      <c r="F240" s="73"/>
      <c r="G240" s="68"/>
    </row>
    <row r="241" spans="2:7">
      <c r="B241" s="72" t="s">
        <v>796</v>
      </c>
      <c r="C241" s="73" t="s">
        <v>487</v>
      </c>
      <c r="D241" s="73" t="s">
        <v>704</v>
      </c>
      <c r="E241" s="74">
        <v>1</v>
      </c>
      <c r="F241" s="73" t="s">
        <v>514</v>
      </c>
      <c r="G241" s="68"/>
    </row>
    <row r="242" spans="2:7">
      <c r="B242" s="72" t="s">
        <v>681</v>
      </c>
      <c r="C242" s="73" t="s">
        <v>488</v>
      </c>
      <c r="D242" s="73" t="s">
        <v>704</v>
      </c>
      <c r="E242" s="74">
        <v>1</v>
      </c>
      <c r="F242" s="73"/>
      <c r="G242" s="68"/>
    </row>
    <row r="243" spans="2:7">
      <c r="B243" s="72" t="s">
        <v>797</v>
      </c>
      <c r="C243" s="73" t="s">
        <v>491</v>
      </c>
      <c r="D243" s="73" t="s">
        <v>704</v>
      </c>
      <c r="E243" s="74">
        <v>1</v>
      </c>
      <c r="F243" s="73" t="s">
        <v>516</v>
      </c>
      <c r="G243" s="68"/>
    </row>
    <row r="244" spans="2:7">
      <c r="B244" s="72" t="s">
        <v>682</v>
      </c>
      <c r="C244" s="73" t="s">
        <v>684</v>
      </c>
      <c r="D244" s="73" t="s">
        <v>704</v>
      </c>
      <c r="E244" s="74">
        <v>1</v>
      </c>
      <c r="F244" s="73" t="s">
        <v>573</v>
      </c>
      <c r="G244" s="68"/>
    </row>
    <row r="245" spans="2:7">
      <c r="B245" s="72" t="s">
        <v>683</v>
      </c>
      <c r="C245" s="73" t="s">
        <v>492</v>
      </c>
      <c r="D245" s="73" t="s">
        <v>704</v>
      </c>
      <c r="E245" s="74">
        <v>1</v>
      </c>
      <c r="F245" s="73"/>
      <c r="G245" s="68"/>
    </row>
    <row r="246" spans="2:7">
      <c r="B246" s="72" t="s">
        <v>798</v>
      </c>
      <c r="C246" s="73" t="s">
        <v>493</v>
      </c>
      <c r="D246" s="73" t="s">
        <v>704</v>
      </c>
      <c r="E246" s="74">
        <v>1</v>
      </c>
      <c r="F246" s="73" t="s">
        <v>517</v>
      </c>
      <c r="G246" s="68"/>
    </row>
    <row r="247" spans="2:7">
      <c r="B247" s="72" t="s">
        <v>685</v>
      </c>
      <c r="C247" s="73" t="s">
        <v>687</v>
      </c>
      <c r="D247" s="73" t="s">
        <v>704</v>
      </c>
      <c r="E247" s="74">
        <v>1</v>
      </c>
      <c r="F247" s="73"/>
      <c r="G247" s="68"/>
    </row>
    <row r="248" spans="2:7">
      <c r="B248" s="72" t="s">
        <v>686</v>
      </c>
      <c r="C248" s="73" t="s">
        <v>494</v>
      </c>
      <c r="D248" s="73" t="s">
        <v>704</v>
      </c>
      <c r="E248" s="74">
        <v>1</v>
      </c>
      <c r="F248" s="73"/>
      <c r="G248" s="68"/>
    </row>
    <row r="249" spans="2:7">
      <c r="B249" s="72" t="s">
        <v>799</v>
      </c>
      <c r="C249" s="73" t="s">
        <v>489</v>
      </c>
      <c r="D249" s="73" t="s">
        <v>704</v>
      </c>
      <c r="E249" s="74">
        <v>1</v>
      </c>
      <c r="F249" s="73" t="s">
        <v>515</v>
      </c>
      <c r="G249" s="68"/>
    </row>
    <row r="250" spans="2:7">
      <c r="B250" s="72" t="s">
        <v>688</v>
      </c>
      <c r="C250" s="73" t="s">
        <v>490</v>
      </c>
      <c r="D250" s="73" t="s">
        <v>704</v>
      </c>
      <c r="E250" s="74">
        <v>1</v>
      </c>
      <c r="F250" s="73"/>
      <c r="G250" s="68"/>
    </row>
    <row r="251" spans="2:7" hidden="1">
      <c r="B251" s="73" t="s">
        <v>526</v>
      </c>
      <c r="C251" s="73" t="s">
        <v>378</v>
      </c>
      <c r="D251" s="73" t="s">
        <v>313</v>
      </c>
      <c r="E251" s="74">
        <v>1</v>
      </c>
      <c r="F251" s="73" t="s">
        <v>692</v>
      </c>
      <c r="G251" s="68"/>
    </row>
    <row r="252" spans="2:7" hidden="1">
      <c r="B252" s="73" t="s">
        <v>527</v>
      </c>
      <c r="C252" s="73" t="s">
        <v>379</v>
      </c>
      <c r="D252" s="73" t="s">
        <v>313</v>
      </c>
      <c r="E252" s="74">
        <v>1</v>
      </c>
      <c r="F252" s="73" t="s">
        <v>692</v>
      </c>
      <c r="G252" s="68"/>
    </row>
    <row r="253" spans="2:7" hidden="1">
      <c r="B253" s="73" t="s">
        <v>528</v>
      </c>
      <c r="C253" s="73" t="s">
        <v>380</v>
      </c>
      <c r="D253" s="73" t="s">
        <v>313</v>
      </c>
      <c r="E253" s="74">
        <v>1</v>
      </c>
      <c r="F253" s="73" t="s">
        <v>692</v>
      </c>
      <c r="G253" s="68"/>
    </row>
    <row r="254" spans="2:7" hidden="1">
      <c r="B254" s="73" t="s">
        <v>529</v>
      </c>
      <c r="C254" s="73" t="s">
        <v>381</v>
      </c>
      <c r="D254" s="73" t="s">
        <v>313</v>
      </c>
      <c r="E254" s="74">
        <v>1</v>
      </c>
      <c r="F254" s="73" t="s">
        <v>692</v>
      </c>
      <c r="G254" s="68"/>
    </row>
    <row r="255" spans="2:7" hidden="1">
      <c r="B255" s="73" t="s">
        <v>530</v>
      </c>
      <c r="C255" s="73" t="s">
        <v>382</v>
      </c>
      <c r="D255" s="73" t="s">
        <v>313</v>
      </c>
      <c r="E255" s="74">
        <v>1</v>
      </c>
      <c r="F255" s="73" t="s">
        <v>692</v>
      </c>
      <c r="G255" s="68"/>
    </row>
    <row r="256" spans="2:7" hidden="1">
      <c r="B256" s="73" t="s">
        <v>531</v>
      </c>
      <c r="C256" s="73" t="s">
        <v>383</v>
      </c>
      <c r="D256" s="73" t="s">
        <v>313</v>
      </c>
      <c r="E256" s="74">
        <v>1</v>
      </c>
      <c r="F256" s="73" t="s">
        <v>692</v>
      </c>
      <c r="G256" s="68"/>
    </row>
    <row r="257" spans="2:7" hidden="1">
      <c r="B257" s="73" t="s">
        <v>532</v>
      </c>
      <c r="C257" s="73" t="s">
        <v>384</v>
      </c>
      <c r="D257" s="73" t="s">
        <v>313</v>
      </c>
      <c r="E257" s="74">
        <v>1</v>
      </c>
      <c r="F257" s="73" t="s">
        <v>692</v>
      </c>
      <c r="G257" s="68"/>
    </row>
    <row r="258" spans="2:7" hidden="1">
      <c r="B258" s="73" t="s">
        <v>519</v>
      </c>
      <c r="C258" s="73" t="s">
        <v>288</v>
      </c>
      <c r="D258" s="73" t="s">
        <v>308</v>
      </c>
      <c r="E258" s="74">
        <v>1</v>
      </c>
      <c r="F258" s="73" t="s">
        <v>692</v>
      </c>
      <c r="G258" s="68"/>
    </row>
    <row r="259" spans="2:7" hidden="1">
      <c r="B259" s="73" t="s">
        <v>520</v>
      </c>
      <c r="C259" s="73" t="s">
        <v>330</v>
      </c>
      <c r="D259" s="73" t="s">
        <v>313</v>
      </c>
      <c r="E259" s="74">
        <v>2</v>
      </c>
      <c r="F259" s="73" t="s">
        <v>692</v>
      </c>
      <c r="G259" s="68"/>
    </row>
    <row r="260" spans="2:7" hidden="1">
      <c r="B260" s="73" t="s">
        <v>521</v>
      </c>
      <c r="C260" s="73" t="s">
        <v>331</v>
      </c>
      <c r="D260" s="73" t="s">
        <v>313</v>
      </c>
      <c r="E260" s="74">
        <v>2</v>
      </c>
      <c r="F260" s="73" t="s">
        <v>692</v>
      </c>
      <c r="G260" s="68"/>
    </row>
    <row r="261" spans="2:7" hidden="1">
      <c r="B261" s="73" t="s">
        <v>522</v>
      </c>
      <c r="C261" s="73" t="s">
        <v>332</v>
      </c>
      <c r="D261" s="73" t="s">
        <v>313</v>
      </c>
      <c r="E261" s="74">
        <v>2</v>
      </c>
      <c r="F261" s="73" t="s">
        <v>692</v>
      </c>
      <c r="G261" s="68"/>
    </row>
    <row r="262" spans="2:7" hidden="1">
      <c r="B262" s="73" t="s">
        <v>523</v>
      </c>
      <c r="C262" s="73" t="s">
        <v>333</v>
      </c>
      <c r="D262" s="73" t="s">
        <v>313</v>
      </c>
      <c r="E262" s="74">
        <v>2</v>
      </c>
      <c r="F262" s="73" t="s">
        <v>692</v>
      </c>
      <c r="G262" s="68"/>
    </row>
    <row r="263" spans="2:7" hidden="1">
      <c r="B263" s="73" t="s">
        <v>524</v>
      </c>
      <c r="C263" s="73" t="s">
        <v>334</v>
      </c>
      <c r="D263" s="73" t="s">
        <v>313</v>
      </c>
      <c r="E263" s="74">
        <v>2</v>
      </c>
      <c r="F263" s="73" t="s">
        <v>692</v>
      </c>
      <c r="G263" s="68"/>
    </row>
    <row r="264" spans="2:7" hidden="1">
      <c r="B264" s="73" t="s">
        <v>525</v>
      </c>
      <c r="C264" s="73" t="s">
        <v>335</v>
      </c>
      <c r="D264" s="73" t="s">
        <v>313</v>
      </c>
      <c r="E264" s="74">
        <v>2</v>
      </c>
      <c r="F264" s="73" t="s">
        <v>692</v>
      </c>
      <c r="G264" s="68"/>
    </row>
    <row r="265" spans="2:7">
      <c r="B265" s="72" t="s">
        <v>1484</v>
      </c>
      <c r="C265" s="73" t="s">
        <v>1485</v>
      </c>
      <c r="D265" s="73" t="s">
        <v>704</v>
      </c>
      <c r="E265" s="74">
        <v>1</v>
      </c>
      <c r="F265" s="73"/>
      <c r="G265" s="68"/>
    </row>
  </sheetData>
  <autoFilter ref="B2:N264" xr:uid="{3E81CA2C-2102-45AC-92BA-FE564D531E29}">
    <filterColumn colId="2">
      <filters>
        <filter val="Get/Post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B275-FA34-45A8-B46C-8DC3CCB3E735}">
  <dimension ref="B1:H69"/>
  <sheetViews>
    <sheetView tabSelected="1" topLeftCell="A50" zoomScaleNormal="100" workbookViewId="0">
      <selection activeCell="D71" sqref="D71"/>
    </sheetView>
  </sheetViews>
  <sheetFormatPr defaultColWidth="11.5546875" defaultRowHeight="17.25"/>
  <cols>
    <col min="1" max="1" width="0.88671875" customWidth="1"/>
    <col min="2" max="2" width="13.109375" customWidth="1"/>
    <col min="3" max="3" width="26.44140625" customWidth="1"/>
    <col min="4" max="4" width="19.33203125" customWidth="1"/>
    <col min="5" max="5" width="16.6640625" customWidth="1"/>
    <col min="6" max="6" width="27.109375" customWidth="1"/>
    <col min="7" max="7" width="4.6640625" style="70" bestFit="1" customWidth="1"/>
    <col min="8" max="8" width="42.44140625" bestFit="1" customWidth="1"/>
  </cols>
  <sheetData>
    <row r="1" spans="2:8">
      <c r="B1" s="69"/>
      <c r="C1" s="69"/>
      <c r="D1" s="69"/>
      <c r="H1" s="70" t="s">
        <v>1107</v>
      </c>
    </row>
    <row r="2" spans="2:8" s="2" customFormat="1">
      <c r="B2" s="76" t="s">
        <v>701</v>
      </c>
      <c r="C2" s="76" t="s">
        <v>7</v>
      </c>
      <c r="D2" s="76" t="s">
        <v>1108</v>
      </c>
      <c r="E2" s="76" t="s">
        <v>1109</v>
      </c>
      <c r="F2" s="76" t="s">
        <v>1112</v>
      </c>
      <c r="G2" s="76" t="s">
        <v>307</v>
      </c>
      <c r="H2" s="76" t="s">
        <v>320</v>
      </c>
    </row>
    <row r="3" spans="2:8">
      <c r="B3" s="78" t="s">
        <v>1154</v>
      </c>
      <c r="C3" s="78" t="str">
        <f t="shared" ref="C3:C12" si="0">IF(G3="get", D3, D3&amp;"="&amp;E3)</f>
        <v>app,video_mode=set,NTSC</v>
      </c>
      <c r="D3" s="78" t="s">
        <v>1155</v>
      </c>
      <c r="E3" s="78" t="s">
        <v>1156</v>
      </c>
      <c r="F3" s="78" t="s">
        <v>1159</v>
      </c>
      <c r="G3" s="78" t="s">
        <v>1113</v>
      </c>
      <c r="H3" s="78"/>
    </row>
    <row r="4" spans="2:8">
      <c r="B4" s="78" t="s">
        <v>1157</v>
      </c>
      <c r="C4" s="78" t="str">
        <f t="shared" si="0"/>
        <v>app,video_mode=set,PAL</v>
      </c>
      <c r="D4" s="78" t="s">
        <v>1155</v>
      </c>
      <c r="E4" s="78" t="s">
        <v>1158</v>
      </c>
      <c r="F4" s="78" t="s">
        <v>1159</v>
      </c>
      <c r="G4" s="78" t="s">
        <v>1113</v>
      </c>
      <c r="H4" s="78"/>
    </row>
    <row r="5" spans="2:8" ht="27">
      <c r="B5" s="78" t="s">
        <v>1162</v>
      </c>
      <c r="C5" s="78" t="str">
        <f t="shared" si="0"/>
        <v>app,video_src=set,1920x1080_30fps</v>
      </c>
      <c r="D5" s="78" t="s">
        <v>1164</v>
      </c>
      <c r="E5" s="78" t="s">
        <v>1160</v>
      </c>
      <c r="F5" s="78" t="s">
        <v>1159</v>
      </c>
      <c r="G5" s="78" t="s">
        <v>1113</v>
      </c>
      <c r="H5" s="78"/>
    </row>
    <row r="6" spans="2:8" ht="27">
      <c r="B6" s="78" t="s">
        <v>1163</v>
      </c>
      <c r="C6" s="78" t="str">
        <f t="shared" si="0"/>
        <v>app,video_src=set,1920x1080_60fps</v>
      </c>
      <c r="D6" s="78" t="s">
        <v>1164</v>
      </c>
      <c r="E6" s="78" t="s">
        <v>1161</v>
      </c>
      <c r="F6" s="78" t="s">
        <v>1159</v>
      </c>
      <c r="G6" s="78" t="s">
        <v>1113</v>
      </c>
      <c r="H6" s="78"/>
    </row>
    <row r="7" spans="2:8">
      <c r="B7" s="78" t="s">
        <v>1167</v>
      </c>
      <c r="C7" s="78" t="str">
        <f t="shared" si="0"/>
        <v>app,video_enc1_codec=set,H265MP</v>
      </c>
      <c r="D7" s="78" t="s">
        <v>1232</v>
      </c>
      <c r="E7" s="78" t="s">
        <v>1166</v>
      </c>
      <c r="F7" s="78" t="s">
        <v>1165</v>
      </c>
      <c r="G7" s="78" t="s">
        <v>1113</v>
      </c>
      <c r="H7" s="78"/>
    </row>
    <row r="8" spans="2:8">
      <c r="B8" s="78" t="s">
        <v>1168</v>
      </c>
      <c r="C8" s="78" t="str">
        <f t="shared" ref="C8:C9" si="1">IF(G8="get", D8, D8&amp;"="&amp;E8)</f>
        <v>app,video_enc1_codec=set,H264MP</v>
      </c>
      <c r="D8" s="78" t="s">
        <v>1232</v>
      </c>
      <c r="E8" s="78" t="s">
        <v>1169</v>
      </c>
      <c r="F8" s="78" t="s">
        <v>1165</v>
      </c>
      <c r="G8" s="78" t="s">
        <v>1113</v>
      </c>
      <c r="H8" s="78"/>
    </row>
    <row r="9" spans="2:8">
      <c r="B9" s="78" t="s">
        <v>1171</v>
      </c>
      <c r="C9" s="78" t="str">
        <f t="shared" si="1"/>
        <v>app,video_enc1_codec=set,MJPEG</v>
      </c>
      <c r="D9" s="78" t="s">
        <v>1232</v>
      </c>
      <c r="E9" s="78" t="s">
        <v>1172</v>
      </c>
      <c r="F9" s="78" t="s">
        <v>1165</v>
      </c>
      <c r="G9" s="78" t="s">
        <v>1113</v>
      </c>
      <c r="H9" s="78"/>
    </row>
    <row r="10" spans="2:8">
      <c r="B10" s="78" t="s">
        <v>1177</v>
      </c>
      <c r="C10" s="78" t="str">
        <f t="shared" ref="C10:C11" si="2">IF(G10="get", D10, D10&amp;"="&amp;E10)</f>
        <v>app,video_enc1_fps=set,1</v>
      </c>
      <c r="D10" s="78" t="s">
        <v>1231</v>
      </c>
      <c r="E10" s="78" t="s">
        <v>1174</v>
      </c>
      <c r="F10" s="78" t="s">
        <v>1165</v>
      </c>
      <c r="G10" s="78" t="s">
        <v>1113</v>
      </c>
      <c r="H10" s="78"/>
    </row>
    <row r="11" spans="2:8">
      <c r="B11" s="78" t="s">
        <v>1178</v>
      </c>
      <c r="C11" s="78" t="str">
        <f t="shared" si="2"/>
        <v>app,video_enc1_fps=set,30</v>
      </c>
      <c r="D11" s="78" t="s">
        <v>1231</v>
      </c>
      <c r="E11" s="78" t="s">
        <v>1175</v>
      </c>
      <c r="F11" s="78" t="s">
        <v>1165</v>
      </c>
      <c r="G11" s="78" t="s">
        <v>1113</v>
      </c>
      <c r="H11" s="78"/>
    </row>
    <row r="12" spans="2:8">
      <c r="B12" s="78" t="s">
        <v>1179</v>
      </c>
      <c r="C12" s="78" t="str">
        <f t="shared" si="0"/>
        <v>app,video_enc1_fps=set,60</v>
      </c>
      <c r="D12" s="78" t="s">
        <v>1231</v>
      </c>
      <c r="E12" s="78" t="s">
        <v>1176</v>
      </c>
      <c r="F12" s="78" t="s">
        <v>1165</v>
      </c>
      <c r="G12" s="78" t="s">
        <v>1113</v>
      </c>
      <c r="H12" s="78"/>
    </row>
    <row r="13" spans="2:8">
      <c r="B13" s="78" t="s">
        <v>19</v>
      </c>
      <c r="C13" s="78" t="str">
        <f>IF(G13="get", D13, D13&amp;"="&amp;E13)</f>
        <v>group,app,flip=basic,set,enable</v>
      </c>
      <c r="D13" s="78" t="s">
        <v>1146</v>
      </c>
      <c r="E13" s="78" t="s">
        <v>1147</v>
      </c>
      <c r="F13" s="78" t="s">
        <v>1153</v>
      </c>
      <c r="G13" s="78" t="s">
        <v>1113</v>
      </c>
      <c r="H13" s="78"/>
    </row>
    <row r="14" spans="2:8">
      <c r="B14" s="78" t="s">
        <v>20</v>
      </c>
      <c r="C14" s="78" t="str">
        <f t="shared" ref="C14:C16" si="3">IF(G14="get", D14, D14&amp;"="&amp;E14)</f>
        <v>group,app,flip=basic,set,1</v>
      </c>
      <c r="D14" s="78" t="s">
        <v>1146</v>
      </c>
      <c r="E14" s="78" t="s">
        <v>1148</v>
      </c>
      <c r="F14" s="78" t="s">
        <v>1153</v>
      </c>
      <c r="G14" s="78" t="s">
        <v>1113</v>
      </c>
      <c r="H14" s="78"/>
    </row>
    <row r="15" spans="2:8">
      <c r="B15" s="78" t="s">
        <v>21</v>
      </c>
      <c r="C15" s="78" t="str">
        <f t="shared" si="3"/>
        <v>group,app,mirror=basic,set,enable</v>
      </c>
      <c r="D15" s="78" t="s">
        <v>1151</v>
      </c>
      <c r="E15" s="78" t="s">
        <v>1147</v>
      </c>
      <c r="F15" s="78" t="s">
        <v>1153</v>
      </c>
      <c r="G15" s="78" t="s">
        <v>1113</v>
      </c>
      <c r="H15" s="78"/>
    </row>
    <row r="16" spans="2:8">
      <c r="B16" s="78" t="s">
        <v>22</v>
      </c>
      <c r="C16" s="78" t="str">
        <f t="shared" si="3"/>
        <v>group,app,mirror=basic,set,1</v>
      </c>
      <c r="D16" s="78" t="s">
        <v>1151</v>
      </c>
      <c r="E16" s="78" t="s">
        <v>1148</v>
      </c>
      <c r="F16" s="78" t="s">
        <v>1153</v>
      </c>
      <c r="G16" s="78" t="s">
        <v>1113</v>
      </c>
      <c r="H16" s="78"/>
    </row>
    <row r="17" spans="2:8">
      <c r="B17" s="78" t="s">
        <v>1144</v>
      </c>
      <c r="C17" s="78" t="str">
        <f t="shared" ref="C17" si="4">IF(G17="get", D17, D17&amp;"="&amp;E17)</f>
        <v>group,app,focus_mode=af,set,auto</v>
      </c>
      <c r="D17" s="78" t="s">
        <v>1182</v>
      </c>
      <c r="E17" s="78" t="s">
        <v>1149</v>
      </c>
      <c r="F17" s="78" t="s">
        <v>1153</v>
      </c>
      <c r="G17" s="78" t="s">
        <v>1113</v>
      </c>
      <c r="H17" s="78"/>
    </row>
    <row r="18" spans="2:8">
      <c r="B18" s="78" t="s">
        <v>1145</v>
      </c>
      <c r="C18" s="78" t="str">
        <f t="shared" ref="C18:C39" si="5">IF(G18="get", D18, D18&amp;"="&amp;E18)</f>
        <v>group,app,focus_mode=af,set,manual</v>
      </c>
      <c r="D18" s="78" t="s">
        <v>1182</v>
      </c>
      <c r="E18" s="78" t="s">
        <v>1150</v>
      </c>
      <c r="F18" s="78" t="s">
        <v>1153</v>
      </c>
      <c r="G18" s="78" t="s">
        <v>1113</v>
      </c>
      <c r="H18" s="78"/>
    </row>
    <row r="19" spans="2:8">
      <c r="B19" s="78" t="s">
        <v>1180</v>
      </c>
      <c r="C19" s="78" t="str">
        <f t="shared" ref="C19:C34" si="6">IF(G19="get", D19, D19&amp;"="&amp;E19)</f>
        <v>group,app,focus_mode=af,set,pushaf</v>
      </c>
      <c r="D19" s="78" t="s">
        <v>1182</v>
      </c>
      <c r="E19" s="78" t="s">
        <v>1181</v>
      </c>
      <c r="F19" s="83" t="s">
        <v>1233</v>
      </c>
      <c r="G19" s="78" t="s">
        <v>1113</v>
      </c>
      <c r="H19" s="78"/>
    </row>
    <row r="20" spans="2:8">
      <c r="B20" s="78" t="s">
        <v>1186</v>
      </c>
      <c r="C20" s="78" t="str">
        <f t="shared" si="6"/>
        <v>group,app,focus_speed=af,set,1</v>
      </c>
      <c r="D20" s="78" t="s">
        <v>1183</v>
      </c>
      <c r="E20" s="78" t="s">
        <v>1184</v>
      </c>
      <c r="F20" s="78" t="s">
        <v>1153</v>
      </c>
      <c r="G20" s="78" t="s">
        <v>1113</v>
      </c>
      <c r="H20" s="78"/>
    </row>
    <row r="21" spans="2:8">
      <c r="B21" s="78" t="s">
        <v>1187</v>
      </c>
      <c r="C21" s="78" t="str">
        <f t="shared" si="6"/>
        <v>group,app,focus_speed=af,set,8</v>
      </c>
      <c r="D21" s="78" t="s">
        <v>1183</v>
      </c>
      <c r="E21" s="78" t="s">
        <v>1185</v>
      </c>
      <c r="F21" s="78" t="s">
        <v>1153</v>
      </c>
      <c r="G21" s="78" t="s">
        <v>1113</v>
      </c>
      <c r="H21" s="78"/>
    </row>
    <row r="22" spans="2:8">
      <c r="B22" s="78" t="s">
        <v>1452</v>
      </c>
      <c r="C22" s="78" t="str">
        <f t="shared" ref="C22" si="7">IF(G22="get", D22, D22&amp;"="&amp;E22)</f>
        <v>preset=00</v>
      </c>
      <c r="D22" s="78" t="s">
        <v>1136</v>
      </c>
      <c r="E22" s="80" t="s">
        <v>16</v>
      </c>
      <c r="F22" s="78" t="s">
        <v>1152</v>
      </c>
      <c r="G22" s="78" t="s">
        <v>1113</v>
      </c>
      <c r="H22" s="78" t="s">
        <v>1477</v>
      </c>
    </row>
    <row r="23" spans="2:8">
      <c r="B23" s="78" t="s">
        <v>1261</v>
      </c>
      <c r="C23" s="78" t="str">
        <f t="shared" si="6"/>
        <v>preset=71</v>
      </c>
      <c r="D23" s="78" t="s">
        <v>1136</v>
      </c>
      <c r="E23" s="78">
        <v>71</v>
      </c>
      <c r="F23" s="78" t="s">
        <v>1152</v>
      </c>
      <c r="G23" s="78" t="s">
        <v>1113</v>
      </c>
      <c r="H23" s="78" t="s">
        <v>1469</v>
      </c>
    </row>
    <row r="24" spans="2:8">
      <c r="B24" s="78" t="s">
        <v>1470</v>
      </c>
      <c r="C24" s="78" t="str">
        <f t="shared" si="6"/>
        <v>preset=75</v>
      </c>
      <c r="D24" s="78" t="s">
        <v>1136</v>
      </c>
      <c r="E24" s="78">
        <v>75</v>
      </c>
      <c r="F24" s="78" t="s">
        <v>1152</v>
      </c>
      <c r="G24" s="78" t="s">
        <v>1113</v>
      </c>
      <c r="H24" s="78"/>
    </row>
    <row r="25" spans="2:8">
      <c r="B25" s="78" t="s">
        <v>1262</v>
      </c>
      <c r="C25" s="78" t="str">
        <f t="shared" ref="C25:C26" si="8">IF(G25="get", D25, D25&amp;"="&amp;E25)</f>
        <v>preset=76</v>
      </c>
      <c r="D25" s="78" t="s">
        <v>1136</v>
      </c>
      <c r="E25" s="78">
        <v>76</v>
      </c>
      <c r="F25" s="78" t="s">
        <v>1152</v>
      </c>
      <c r="G25" s="78" t="s">
        <v>1113</v>
      </c>
      <c r="H25" s="78"/>
    </row>
    <row r="26" spans="2:8">
      <c r="B26" s="78" t="s">
        <v>1263</v>
      </c>
      <c r="C26" s="78" t="str">
        <f t="shared" si="8"/>
        <v>preset=77</v>
      </c>
      <c r="D26" s="78" t="s">
        <v>1136</v>
      </c>
      <c r="E26" s="78">
        <v>77</v>
      </c>
      <c r="F26" s="78" t="s">
        <v>1152</v>
      </c>
      <c r="G26" s="78" t="s">
        <v>1113</v>
      </c>
      <c r="H26" s="78"/>
    </row>
    <row r="27" spans="2:8">
      <c r="B27" s="78" t="s">
        <v>1475</v>
      </c>
      <c r="C27" s="78" t="str">
        <f t="shared" ref="C27" si="9">IF(G27="get", D27, D27&amp;"="&amp;E27)</f>
        <v>preset=81</v>
      </c>
      <c r="D27" s="78" t="s">
        <v>1136</v>
      </c>
      <c r="E27" s="78">
        <v>81</v>
      </c>
      <c r="F27" s="78" t="s">
        <v>1152</v>
      </c>
      <c r="G27" s="78" t="s">
        <v>1113</v>
      </c>
      <c r="H27" s="78" t="s">
        <v>1471</v>
      </c>
    </row>
    <row r="28" spans="2:8">
      <c r="B28" s="78" t="s">
        <v>1474</v>
      </c>
      <c r="C28" s="78" t="str">
        <f t="shared" ref="C28" si="10">IF(G28="get", D28, D28&amp;"="&amp;E28)</f>
        <v>preset=83</v>
      </c>
      <c r="D28" s="78" t="s">
        <v>1136</v>
      </c>
      <c r="E28" s="78">
        <v>83</v>
      </c>
      <c r="F28" s="78" t="s">
        <v>1152</v>
      </c>
      <c r="G28" s="78" t="s">
        <v>1113</v>
      </c>
      <c r="H28" s="78" t="s">
        <v>1472</v>
      </c>
    </row>
    <row r="29" spans="2:8">
      <c r="B29" s="78" t="s">
        <v>1476</v>
      </c>
      <c r="C29" s="78" t="str">
        <f t="shared" ref="C29:C32" si="11">IF(G29="get", D29, D29&amp;"="&amp;E29)</f>
        <v>preset=84</v>
      </c>
      <c r="D29" s="78" t="s">
        <v>1136</v>
      </c>
      <c r="E29" s="78">
        <v>84</v>
      </c>
      <c r="F29" s="78" t="s">
        <v>1152</v>
      </c>
      <c r="G29" s="78" t="s">
        <v>1113</v>
      </c>
      <c r="H29" s="78" t="s">
        <v>1473</v>
      </c>
    </row>
    <row r="30" spans="2:8">
      <c r="B30" s="78" t="s">
        <v>1264</v>
      </c>
      <c r="C30" s="78" t="str">
        <f>IF(G30="get", D30, D30&amp;"="&amp;E30)</f>
        <v>preset=87</v>
      </c>
      <c r="D30" s="78" t="s">
        <v>1136</v>
      </c>
      <c r="E30" s="78">
        <v>87</v>
      </c>
      <c r="F30" s="78" t="s">
        <v>1152</v>
      </c>
      <c r="G30" s="78" t="s">
        <v>1113</v>
      </c>
      <c r="H30" s="78"/>
    </row>
    <row r="31" spans="2:8">
      <c r="B31" s="78" t="s">
        <v>1265</v>
      </c>
      <c r="C31" s="78" t="str">
        <f t="shared" ref="C31" si="12">IF(G31="get", D31, D31&amp;"="&amp;E31)</f>
        <v>preset=88</v>
      </c>
      <c r="D31" s="78" t="s">
        <v>1136</v>
      </c>
      <c r="E31" s="78">
        <v>88</v>
      </c>
      <c r="F31" s="78" t="s">
        <v>1152</v>
      </c>
      <c r="G31" s="78" t="s">
        <v>1113</v>
      </c>
      <c r="H31" s="78"/>
    </row>
    <row r="32" spans="2:8">
      <c r="B32" s="78" t="s">
        <v>1467</v>
      </c>
      <c r="C32" s="78" t="str">
        <f t="shared" si="11"/>
        <v>preset=91</v>
      </c>
      <c r="D32" s="78" t="s">
        <v>1136</v>
      </c>
      <c r="E32" s="78">
        <v>91</v>
      </c>
      <c r="F32" s="78" t="s">
        <v>1152</v>
      </c>
      <c r="G32" s="78" t="s">
        <v>1113</v>
      </c>
      <c r="H32" s="78"/>
    </row>
    <row r="33" spans="2:8">
      <c r="B33" s="78" t="s">
        <v>1468</v>
      </c>
      <c r="C33" s="78" t="str">
        <f t="shared" ref="C33" si="13">IF(G33="get", D33, D33&amp;"="&amp;E33)</f>
        <v>preset=90</v>
      </c>
      <c r="D33" s="78" t="s">
        <v>1136</v>
      </c>
      <c r="E33" s="78">
        <v>90</v>
      </c>
      <c r="F33" s="78" t="s">
        <v>1152</v>
      </c>
      <c r="G33" s="78" t="s">
        <v>1113</v>
      </c>
      <c r="H33" s="78"/>
    </row>
    <row r="34" spans="2:8">
      <c r="B34" s="78" t="s">
        <v>1191</v>
      </c>
      <c r="C34" s="78" t="str">
        <f t="shared" si="6"/>
        <v>group,app,dnn_mode=dnn,set,day</v>
      </c>
      <c r="D34" s="78" t="s">
        <v>1188</v>
      </c>
      <c r="E34" s="78" t="s">
        <v>1194</v>
      </c>
      <c r="F34" s="78" t="s">
        <v>1153</v>
      </c>
      <c r="G34" s="78" t="s">
        <v>1113</v>
      </c>
      <c r="H34" s="78"/>
    </row>
    <row r="35" spans="2:8">
      <c r="B35" s="78" t="s">
        <v>1192</v>
      </c>
      <c r="C35" s="78" t="str">
        <f t="shared" si="5"/>
        <v>group,app,dnn_mode=dnn,set,night</v>
      </c>
      <c r="D35" s="78" t="s">
        <v>1188</v>
      </c>
      <c r="E35" s="78" t="s">
        <v>1195</v>
      </c>
      <c r="F35" s="78" t="s">
        <v>1153</v>
      </c>
      <c r="G35" s="78" t="s">
        <v>1113</v>
      </c>
      <c r="H35" s="78"/>
    </row>
    <row r="36" spans="2:8">
      <c r="B36" s="78" t="s">
        <v>1193</v>
      </c>
      <c r="C36" s="78" t="str">
        <f t="shared" si="5"/>
        <v>group,app,dnn_mode=dnn,set,ext</v>
      </c>
      <c r="D36" s="78" t="s">
        <v>1188</v>
      </c>
      <c r="E36" s="78" t="s">
        <v>1196</v>
      </c>
      <c r="F36" s="78" t="s">
        <v>1153</v>
      </c>
      <c r="G36" s="78" t="s">
        <v>1113</v>
      </c>
      <c r="H36" s="78"/>
    </row>
    <row r="37" spans="2:8">
      <c r="B37" s="78" t="s">
        <v>1190</v>
      </c>
      <c r="C37" s="78" t="str">
        <f t="shared" ref="C37" si="14">IF(G37="get", D37, D37&amp;"="&amp;E37)</f>
        <v>group,app,dnn_mode=dnn,set,auto</v>
      </c>
      <c r="D37" s="78" t="s">
        <v>1188</v>
      </c>
      <c r="E37" s="78" t="s">
        <v>1189</v>
      </c>
      <c r="F37" s="78" t="s">
        <v>1153</v>
      </c>
      <c r="G37" s="78" t="s">
        <v>1113</v>
      </c>
      <c r="H37" s="78"/>
    </row>
    <row r="38" spans="2:8">
      <c r="B38" s="78" t="s">
        <v>1197</v>
      </c>
      <c r="C38" s="78" t="str">
        <f t="shared" si="5"/>
        <v>group,app,wdr_mode=wdr,set,on</v>
      </c>
      <c r="D38" s="78" t="s">
        <v>1201</v>
      </c>
      <c r="E38" s="78" t="s">
        <v>1202</v>
      </c>
      <c r="F38" s="78" t="s">
        <v>1153</v>
      </c>
      <c r="G38" s="78" t="s">
        <v>1113</v>
      </c>
      <c r="H38" s="78"/>
    </row>
    <row r="39" spans="2:8">
      <c r="B39" s="78" t="s">
        <v>1198</v>
      </c>
      <c r="C39" s="78" t="str">
        <f t="shared" si="5"/>
        <v>group,app,wdr_mode=wdr,set,off</v>
      </c>
      <c r="D39" s="78" t="s">
        <v>1201</v>
      </c>
      <c r="E39" s="78" t="s">
        <v>1203</v>
      </c>
      <c r="F39" s="78" t="s">
        <v>1153</v>
      </c>
      <c r="G39" s="78" t="s">
        <v>1113</v>
      </c>
      <c r="H39" s="78"/>
    </row>
    <row r="40" spans="2:8">
      <c r="B40" s="78" t="s">
        <v>1199</v>
      </c>
      <c r="C40" s="78" t="str">
        <f t="shared" ref="C40:C49" si="15">IF(G40="get", D40, D40&amp;"="&amp;E40)</f>
        <v>group,app,defog_mode=wdr,set,on</v>
      </c>
      <c r="D40" s="78" t="s">
        <v>1204</v>
      </c>
      <c r="E40" s="78" t="s">
        <v>1202</v>
      </c>
      <c r="F40" s="78" t="s">
        <v>1153</v>
      </c>
      <c r="G40" s="78" t="s">
        <v>1113</v>
      </c>
      <c r="H40" s="78"/>
    </row>
    <row r="41" spans="2:8">
      <c r="B41" s="78" t="s">
        <v>1200</v>
      </c>
      <c r="C41" s="78" t="str">
        <f t="shared" si="15"/>
        <v>group,app,defog_mode=wdr,set,off</v>
      </c>
      <c r="D41" s="78" t="s">
        <v>1204</v>
      </c>
      <c r="E41" s="78" t="s">
        <v>1203</v>
      </c>
      <c r="F41" s="78" t="s">
        <v>1153</v>
      </c>
      <c r="G41" s="78" t="s">
        <v>1113</v>
      </c>
      <c r="H41" s="78"/>
    </row>
    <row r="42" spans="2:8">
      <c r="B42" s="78" t="s">
        <v>1208</v>
      </c>
      <c r="C42" s="78" t="str">
        <f t="shared" si="15"/>
        <v>group,app,blc_mode=blc,set,on</v>
      </c>
      <c r="D42" s="78" t="s">
        <v>1207</v>
      </c>
      <c r="E42" s="78" t="s">
        <v>1206</v>
      </c>
      <c r="F42" s="78" t="s">
        <v>1153</v>
      </c>
      <c r="G42" s="78" t="s">
        <v>1113</v>
      </c>
      <c r="H42" s="78"/>
    </row>
    <row r="43" spans="2:8">
      <c r="B43" s="78" t="s">
        <v>1209</v>
      </c>
      <c r="C43" s="78" t="str">
        <f t="shared" si="15"/>
        <v>group,app,blc_mode=blc,set,off</v>
      </c>
      <c r="D43" s="78" t="s">
        <v>1207</v>
      </c>
      <c r="E43" s="78" t="s">
        <v>1205</v>
      </c>
      <c r="F43" s="78" t="s">
        <v>1153</v>
      </c>
      <c r="G43" s="78" t="s">
        <v>1113</v>
      </c>
      <c r="H43" s="78"/>
    </row>
    <row r="44" spans="2:8">
      <c r="B44" s="78" t="s">
        <v>1210</v>
      </c>
      <c r="C44" s="78" t="str">
        <f t="shared" si="15"/>
        <v>group,app,hlc_mode=blc,set,on</v>
      </c>
      <c r="D44" s="78" t="s">
        <v>1212</v>
      </c>
      <c r="E44" s="78" t="s">
        <v>1206</v>
      </c>
      <c r="F44" s="78" t="s">
        <v>1153</v>
      </c>
      <c r="G44" s="78" t="s">
        <v>1113</v>
      </c>
      <c r="H44" s="78"/>
    </row>
    <row r="45" spans="2:8">
      <c r="B45" s="78" t="s">
        <v>1211</v>
      </c>
      <c r="C45" s="78" t="str">
        <f t="shared" si="15"/>
        <v>group,app,hlc_mode=blc,set,off</v>
      </c>
      <c r="D45" s="78" t="s">
        <v>1212</v>
      </c>
      <c r="E45" s="78" t="s">
        <v>1205</v>
      </c>
      <c r="F45" s="78" t="s">
        <v>1153</v>
      </c>
      <c r="G45" s="78" t="s">
        <v>1113</v>
      </c>
      <c r="H45" s="78"/>
    </row>
    <row r="46" spans="2:8">
      <c r="B46" s="78" t="s">
        <v>1216</v>
      </c>
      <c r="C46" s="78" t="str">
        <f t="shared" si="15"/>
        <v>app,dz_enable=set,0</v>
      </c>
      <c r="D46" s="78" t="s">
        <v>1215</v>
      </c>
      <c r="E46" s="78" t="s">
        <v>1214</v>
      </c>
      <c r="F46" s="78" t="s">
        <v>1213</v>
      </c>
      <c r="G46" s="78" t="s">
        <v>1113</v>
      </c>
      <c r="H46" s="78"/>
    </row>
    <row r="47" spans="2:8">
      <c r="B47" s="78" t="s">
        <v>1217</v>
      </c>
      <c r="C47" s="78" t="str">
        <f t="shared" si="15"/>
        <v>app,dz_enable=set,1</v>
      </c>
      <c r="D47" s="78" t="s">
        <v>1215</v>
      </c>
      <c r="E47" s="78" t="s">
        <v>1174</v>
      </c>
      <c r="F47" s="78" t="s">
        <v>1213</v>
      </c>
      <c r="G47" s="78" t="s">
        <v>1113</v>
      </c>
      <c r="H47" s="78"/>
    </row>
    <row r="48" spans="2:8">
      <c r="B48" s="78" t="s">
        <v>958</v>
      </c>
      <c r="C48" s="78" t="str">
        <f t="shared" si="15"/>
        <v>app,dz_level=set,100</v>
      </c>
      <c r="D48" s="78" t="s">
        <v>1222</v>
      </c>
      <c r="E48" s="78" t="s">
        <v>1218</v>
      </c>
      <c r="F48" s="78" t="s">
        <v>1213</v>
      </c>
      <c r="G48" s="78" t="s">
        <v>1113</v>
      </c>
      <c r="H48" s="78"/>
    </row>
    <row r="49" spans="2:8">
      <c r="B49" s="78" t="s">
        <v>960</v>
      </c>
      <c r="C49" s="78" t="str">
        <f t="shared" si="15"/>
        <v>app,dz_level=set,200</v>
      </c>
      <c r="D49" s="78" t="s">
        <v>1222</v>
      </c>
      <c r="E49" s="78" t="s">
        <v>1219</v>
      </c>
      <c r="F49" s="78" t="s">
        <v>1213</v>
      </c>
      <c r="G49" s="78" t="s">
        <v>1113</v>
      </c>
      <c r="H49" s="78"/>
    </row>
    <row r="50" spans="2:8">
      <c r="B50" s="78" t="s">
        <v>961</v>
      </c>
      <c r="C50" s="78" t="str">
        <f t="shared" ref="C50:C53" si="16">IF(G50="get", D50, D50&amp;"="&amp;E50)</f>
        <v>app,dz_level=set,400</v>
      </c>
      <c r="D50" s="78" t="s">
        <v>1222</v>
      </c>
      <c r="E50" s="78" t="s">
        <v>1220</v>
      </c>
      <c r="F50" s="78" t="s">
        <v>1213</v>
      </c>
      <c r="G50" s="78" t="s">
        <v>1113</v>
      </c>
      <c r="H50" s="78"/>
    </row>
    <row r="51" spans="2:8">
      <c r="B51" s="78" t="s">
        <v>1095</v>
      </c>
      <c r="C51" s="78" t="str">
        <f t="shared" si="16"/>
        <v>app,dz_level=set,800</v>
      </c>
      <c r="D51" s="78" t="s">
        <v>1222</v>
      </c>
      <c r="E51" s="78" t="s">
        <v>1221</v>
      </c>
      <c r="F51" s="78" t="s">
        <v>1213</v>
      </c>
      <c r="G51" s="78" t="s">
        <v>1113</v>
      </c>
      <c r="H51" s="78"/>
    </row>
    <row r="52" spans="2:8">
      <c r="B52" s="78" t="s">
        <v>1223</v>
      </c>
      <c r="C52" s="78" t="str">
        <f t="shared" si="16"/>
        <v>app,restart=set,1</v>
      </c>
      <c r="D52" s="78" t="s">
        <v>1234</v>
      </c>
      <c r="E52" s="78" t="s">
        <v>1174</v>
      </c>
      <c r="F52" s="78" t="s">
        <v>1224</v>
      </c>
      <c r="G52" s="78" t="s">
        <v>1113</v>
      </c>
      <c r="H52" s="78"/>
    </row>
    <row r="53" spans="2:8">
      <c r="B53" s="78" t="s">
        <v>1226</v>
      </c>
      <c r="C53" s="78" t="str">
        <f t="shared" si="16"/>
        <v>app,reset=set,1</v>
      </c>
      <c r="D53" s="78" t="s">
        <v>1235</v>
      </c>
      <c r="E53" s="78" t="s">
        <v>1174</v>
      </c>
      <c r="F53" s="78" t="s">
        <v>1229</v>
      </c>
      <c r="G53" s="78" t="s">
        <v>1113</v>
      </c>
      <c r="H53" s="78" t="s">
        <v>1227</v>
      </c>
    </row>
    <row r="54" spans="2:8">
      <c r="B54" s="78" t="s">
        <v>573</v>
      </c>
      <c r="C54" s="78" t="str">
        <f t="shared" ref="C54" si="17">IF(G54="get", D54, D54&amp;"="&amp;E54)</f>
        <v>app,default=set,1</v>
      </c>
      <c r="D54" s="78" t="s">
        <v>1236</v>
      </c>
      <c r="E54" s="78" t="s">
        <v>1174</v>
      </c>
      <c r="F54" s="78" t="s">
        <v>1230</v>
      </c>
      <c r="G54" s="78" t="s">
        <v>1113</v>
      </c>
      <c r="H54" s="78" t="s">
        <v>1228</v>
      </c>
    </row>
    <row r="55" spans="2:8">
      <c r="B55" s="78" t="s">
        <v>1116</v>
      </c>
      <c r="C55" s="78" t="str">
        <f t="shared" ref="C55:C63" si="18">IF(G55="get", D55, D55&amp;"="&amp;E55)</f>
        <v>pspd=1</v>
      </c>
      <c r="D55" s="78" t="s">
        <v>1115</v>
      </c>
      <c r="E55" s="78">
        <v>1</v>
      </c>
      <c r="F55" s="78" t="s">
        <v>1152</v>
      </c>
      <c r="G55" s="78" t="s">
        <v>1113</v>
      </c>
      <c r="H55" s="78" t="s">
        <v>1122</v>
      </c>
    </row>
    <row r="56" spans="2:8">
      <c r="B56" s="78" t="s">
        <v>1117</v>
      </c>
      <c r="C56" s="78" t="str">
        <f t="shared" si="18"/>
        <v>pspd=63</v>
      </c>
      <c r="D56" s="78" t="s">
        <v>1115</v>
      </c>
      <c r="E56" s="78">
        <v>63</v>
      </c>
      <c r="F56" s="78" t="s">
        <v>1152</v>
      </c>
      <c r="G56" s="78" t="s">
        <v>1113</v>
      </c>
      <c r="H56" s="78"/>
    </row>
    <row r="57" spans="2:8">
      <c r="B57" s="78" t="s">
        <v>1119</v>
      </c>
      <c r="C57" s="78" t="str">
        <f t="shared" si="18"/>
        <v>tspd=1</v>
      </c>
      <c r="D57" s="78" t="s">
        <v>1118</v>
      </c>
      <c r="E57" s="78">
        <v>1</v>
      </c>
      <c r="F57" s="78" t="s">
        <v>1152</v>
      </c>
      <c r="G57" s="78" t="s">
        <v>1113</v>
      </c>
      <c r="H57" s="78" t="s">
        <v>1122</v>
      </c>
    </row>
    <row r="58" spans="2:8">
      <c r="B58" s="78" t="s">
        <v>1120</v>
      </c>
      <c r="C58" s="78" t="str">
        <f t="shared" si="18"/>
        <v>tspd=63</v>
      </c>
      <c r="D58" s="78" t="s">
        <v>1118</v>
      </c>
      <c r="E58" s="78">
        <v>63</v>
      </c>
      <c r="F58" s="78" t="s">
        <v>1152</v>
      </c>
      <c r="G58" s="78" t="s">
        <v>1113</v>
      </c>
      <c r="H58" s="78"/>
    </row>
    <row r="59" spans="2:8">
      <c r="B59" s="78" t="s">
        <v>1124</v>
      </c>
      <c r="C59" s="78" t="str">
        <f t="shared" si="18"/>
        <v>zspd=1</v>
      </c>
      <c r="D59" s="78" t="s">
        <v>1121</v>
      </c>
      <c r="E59" s="78">
        <v>1</v>
      </c>
      <c r="F59" s="78" t="s">
        <v>1152</v>
      </c>
      <c r="G59" s="78" t="s">
        <v>1113</v>
      </c>
      <c r="H59" s="78" t="s">
        <v>1123</v>
      </c>
    </row>
    <row r="60" spans="2:8">
      <c r="B60" s="78" t="s">
        <v>1125</v>
      </c>
      <c r="C60" s="78" t="str">
        <f t="shared" si="18"/>
        <v>zspd=8</v>
      </c>
      <c r="D60" s="78" t="s">
        <v>1121</v>
      </c>
      <c r="E60" s="78">
        <v>8</v>
      </c>
      <c r="F60" s="78" t="s">
        <v>1152</v>
      </c>
      <c r="G60" s="78" t="s">
        <v>1113</v>
      </c>
      <c r="H60" s="78"/>
    </row>
    <row r="61" spans="2:8">
      <c r="B61" s="78" t="s">
        <v>1127</v>
      </c>
      <c r="C61" s="78" t="str">
        <f t="shared" si="18"/>
        <v>zoom=1</v>
      </c>
      <c r="D61" s="78" t="s">
        <v>1126</v>
      </c>
      <c r="E61" s="78">
        <v>1</v>
      </c>
      <c r="F61" s="78" t="s">
        <v>1152</v>
      </c>
      <c r="G61" s="78" t="s">
        <v>1113</v>
      </c>
      <c r="H61" s="78"/>
    </row>
    <row r="62" spans="2:8">
      <c r="B62" s="78" t="s">
        <v>1128</v>
      </c>
      <c r="C62" s="78" t="str">
        <f t="shared" si="18"/>
        <v>zoom=1</v>
      </c>
      <c r="D62" s="78" t="s">
        <v>1126</v>
      </c>
      <c r="E62" s="78">
        <v>1</v>
      </c>
      <c r="F62" s="78" t="s">
        <v>1152</v>
      </c>
      <c r="G62" s="78" t="s">
        <v>1113</v>
      </c>
      <c r="H62" s="78"/>
    </row>
    <row r="63" spans="2:8">
      <c r="B63" s="78" t="s">
        <v>988</v>
      </c>
      <c r="C63" s="78" t="str">
        <f t="shared" si="18"/>
        <v>zoom=stop</v>
      </c>
      <c r="D63" s="78" t="s">
        <v>1126</v>
      </c>
      <c r="E63" s="78" t="s">
        <v>1114</v>
      </c>
      <c r="F63" s="78" t="s">
        <v>1152</v>
      </c>
      <c r="G63" s="78" t="s">
        <v>1113</v>
      </c>
      <c r="H63" s="78"/>
    </row>
    <row r="64" spans="2:8">
      <c r="B64" s="78" t="s">
        <v>1131</v>
      </c>
      <c r="C64" s="78" t="str">
        <f t="shared" ref="C64:C69" si="19">IF(G64="get", D64, D64&amp;"="&amp;E64)</f>
        <v>focus=near</v>
      </c>
      <c r="D64" s="78" t="s">
        <v>1111</v>
      </c>
      <c r="E64" s="78" t="s">
        <v>1129</v>
      </c>
      <c r="F64" s="78" t="s">
        <v>1152</v>
      </c>
      <c r="G64" s="78" t="s">
        <v>1113</v>
      </c>
      <c r="H64" s="78"/>
    </row>
    <row r="65" spans="2:8">
      <c r="B65" s="78" t="s">
        <v>1132</v>
      </c>
      <c r="C65" s="78" t="str">
        <f t="shared" si="19"/>
        <v>focus=far</v>
      </c>
      <c r="D65" s="78" t="s">
        <v>1111</v>
      </c>
      <c r="E65" s="78" t="s">
        <v>1130</v>
      </c>
      <c r="F65" s="78" t="s">
        <v>1152</v>
      </c>
      <c r="G65" s="78" t="s">
        <v>1113</v>
      </c>
      <c r="H65" s="78"/>
    </row>
    <row r="66" spans="2:8">
      <c r="B66" s="78" t="s">
        <v>1133</v>
      </c>
      <c r="C66" s="78" t="str">
        <f t="shared" si="19"/>
        <v>focus=1</v>
      </c>
      <c r="D66" s="78" t="s">
        <v>1111</v>
      </c>
      <c r="E66" s="78">
        <v>1</v>
      </c>
      <c r="F66" s="78" t="s">
        <v>1233</v>
      </c>
      <c r="G66" s="78" t="s">
        <v>1113</v>
      </c>
      <c r="H66" s="78"/>
    </row>
    <row r="67" spans="2:8">
      <c r="B67" s="78" t="s">
        <v>1134</v>
      </c>
      <c r="C67" s="78" t="str">
        <f t="shared" si="19"/>
        <v>focus=1</v>
      </c>
      <c r="D67" s="78" t="s">
        <v>1111</v>
      </c>
      <c r="E67" s="78">
        <v>1</v>
      </c>
      <c r="F67" s="78" t="s">
        <v>1152</v>
      </c>
      <c r="G67" s="78" t="s">
        <v>1113</v>
      </c>
      <c r="H67" s="78"/>
    </row>
    <row r="68" spans="2:8">
      <c r="B68" s="78" t="s">
        <v>993</v>
      </c>
      <c r="C68" s="78" t="str">
        <f t="shared" si="19"/>
        <v>focus=stop</v>
      </c>
      <c r="D68" s="78" t="s">
        <v>1111</v>
      </c>
      <c r="E68" s="78" t="s">
        <v>1114</v>
      </c>
      <c r="F68" s="78" t="s">
        <v>1152</v>
      </c>
      <c r="G68" s="78" t="s">
        <v>1113</v>
      </c>
      <c r="H68" s="78"/>
    </row>
    <row r="69" spans="2:8">
      <c r="B69" s="78" t="s">
        <v>1135</v>
      </c>
      <c r="C69" s="78" t="str">
        <f t="shared" si="19"/>
        <v>move=stop</v>
      </c>
      <c r="D69" s="78" t="s">
        <v>1110</v>
      </c>
      <c r="E69" s="78" t="s">
        <v>1114</v>
      </c>
      <c r="F69" s="78" t="s">
        <v>1152</v>
      </c>
      <c r="G69" s="78" t="s">
        <v>1113</v>
      </c>
      <c r="H69" s="7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8F8D-4E48-4855-8430-CC9FC0E96FA3}">
  <dimension ref="B1:AK379"/>
  <sheetViews>
    <sheetView zoomScaleNormal="100" workbookViewId="0">
      <pane xSplit="3" ySplit="2" topLeftCell="D353" activePane="bottomRight" state="frozen"/>
      <selection pane="topRight" activeCell="I1" sqref="I1"/>
      <selection pane="bottomLeft" activeCell="A3" sqref="A3"/>
      <selection pane="bottomRight" activeCell="L359" sqref="L359"/>
    </sheetView>
  </sheetViews>
  <sheetFormatPr defaultColWidth="11.5546875" defaultRowHeight="16.5" customHeight="1"/>
  <cols>
    <col min="1" max="1" width="2.6640625" customWidth="1"/>
    <col min="2" max="2" width="20.88671875" style="126" customWidth="1"/>
    <col min="3" max="3" width="25.33203125" style="126" customWidth="1"/>
    <col min="4" max="5" width="3.109375" bestFit="1" customWidth="1"/>
    <col min="6" max="6" width="3.21875" bestFit="1" customWidth="1"/>
    <col min="7" max="7" width="3.44140625" bestFit="1" customWidth="1"/>
    <col min="8" max="8" width="3.44140625" style="6" bestFit="1" customWidth="1"/>
    <col min="9" max="9" width="5.21875" bestFit="1" customWidth="1"/>
    <col min="10" max="15" width="2.88671875" bestFit="1" customWidth="1"/>
    <col min="16" max="16" width="4.5546875" bestFit="1" customWidth="1"/>
    <col min="17" max="17" width="3.6640625" style="7" bestFit="1" customWidth="1"/>
    <col min="18" max="18" width="3.109375" style="7" customWidth="1"/>
    <col min="19" max="19" width="3.6640625" style="8" bestFit="1" customWidth="1"/>
    <col min="20" max="21" width="3.109375" style="7" bestFit="1" customWidth="1"/>
    <col min="22" max="22" width="7.33203125" style="7" customWidth="1"/>
    <col min="23" max="23" width="8.44140625" style="7" customWidth="1"/>
    <col min="24" max="25" width="7" style="7" bestFit="1" customWidth="1"/>
    <col min="26" max="28" width="3.109375" style="7" bestFit="1" customWidth="1"/>
    <col min="29" max="32" width="3.88671875" style="7" bestFit="1" customWidth="1"/>
    <col min="33" max="33" width="5.77734375" style="7" bestFit="1" customWidth="1"/>
    <col min="34" max="34" width="7" style="7" customWidth="1"/>
    <col min="36" max="37" width="16.5546875" style="7" bestFit="1" customWidth="1"/>
  </cols>
  <sheetData>
    <row r="1" spans="2:37" ht="16.5" customHeight="1">
      <c r="C1" s="141"/>
    </row>
    <row r="2" spans="2:37" s="2" customFormat="1" ht="33.75" customHeight="1">
      <c r="B2" s="139" t="s">
        <v>0</v>
      </c>
      <c r="C2" s="139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1990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 t="s">
        <v>1996</v>
      </c>
      <c r="Q2" s="11" t="s">
        <v>29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11" t="s">
        <v>39</v>
      </c>
      <c r="Y2" s="11" t="s">
        <v>40</v>
      </c>
      <c r="Z2" s="117" t="s">
        <v>1360</v>
      </c>
      <c r="AA2" s="117" t="s">
        <v>1363</v>
      </c>
      <c r="AB2" s="117" t="s">
        <v>1991</v>
      </c>
      <c r="AC2" s="117" t="s">
        <v>1992</v>
      </c>
      <c r="AD2" s="117" t="s">
        <v>1993</v>
      </c>
      <c r="AE2" s="117" t="s">
        <v>1994</v>
      </c>
      <c r="AF2" s="117" t="s">
        <v>1995</v>
      </c>
      <c r="AG2" s="117"/>
      <c r="AH2" s="120" t="s">
        <v>1698</v>
      </c>
      <c r="AI2" s="120" t="s">
        <v>1699</v>
      </c>
      <c r="AJ2" s="64" t="s">
        <v>701</v>
      </c>
      <c r="AK2" s="64" t="s">
        <v>178</v>
      </c>
    </row>
    <row r="3" spans="2:37" s="115" customFormat="1" ht="16.5" customHeight="1">
      <c r="B3" s="122" t="s">
        <v>1686</v>
      </c>
      <c r="C3" s="122" t="s">
        <v>1614</v>
      </c>
      <c r="D3" s="113"/>
      <c r="E3" s="113"/>
      <c r="F3" s="113"/>
      <c r="G3" s="113"/>
      <c r="H3" s="113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  <c r="Z3" s="118"/>
      <c r="AA3" s="118"/>
      <c r="AB3" s="118"/>
      <c r="AC3" s="118"/>
      <c r="AD3" s="118"/>
      <c r="AE3" s="118"/>
      <c r="AF3" s="118"/>
      <c r="AG3" s="118"/>
      <c r="AH3" s="118"/>
      <c r="AJ3" s="116" t="s">
        <v>1611</v>
      </c>
      <c r="AK3" s="116" t="s">
        <v>1613</v>
      </c>
    </row>
    <row r="4" spans="2:37" s="2" customFormat="1" ht="16.5" customHeight="1">
      <c r="B4" s="122" t="s">
        <v>1532</v>
      </c>
      <c r="C4" s="122" t="str">
        <f t="shared" ref="C4:C30" si="0">"FF"&amp;D4&amp;E4&amp;""&amp;F4&amp;G4&amp;H4&amp;I4</f>
        <v>FF010000000001</v>
      </c>
      <c r="D4" s="60" t="s">
        <v>24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W4</f>
        <v>01</v>
      </c>
      <c r="J4" s="12"/>
      <c r="K4" s="12"/>
      <c r="L4" s="12"/>
      <c r="M4" s="12"/>
      <c r="N4" s="12"/>
      <c r="O4" s="12"/>
      <c r="P4" s="12"/>
      <c r="Q4" s="13">
        <f t="shared" ref="Q4:Q30" si="1">HEX2DEC(D4)</f>
        <v>1</v>
      </c>
      <c r="R4" s="13">
        <f t="shared" ref="R4:R30" si="2">HEX2DEC(E4)</f>
        <v>0</v>
      </c>
      <c r="S4" s="13">
        <f t="shared" ref="S4:S30" si="3">HEX2DEC(F4)</f>
        <v>0</v>
      </c>
      <c r="T4" s="13">
        <f t="shared" ref="T4:T30" si="4">HEX2DEC(G4)</f>
        <v>0</v>
      </c>
      <c r="U4" s="13">
        <f>SUM(Q4:T4)</f>
        <v>1</v>
      </c>
      <c r="V4" s="13">
        <f t="shared" ref="V4" si="5">SUM(R4:U4)</f>
        <v>1</v>
      </c>
      <c r="W4" s="13" t="str">
        <f>REPT("0",2-LEN(RIGHT(DEC2HEX(U4), 2)))&amp;RIGHT(DEC2HEX(U4), 2)</f>
        <v>01</v>
      </c>
      <c r="X4" s="13">
        <f>SUM(R4:W4)</f>
        <v>2</v>
      </c>
      <c r="Y4" s="13" t="str">
        <f>REPT("0",2-LEN(RIGHT(DEC2HEX(X4), 2)))&amp;RIGHT(DEC2HEX(X4), 2)</f>
        <v>02</v>
      </c>
      <c r="Z4" s="119"/>
      <c r="AA4" s="119"/>
      <c r="AB4" s="119"/>
      <c r="AC4" s="119"/>
      <c r="AD4" s="119"/>
      <c r="AE4" s="119"/>
      <c r="AF4" s="119"/>
      <c r="AG4" s="119"/>
      <c r="AH4" s="119"/>
      <c r="AJ4" s="64" t="s">
        <v>1531</v>
      </c>
      <c r="AK4" s="64" t="s">
        <v>541</v>
      </c>
    </row>
    <row r="5" spans="2:37" s="2" customFormat="1" ht="16.5" customHeight="1">
      <c r="B5" s="122" t="s">
        <v>13</v>
      </c>
      <c r="C5" s="122" t="str">
        <f t="shared" si="0"/>
        <v>FF010008404089</v>
      </c>
      <c r="D5" s="60" t="s">
        <v>24</v>
      </c>
      <c r="E5" s="60" t="s">
        <v>16</v>
      </c>
      <c r="F5" s="60" t="s">
        <v>1268</v>
      </c>
      <c r="G5" s="60" t="s">
        <v>1503</v>
      </c>
      <c r="H5" s="60" t="s">
        <v>1503</v>
      </c>
      <c r="I5" s="12" t="str">
        <f>W5</f>
        <v>89</v>
      </c>
      <c r="J5" s="12"/>
      <c r="K5" s="12"/>
      <c r="L5" s="12"/>
      <c r="M5" s="12"/>
      <c r="N5" s="12"/>
      <c r="O5" s="12"/>
      <c r="P5" s="12"/>
      <c r="Q5" s="13">
        <f t="shared" si="1"/>
        <v>1</v>
      </c>
      <c r="R5" s="13">
        <f t="shared" si="2"/>
        <v>0</v>
      </c>
      <c r="S5" s="13">
        <f t="shared" si="3"/>
        <v>8</v>
      </c>
      <c r="T5" s="13">
        <f t="shared" si="4"/>
        <v>64</v>
      </c>
      <c r="U5" s="13">
        <f t="shared" ref="U5:U31" si="6">HEX2DEC(H5)</f>
        <v>64</v>
      </c>
      <c r="V5" s="13">
        <f>SUM(Q5:U5)</f>
        <v>137</v>
      </c>
      <c r="W5" s="13" t="str">
        <f>REPT("0",2-LEN(RIGHT(DEC2HEX(V5), 2)))&amp;RIGHT(DEC2HEX(V5), 2)</f>
        <v>89</v>
      </c>
      <c r="X5" s="13">
        <f>SUM(Q5:W5)</f>
        <v>274</v>
      </c>
      <c r="Y5" s="13" t="str">
        <f t="shared" ref="Y5:Y73" si="7">REPT("0",2-LEN(RIGHT(DEC2HEX(X5), 2)))&amp;RIGHT(DEC2HEX(X5), 2)</f>
        <v>12</v>
      </c>
      <c r="Z5" s="119"/>
      <c r="AA5" s="119"/>
      <c r="AB5" s="119"/>
      <c r="AC5" s="119"/>
      <c r="AD5" s="119"/>
      <c r="AE5" s="119"/>
      <c r="AF5" s="119"/>
      <c r="AG5" s="119"/>
      <c r="AH5" s="119"/>
      <c r="AJ5" s="64" t="s">
        <v>1574</v>
      </c>
      <c r="AK5" s="64" t="s">
        <v>2122</v>
      </c>
    </row>
    <row r="6" spans="2:37" s="2" customFormat="1" ht="16.5" customHeight="1">
      <c r="B6" s="122" t="s">
        <v>14</v>
      </c>
      <c r="C6" s="122" t="str">
        <f t="shared" si="0"/>
        <v>FF010010404091</v>
      </c>
      <c r="D6" s="60" t="s">
        <v>24</v>
      </c>
      <c r="E6" s="60" t="s">
        <v>16</v>
      </c>
      <c r="F6" s="60" t="s">
        <v>109</v>
      </c>
      <c r="G6" s="60" t="s">
        <v>1503</v>
      </c>
      <c r="H6" s="60" t="s">
        <v>1503</v>
      </c>
      <c r="I6" s="12" t="str">
        <f>W6</f>
        <v>91</v>
      </c>
      <c r="J6" s="12"/>
      <c r="K6" s="12"/>
      <c r="L6" s="12"/>
      <c r="M6" s="12"/>
      <c r="N6" s="12"/>
      <c r="O6" s="12"/>
      <c r="P6" s="12"/>
      <c r="Q6" s="13">
        <f t="shared" si="1"/>
        <v>1</v>
      </c>
      <c r="R6" s="13">
        <f t="shared" si="2"/>
        <v>0</v>
      </c>
      <c r="S6" s="13">
        <f t="shared" si="3"/>
        <v>16</v>
      </c>
      <c r="T6" s="13">
        <f t="shared" si="4"/>
        <v>64</v>
      </c>
      <c r="U6" s="13">
        <f t="shared" si="6"/>
        <v>64</v>
      </c>
      <c r="V6" s="13">
        <f t="shared" ref="V6:V8" si="8">SUM(Q6:U6)</f>
        <v>145</v>
      </c>
      <c r="W6" s="13" t="str">
        <f t="shared" ref="W6:W73" si="9">REPT("0",2-LEN(RIGHT(DEC2HEX(V6), 2)))&amp;RIGHT(DEC2HEX(V6), 2)</f>
        <v>91</v>
      </c>
      <c r="X6" s="13">
        <f>SUM(R6:W6)</f>
        <v>289</v>
      </c>
      <c r="Y6" s="13" t="str">
        <f t="shared" si="7"/>
        <v>21</v>
      </c>
      <c r="Z6" s="119"/>
      <c r="AA6" s="119"/>
      <c r="AB6" s="119"/>
      <c r="AC6" s="119"/>
      <c r="AD6" s="119"/>
      <c r="AE6" s="119"/>
      <c r="AF6" s="119"/>
      <c r="AG6" s="119"/>
      <c r="AH6" s="119"/>
      <c r="AJ6" s="64" t="s">
        <v>1575</v>
      </c>
      <c r="AK6" s="64" t="s">
        <v>1535</v>
      </c>
    </row>
    <row r="7" spans="2:37" s="2" customFormat="1" ht="16.5" customHeight="1">
      <c r="B7" s="122" t="s">
        <v>11</v>
      </c>
      <c r="C7" s="122" t="str">
        <f t="shared" si="0"/>
        <v>FF010004404085</v>
      </c>
      <c r="D7" s="60" t="s">
        <v>24</v>
      </c>
      <c r="E7" s="60" t="s">
        <v>16</v>
      </c>
      <c r="F7" s="60" t="s">
        <v>67</v>
      </c>
      <c r="G7" s="60" t="s">
        <v>1503</v>
      </c>
      <c r="H7" s="60" t="s">
        <v>1503</v>
      </c>
      <c r="I7" s="12" t="str">
        <f>W7</f>
        <v>85</v>
      </c>
      <c r="J7" s="12"/>
      <c r="K7" s="12"/>
      <c r="L7" s="12"/>
      <c r="M7" s="12"/>
      <c r="N7" s="12"/>
      <c r="O7" s="12"/>
      <c r="P7" s="12"/>
      <c r="Q7" s="13">
        <f t="shared" si="1"/>
        <v>1</v>
      </c>
      <c r="R7" s="13">
        <f t="shared" si="2"/>
        <v>0</v>
      </c>
      <c r="S7" s="13">
        <f t="shared" si="3"/>
        <v>4</v>
      </c>
      <c r="T7" s="13">
        <f t="shared" si="4"/>
        <v>64</v>
      </c>
      <c r="U7" s="13">
        <f t="shared" si="6"/>
        <v>64</v>
      </c>
      <c r="V7" s="13">
        <f t="shared" si="8"/>
        <v>133</v>
      </c>
      <c r="W7" s="13" t="str">
        <f t="shared" si="9"/>
        <v>85</v>
      </c>
      <c r="X7" s="13">
        <f>SUM(R7:W7)</f>
        <v>265</v>
      </c>
      <c r="Y7" s="13" t="str">
        <f t="shared" si="7"/>
        <v>09</v>
      </c>
      <c r="Z7" s="119"/>
      <c r="AA7" s="119"/>
      <c r="AB7" s="119"/>
      <c r="AC7" s="119"/>
      <c r="AD7" s="119"/>
      <c r="AE7" s="119"/>
      <c r="AF7" s="119"/>
      <c r="AG7" s="119"/>
      <c r="AH7" s="119"/>
      <c r="AJ7" s="64" t="s">
        <v>1576</v>
      </c>
      <c r="AK7" s="64" t="s">
        <v>1536</v>
      </c>
    </row>
    <row r="8" spans="2:37" s="2" customFormat="1" ht="16.5" customHeight="1">
      <c r="B8" s="122" t="s">
        <v>12</v>
      </c>
      <c r="C8" s="122" t="str">
        <f t="shared" si="0"/>
        <v>FF010002404083</v>
      </c>
      <c r="D8" s="60" t="s">
        <v>24</v>
      </c>
      <c r="E8" s="60" t="s">
        <v>16</v>
      </c>
      <c r="F8" s="60" t="s">
        <v>17</v>
      </c>
      <c r="G8" s="60" t="s">
        <v>1503</v>
      </c>
      <c r="H8" s="60" t="s">
        <v>1503</v>
      </c>
      <c r="I8" s="12" t="str">
        <f>W8</f>
        <v>83</v>
      </c>
      <c r="J8" s="12"/>
      <c r="K8" s="12"/>
      <c r="L8" s="12"/>
      <c r="M8" s="12"/>
      <c r="N8" s="12"/>
      <c r="O8" s="12"/>
      <c r="P8" s="12"/>
      <c r="Q8" s="13">
        <f t="shared" si="1"/>
        <v>1</v>
      </c>
      <c r="R8" s="13">
        <f t="shared" si="2"/>
        <v>0</v>
      </c>
      <c r="S8" s="13">
        <f t="shared" si="3"/>
        <v>2</v>
      </c>
      <c r="T8" s="13">
        <f t="shared" si="4"/>
        <v>64</v>
      </c>
      <c r="U8" s="13">
        <f t="shared" si="6"/>
        <v>64</v>
      </c>
      <c r="V8" s="13">
        <f t="shared" si="8"/>
        <v>131</v>
      </c>
      <c r="W8" s="13" t="str">
        <f t="shared" si="9"/>
        <v>83</v>
      </c>
      <c r="X8" s="13">
        <f>SUM(R8:W8)</f>
        <v>261</v>
      </c>
      <c r="Y8" s="13" t="str">
        <f t="shared" si="7"/>
        <v>05</v>
      </c>
      <c r="Z8" s="119"/>
      <c r="AA8" s="119"/>
      <c r="AB8" s="119"/>
      <c r="AC8" s="119"/>
      <c r="AD8" s="119"/>
      <c r="AE8" s="119"/>
      <c r="AF8" s="119"/>
      <c r="AG8" s="119"/>
      <c r="AH8" s="119"/>
      <c r="AJ8" s="64" t="s">
        <v>1577</v>
      </c>
      <c r="AK8" s="64" t="s">
        <v>1537</v>
      </c>
    </row>
    <row r="9" spans="2:37" ht="16.5" customHeight="1">
      <c r="B9" s="122" t="s">
        <v>1499</v>
      </c>
      <c r="C9" s="122" t="str">
        <f t="shared" si="0"/>
        <v>FF01000C40408D</v>
      </c>
      <c r="D9" s="60" t="s">
        <v>24</v>
      </c>
      <c r="E9" s="60" t="s">
        <v>16</v>
      </c>
      <c r="F9" s="60" t="s">
        <v>1394</v>
      </c>
      <c r="G9" s="60" t="s">
        <v>1503</v>
      </c>
      <c r="H9" s="60" t="s">
        <v>1503</v>
      </c>
      <c r="I9" s="12" t="str">
        <f t="shared" ref="I9:I53" si="10">W9</f>
        <v>8D</v>
      </c>
      <c r="J9" s="12"/>
      <c r="K9" s="12"/>
      <c r="L9" s="12"/>
      <c r="M9" s="12"/>
      <c r="N9" s="12"/>
      <c r="O9" s="12"/>
      <c r="P9" s="12"/>
      <c r="Q9" s="13">
        <f t="shared" si="1"/>
        <v>1</v>
      </c>
      <c r="R9" s="13">
        <f t="shared" si="2"/>
        <v>0</v>
      </c>
      <c r="S9" s="13">
        <f t="shared" si="3"/>
        <v>12</v>
      </c>
      <c r="T9" s="13">
        <f t="shared" si="4"/>
        <v>64</v>
      </c>
      <c r="U9" s="13">
        <f t="shared" si="6"/>
        <v>64</v>
      </c>
      <c r="V9" s="13">
        <f t="shared" ref="V9:V53" si="11">SUM(Q9:U9)</f>
        <v>141</v>
      </c>
      <c r="W9" s="13" t="str">
        <f t="shared" si="9"/>
        <v>8D</v>
      </c>
      <c r="X9" s="13">
        <f t="shared" ref="X9:X53" si="12">SUM(R9:W9)</f>
        <v>281</v>
      </c>
      <c r="Y9" s="13" t="str">
        <f t="shared" si="7"/>
        <v>19</v>
      </c>
      <c r="Z9" s="119"/>
      <c r="AA9" s="119"/>
      <c r="AB9" s="119"/>
      <c r="AC9" s="119"/>
      <c r="AD9" s="119"/>
      <c r="AE9" s="119"/>
      <c r="AF9" s="119"/>
      <c r="AG9" s="119"/>
      <c r="AH9" s="119"/>
      <c r="AJ9" s="64" t="s">
        <v>1578</v>
      </c>
      <c r="AK9" s="64" t="s">
        <v>1538</v>
      </c>
    </row>
    <row r="10" spans="2:37" ht="16.5" customHeight="1">
      <c r="B10" s="122" t="s">
        <v>1500</v>
      </c>
      <c r="C10" s="122" t="str">
        <f t="shared" si="0"/>
        <v>FF01000A40408B</v>
      </c>
      <c r="D10" s="60" t="s">
        <v>24</v>
      </c>
      <c r="E10" s="60" t="s">
        <v>16</v>
      </c>
      <c r="F10" s="60" t="s">
        <v>61</v>
      </c>
      <c r="G10" s="60" t="s">
        <v>1503</v>
      </c>
      <c r="H10" s="60" t="s">
        <v>1503</v>
      </c>
      <c r="I10" s="12" t="str">
        <f t="shared" si="10"/>
        <v>8B</v>
      </c>
      <c r="J10" s="12"/>
      <c r="K10" s="12"/>
      <c r="L10" s="12"/>
      <c r="M10" s="12"/>
      <c r="N10" s="12"/>
      <c r="O10" s="12"/>
      <c r="P10" s="12"/>
      <c r="Q10" s="13">
        <f t="shared" si="1"/>
        <v>1</v>
      </c>
      <c r="R10" s="13">
        <f t="shared" si="2"/>
        <v>0</v>
      </c>
      <c r="S10" s="13">
        <f t="shared" si="3"/>
        <v>10</v>
      </c>
      <c r="T10" s="13">
        <f t="shared" si="4"/>
        <v>64</v>
      </c>
      <c r="U10" s="13">
        <f t="shared" si="6"/>
        <v>64</v>
      </c>
      <c r="V10" s="13">
        <f t="shared" si="11"/>
        <v>139</v>
      </c>
      <c r="W10" s="13" t="str">
        <f t="shared" si="9"/>
        <v>8B</v>
      </c>
      <c r="X10" s="13">
        <f t="shared" si="12"/>
        <v>277</v>
      </c>
      <c r="Y10" s="13" t="str">
        <f t="shared" si="7"/>
        <v>15</v>
      </c>
      <c r="Z10" s="119"/>
      <c r="AA10" s="119"/>
      <c r="AB10" s="119"/>
      <c r="AC10" s="119"/>
      <c r="AD10" s="119"/>
      <c r="AE10" s="119"/>
      <c r="AF10" s="119"/>
      <c r="AG10" s="119"/>
      <c r="AH10" s="119"/>
      <c r="AJ10" s="64" t="s">
        <v>1579</v>
      </c>
      <c r="AK10" s="64" t="s">
        <v>1539</v>
      </c>
    </row>
    <row r="11" spans="2:37" ht="16.5" customHeight="1">
      <c r="B11" s="122" t="s">
        <v>1501</v>
      </c>
      <c r="C11" s="122" t="str">
        <f t="shared" si="0"/>
        <v>FF010014404095</v>
      </c>
      <c r="D11" s="60" t="s">
        <v>24</v>
      </c>
      <c r="E11" s="60" t="s">
        <v>16</v>
      </c>
      <c r="F11" s="60">
        <v>14</v>
      </c>
      <c r="G11" s="60" t="s">
        <v>1503</v>
      </c>
      <c r="H11" s="60" t="s">
        <v>1503</v>
      </c>
      <c r="I11" s="12" t="str">
        <f t="shared" si="10"/>
        <v>95</v>
      </c>
      <c r="J11" s="12"/>
      <c r="K11" s="12"/>
      <c r="L11" s="12"/>
      <c r="M11" s="12"/>
      <c r="N11" s="12"/>
      <c r="O11" s="12"/>
      <c r="P11" s="12"/>
      <c r="Q11" s="13">
        <f t="shared" si="1"/>
        <v>1</v>
      </c>
      <c r="R11" s="13">
        <f t="shared" si="2"/>
        <v>0</v>
      </c>
      <c r="S11" s="13">
        <f t="shared" si="3"/>
        <v>20</v>
      </c>
      <c r="T11" s="13">
        <f t="shared" si="4"/>
        <v>64</v>
      </c>
      <c r="U11" s="13">
        <f t="shared" si="6"/>
        <v>64</v>
      </c>
      <c r="V11" s="13">
        <f t="shared" si="11"/>
        <v>149</v>
      </c>
      <c r="W11" s="13" t="str">
        <f t="shared" si="9"/>
        <v>95</v>
      </c>
      <c r="X11" s="13">
        <f t="shared" si="12"/>
        <v>297</v>
      </c>
      <c r="Y11" s="13" t="str">
        <f t="shared" si="7"/>
        <v>29</v>
      </c>
      <c r="Z11" s="119"/>
      <c r="AA11" s="119"/>
      <c r="AB11" s="119"/>
      <c r="AC11" s="119"/>
      <c r="AD11" s="119"/>
      <c r="AE11" s="119"/>
      <c r="AF11" s="119"/>
      <c r="AG11" s="119"/>
      <c r="AH11" s="119"/>
      <c r="AJ11" s="64" t="s">
        <v>1580</v>
      </c>
      <c r="AK11" s="64" t="s">
        <v>1540</v>
      </c>
    </row>
    <row r="12" spans="2:37" ht="16.5" customHeight="1">
      <c r="B12" s="122" t="s">
        <v>1502</v>
      </c>
      <c r="C12" s="122" t="str">
        <f t="shared" si="0"/>
        <v>FF010012404093</v>
      </c>
      <c r="D12" s="60" t="s">
        <v>24</v>
      </c>
      <c r="E12" s="60" t="s">
        <v>16</v>
      </c>
      <c r="F12" s="60">
        <v>12</v>
      </c>
      <c r="G12" s="60" t="s">
        <v>1503</v>
      </c>
      <c r="H12" s="60" t="s">
        <v>1503</v>
      </c>
      <c r="I12" s="12" t="str">
        <f t="shared" si="10"/>
        <v>93</v>
      </c>
      <c r="J12" s="12"/>
      <c r="K12" s="12"/>
      <c r="L12" s="12"/>
      <c r="M12" s="12"/>
      <c r="N12" s="12"/>
      <c r="O12" s="12"/>
      <c r="P12" s="12"/>
      <c r="Q12" s="13">
        <f t="shared" si="1"/>
        <v>1</v>
      </c>
      <c r="R12" s="13">
        <f t="shared" si="2"/>
        <v>0</v>
      </c>
      <c r="S12" s="13">
        <f t="shared" si="3"/>
        <v>18</v>
      </c>
      <c r="T12" s="13">
        <f t="shared" si="4"/>
        <v>64</v>
      </c>
      <c r="U12" s="13">
        <f t="shared" si="6"/>
        <v>64</v>
      </c>
      <c r="V12" s="13">
        <f t="shared" si="11"/>
        <v>147</v>
      </c>
      <c r="W12" s="13" t="str">
        <f t="shared" si="9"/>
        <v>93</v>
      </c>
      <c r="X12" s="13">
        <f t="shared" si="12"/>
        <v>293</v>
      </c>
      <c r="Y12" s="13" t="str">
        <f t="shared" si="7"/>
        <v>25</v>
      </c>
      <c r="Z12" s="119"/>
      <c r="AA12" s="119"/>
      <c r="AB12" s="119"/>
      <c r="AC12" s="119"/>
      <c r="AD12" s="119"/>
      <c r="AE12" s="119"/>
      <c r="AF12" s="119"/>
      <c r="AG12" s="119"/>
      <c r="AH12" s="119"/>
      <c r="AJ12" s="64" t="s">
        <v>1581</v>
      </c>
      <c r="AK12" s="64" t="s">
        <v>1541</v>
      </c>
    </row>
    <row r="13" spans="2:37" ht="16.5" customHeight="1">
      <c r="B13" s="122" t="s">
        <v>1965</v>
      </c>
      <c r="C13" s="122" t="str">
        <f t="shared" si="0"/>
        <v>FF01000F000010</v>
      </c>
      <c r="D13" s="60" t="s">
        <v>24</v>
      </c>
      <c r="E13" s="60" t="s">
        <v>16</v>
      </c>
      <c r="F13" s="60" t="s">
        <v>78</v>
      </c>
      <c r="G13" s="60" t="s">
        <v>16</v>
      </c>
      <c r="H13" s="60" t="s">
        <v>16</v>
      </c>
      <c r="I13" s="12" t="str">
        <f t="shared" si="10"/>
        <v>10</v>
      </c>
      <c r="J13" s="12"/>
      <c r="K13" s="12"/>
      <c r="L13" s="12"/>
      <c r="M13" s="12"/>
      <c r="N13" s="12"/>
      <c r="O13" s="12"/>
      <c r="P13" s="12"/>
      <c r="Q13" s="13">
        <f t="shared" si="1"/>
        <v>1</v>
      </c>
      <c r="R13" s="13">
        <f t="shared" si="2"/>
        <v>0</v>
      </c>
      <c r="S13" s="13">
        <f t="shared" si="3"/>
        <v>15</v>
      </c>
      <c r="T13" s="13">
        <f t="shared" si="4"/>
        <v>0</v>
      </c>
      <c r="U13" s="13">
        <f t="shared" si="6"/>
        <v>0</v>
      </c>
      <c r="V13" s="13">
        <f t="shared" ref="V13" si="13">SUM(Q13:U13)</f>
        <v>16</v>
      </c>
      <c r="W13" s="13" t="str">
        <f t="shared" ref="W13" si="14">REPT("0",2-LEN(RIGHT(DEC2HEX(V13), 2)))&amp;RIGHT(DEC2HEX(V13), 2)</f>
        <v>10</v>
      </c>
      <c r="X13" s="13">
        <f t="shared" ref="X13" si="15">SUM(R13:W13)</f>
        <v>31</v>
      </c>
      <c r="Y13" s="13" t="str">
        <f t="shared" ref="Y13" si="16">REPT("0",2-LEN(RIGHT(DEC2HEX(X13), 2)))&amp;RIGHT(DEC2HEX(X13), 2)</f>
        <v>1F</v>
      </c>
      <c r="Z13" s="119"/>
      <c r="AA13" s="119"/>
      <c r="AB13" s="119"/>
      <c r="AC13" s="119"/>
      <c r="AD13" s="119"/>
      <c r="AE13" s="119"/>
      <c r="AF13" s="119"/>
      <c r="AG13" s="119"/>
      <c r="AH13" s="119"/>
      <c r="AJ13" s="64" t="s">
        <v>1662</v>
      </c>
      <c r="AK13" s="64" t="s">
        <v>179</v>
      </c>
    </row>
    <row r="14" spans="2:37" ht="16.5" customHeight="1">
      <c r="B14" s="122" t="s">
        <v>77</v>
      </c>
      <c r="C14" s="122" t="str">
        <f t="shared" ref="C14" si="17">"FF"&amp;D14&amp;E14&amp;""&amp;F14&amp;G14&amp;H14&amp;I14</f>
        <v>FF01002900002A</v>
      </c>
      <c r="D14" s="60" t="s">
        <v>24</v>
      </c>
      <c r="E14" s="60" t="s">
        <v>16</v>
      </c>
      <c r="F14" s="60" t="s">
        <v>79</v>
      </c>
      <c r="G14" s="60" t="s">
        <v>16</v>
      </c>
      <c r="H14" s="60" t="s">
        <v>16</v>
      </c>
      <c r="I14" s="12" t="str">
        <f t="shared" ref="I14" si="18">W14</f>
        <v>2A</v>
      </c>
      <c r="J14" s="12"/>
      <c r="K14" s="12"/>
      <c r="L14" s="12"/>
      <c r="M14" s="12"/>
      <c r="N14" s="12"/>
      <c r="O14" s="12"/>
      <c r="P14" s="12"/>
      <c r="Q14" s="13">
        <f t="shared" ref="Q14" si="19">HEX2DEC(D14)</f>
        <v>1</v>
      </c>
      <c r="R14" s="13">
        <f t="shared" ref="R14" si="20">HEX2DEC(E14)</f>
        <v>0</v>
      </c>
      <c r="S14" s="13">
        <f t="shared" ref="S14" si="21">HEX2DEC(F14)</f>
        <v>41</v>
      </c>
      <c r="T14" s="13">
        <f t="shared" ref="T14" si="22">HEX2DEC(G14)</f>
        <v>0</v>
      </c>
      <c r="U14" s="13">
        <f t="shared" ref="U14" si="23">HEX2DEC(H14)</f>
        <v>0</v>
      </c>
      <c r="V14" s="13">
        <f t="shared" ref="V14" si="24">SUM(Q14:U14)</f>
        <v>42</v>
      </c>
      <c r="W14" s="13" t="str">
        <f t="shared" ref="W14" si="25">REPT("0",2-LEN(RIGHT(DEC2HEX(V14), 2)))&amp;RIGHT(DEC2HEX(V14), 2)</f>
        <v>2A</v>
      </c>
      <c r="X14" s="13">
        <f t="shared" ref="X14" si="26">SUM(R14:W14)</f>
        <v>83</v>
      </c>
      <c r="Y14" s="13" t="str">
        <f t="shared" ref="Y14" si="27">REPT("0",2-LEN(RIGHT(DEC2HEX(X14), 2)))&amp;RIGHT(DEC2HEX(X14), 2)</f>
        <v>53</v>
      </c>
      <c r="Z14" s="119"/>
      <c r="AA14" s="119"/>
      <c r="AB14" s="119"/>
      <c r="AC14" s="119"/>
      <c r="AD14" s="119"/>
      <c r="AE14" s="119"/>
      <c r="AF14" s="119"/>
      <c r="AG14" s="119"/>
      <c r="AH14" s="119"/>
      <c r="AJ14" s="64" t="s">
        <v>1662</v>
      </c>
      <c r="AK14" s="64" t="s">
        <v>180</v>
      </c>
    </row>
    <row r="15" spans="2:37" ht="16.5" customHeight="1">
      <c r="B15" s="122" t="s">
        <v>1708</v>
      </c>
      <c r="C15" s="122" t="str">
        <f t="shared" si="0"/>
        <v>FF01004BB1E0DD</v>
      </c>
      <c r="D15" s="60" t="s">
        <v>24</v>
      </c>
      <c r="E15" s="60" t="s">
        <v>16</v>
      </c>
      <c r="F15" s="60" t="s">
        <v>1511</v>
      </c>
      <c r="G15" s="60" t="s">
        <v>32</v>
      </c>
      <c r="H15" s="60" t="s">
        <v>15</v>
      </c>
      <c r="I15" s="12" t="str">
        <f t="shared" ref="I15:I39" si="28">W15</f>
        <v>DD</v>
      </c>
      <c r="J15" s="12"/>
      <c r="K15" s="12"/>
      <c r="L15" s="12"/>
      <c r="M15" s="12"/>
      <c r="N15" s="12"/>
      <c r="O15" s="12"/>
      <c r="P15" s="12"/>
      <c r="Q15" s="13">
        <f t="shared" si="1"/>
        <v>1</v>
      </c>
      <c r="R15" s="13">
        <f t="shared" si="2"/>
        <v>0</v>
      </c>
      <c r="S15" s="13">
        <f t="shared" si="3"/>
        <v>75</v>
      </c>
      <c r="T15" s="13">
        <f t="shared" si="4"/>
        <v>177</v>
      </c>
      <c r="U15" s="13">
        <f t="shared" si="6"/>
        <v>224</v>
      </c>
      <c r="V15" s="13">
        <f t="shared" ref="V15:V39" si="29">SUM(Q15:U15)</f>
        <v>477</v>
      </c>
      <c r="W15" s="13" t="str">
        <f t="shared" ref="W15:W39" si="30">REPT("0",2-LEN(RIGHT(DEC2HEX(V15), 2)))&amp;RIGHT(DEC2HEX(V15), 2)</f>
        <v>DD</v>
      </c>
      <c r="X15" s="13">
        <f t="shared" ref="X15:X39" si="31">SUM(R15:W15)</f>
        <v>953</v>
      </c>
      <c r="Y15" s="13" t="str">
        <f t="shared" ref="Y15:Y39" si="32">REPT("0",2-LEN(RIGHT(DEC2HEX(X15), 2)))&amp;RIGHT(DEC2HEX(X15), 2)</f>
        <v>B9</v>
      </c>
      <c r="Z15" s="119"/>
      <c r="AA15" s="119"/>
      <c r="AB15" s="119"/>
      <c r="AC15" s="119"/>
      <c r="AD15" s="119"/>
      <c r="AE15" s="119"/>
      <c r="AF15" s="119"/>
      <c r="AG15" s="119">
        <v>-20000</v>
      </c>
      <c r="AH15" s="119"/>
      <c r="AI15" s="119" t="str">
        <f>TEXT(DEC2HEX(65536 + AG15), "0000")</f>
        <v>B1E0</v>
      </c>
      <c r="AJ15" s="64" t="s">
        <v>1597</v>
      </c>
      <c r="AK15" s="64" t="s">
        <v>2123</v>
      </c>
    </row>
    <row r="16" spans="2:37" ht="16.5" customHeight="1">
      <c r="B16" s="122" t="s">
        <v>1687</v>
      </c>
      <c r="C16" s="122" t="str">
        <f t="shared" si="0"/>
        <v>FF01004BB9B0B5</v>
      </c>
      <c r="D16" s="60" t="s">
        <v>24</v>
      </c>
      <c r="E16" s="60" t="s">
        <v>16</v>
      </c>
      <c r="F16" s="60" t="s">
        <v>1511</v>
      </c>
      <c r="G16" s="60" t="s">
        <v>1693</v>
      </c>
      <c r="H16" s="60" t="s">
        <v>1275</v>
      </c>
      <c r="I16" s="12" t="str">
        <f t="shared" si="28"/>
        <v>B5</v>
      </c>
      <c r="J16" s="12"/>
      <c r="K16" s="12"/>
      <c r="L16" s="12"/>
      <c r="M16" s="12"/>
      <c r="N16" s="12"/>
      <c r="O16" s="12"/>
      <c r="P16" s="12"/>
      <c r="Q16" s="13">
        <f t="shared" si="1"/>
        <v>1</v>
      </c>
      <c r="R16" s="13">
        <f t="shared" si="2"/>
        <v>0</v>
      </c>
      <c r="S16" s="13">
        <f t="shared" si="3"/>
        <v>75</v>
      </c>
      <c r="T16" s="13">
        <f t="shared" si="4"/>
        <v>185</v>
      </c>
      <c r="U16" s="13">
        <f t="shared" si="6"/>
        <v>176</v>
      </c>
      <c r="V16" s="13">
        <f t="shared" si="29"/>
        <v>437</v>
      </c>
      <c r="W16" s="13" t="str">
        <f t="shared" si="30"/>
        <v>B5</v>
      </c>
      <c r="X16" s="13">
        <f t="shared" si="31"/>
        <v>873</v>
      </c>
      <c r="Y16" s="13" t="str">
        <f t="shared" si="32"/>
        <v>69</v>
      </c>
      <c r="Z16" s="119"/>
      <c r="AA16" s="119"/>
      <c r="AB16" s="119"/>
      <c r="AC16" s="119"/>
      <c r="AD16" s="119"/>
      <c r="AE16" s="119"/>
      <c r="AF16" s="119"/>
      <c r="AG16" s="119">
        <v>-18000</v>
      </c>
      <c r="AH16" s="119"/>
      <c r="AI16" s="119" t="str">
        <f>TEXT(DEC2HEX(65536 + AG16), "0000")</f>
        <v>B9B0</v>
      </c>
      <c r="AJ16" s="64" t="s">
        <v>1597</v>
      </c>
      <c r="AK16" s="64" t="s">
        <v>2124</v>
      </c>
    </row>
    <row r="17" spans="2:37" ht="16.5" customHeight="1">
      <c r="B17" s="122" t="s">
        <v>1688</v>
      </c>
      <c r="C17" s="122" t="str">
        <f t="shared" si="0"/>
        <v>FF01004B4650E2</v>
      </c>
      <c r="D17" s="60" t="s">
        <v>24</v>
      </c>
      <c r="E17" s="60" t="s">
        <v>16</v>
      </c>
      <c r="F17" s="60" t="s">
        <v>1511</v>
      </c>
      <c r="G17" s="60" t="s">
        <v>1691</v>
      </c>
      <c r="H17" s="60" t="s">
        <v>162</v>
      </c>
      <c r="I17" s="12" t="str">
        <f t="shared" si="28"/>
        <v>E2</v>
      </c>
      <c r="J17" s="12"/>
      <c r="K17" s="12"/>
      <c r="L17" s="12"/>
      <c r="M17" s="12"/>
      <c r="N17" s="12"/>
      <c r="O17" s="12"/>
      <c r="P17" s="12"/>
      <c r="Q17" s="13">
        <f t="shared" si="1"/>
        <v>1</v>
      </c>
      <c r="R17" s="13">
        <f t="shared" si="2"/>
        <v>0</v>
      </c>
      <c r="S17" s="13">
        <f t="shared" si="3"/>
        <v>75</v>
      </c>
      <c r="T17" s="13">
        <f t="shared" si="4"/>
        <v>70</v>
      </c>
      <c r="U17" s="13">
        <f t="shared" si="6"/>
        <v>80</v>
      </c>
      <c r="V17" s="13">
        <f t="shared" si="29"/>
        <v>226</v>
      </c>
      <c r="W17" s="13" t="str">
        <f t="shared" si="30"/>
        <v>E2</v>
      </c>
      <c r="X17" s="13">
        <f t="shared" si="31"/>
        <v>451</v>
      </c>
      <c r="Y17" s="13" t="str">
        <f t="shared" si="32"/>
        <v>C3</v>
      </c>
      <c r="Z17" s="119"/>
      <c r="AA17" s="119"/>
      <c r="AB17" s="119"/>
      <c r="AC17" s="119"/>
      <c r="AD17" s="119"/>
      <c r="AE17" s="119"/>
      <c r="AF17" s="119"/>
      <c r="AG17" s="119"/>
      <c r="AH17" s="119"/>
      <c r="AJ17" s="64" t="s">
        <v>1598</v>
      </c>
      <c r="AK17" s="64" t="s">
        <v>2125</v>
      </c>
    </row>
    <row r="18" spans="2:37" ht="16.5" customHeight="1">
      <c r="B18" s="122" t="s">
        <v>1966</v>
      </c>
      <c r="C18" s="122" t="str">
        <f t="shared" si="0"/>
        <v>FF01004BB9B1B6</v>
      </c>
      <c r="D18" s="60" t="s">
        <v>24</v>
      </c>
      <c r="E18" s="60" t="s">
        <v>16</v>
      </c>
      <c r="F18" s="60" t="s">
        <v>1511</v>
      </c>
      <c r="G18" s="60" t="s">
        <v>1693</v>
      </c>
      <c r="H18" s="60" t="s">
        <v>32</v>
      </c>
      <c r="I18" s="12" t="str">
        <f t="shared" ref="I18:I19" si="33">W18</f>
        <v>B6</v>
      </c>
      <c r="J18" s="12"/>
      <c r="K18" s="12"/>
      <c r="L18" s="12"/>
      <c r="M18" s="12"/>
      <c r="N18" s="12"/>
      <c r="O18" s="12"/>
      <c r="P18" s="12"/>
      <c r="Q18" s="13">
        <f t="shared" si="1"/>
        <v>1</v>
      </c>
      <c r="R18" s="13">
        <f t="shared" si="2"/>
        <v>0</v>
      </c>
      <c r="S18" s="13">
        <f t="shared" si="3"/>
        <v>75</v>
      </c>
      <c r="T18" s="13">
        <f t="shared" si="4"/>
        <v>185</v>
      </c>
      <c r="U18" s="13">
        <f t="shared" si="6"/>
        <v>177</v>
      </c>
      <c r="V18" s="13">
        <f t="shared" ref="V18:V19" si="34">SUM(Q18:U18)</f>
        <v>438</v>
      </c>
      <c r="W18" s="13" t="str">
        <f t="shared" ref="W18:W19" si="35">REPT("0",2-LEN(RIGHT(DEC2HEX(V18), 2)))&amp;RIGHT(DEC2HEX(V18), 2)</f>
        <v>B6</v>
      </c>
      <c r="X18" s="13">
        <f t="shared" ref="X18:X19" si="36">SUM(R18:W18)</f>
        <v>875</v>
      </c>
      <c r="Y18" s="13" t="str">
        <f t="shared" ref="Y18:Y19" si="37">REPT("0",2-LEN(RIGHT(DEC2HEX(X18), 2)))&amp;RIGHT(DEC2HEX(X18), 2)</f>
        <v>6B</v>
      </c>
      <c r="Z18" s="119"/>
      <c r="AA18" s="119"/>
      <c r="AB18" s="119"/>
      <c r="AC18" s="119"/>
      <c r="AD18" s="119"/>
      <c r="AE18" s="119"/>
      <c r="AF18" s="119"/>
      <c r="AG18" s="119">
        <v>-17999</v>
      </c>
      <c r="AH18" s="119"/>
      <c r="AI18" s="119" t="str">
        <f>TEXT(DEC2HEX(65536 + AG18), "0000")</f>
        <v>B9B1</v>
      </c>
      <c r="AJ18" s="64" t="s">
        <v>1597</v>
      </c>
      <c r="AK18" s="64" t="s">
        <v>2126</v>
      </c>
    </row>
    <row r="19" spans="2:37" ht="16.5" customHeight="1">
      <c r="B19" s="122" t="s">
        <v>1967</v>
      </c>
      <c r="C19" s="122" t="str">
        <f t="shared" si="0"/>
        <v>FF01004B464FE1</v>
      </c>
      <c r="D19" s="60" t="s">
        <v>24</v>
      </c>
      <c r="E19" s="60" t="s">
        <v>16</v>
      </c>
      <c r="F19" s="60" t="s">
        <v>1511</v>
      </c>
      <c r="G19" s="60" t="s">
        <v>1691</v>
      </c>
      <c r="H19" s="60" t="s">
        <v>70</v>
      </c>
      <c r="I19" s="12" t="str">
        <f t="shared" si="33"/>
        <v>E1</v>
      </c>
      <c r="J19" s="12"/>
      <c r="K19" s="12"/>
      <c r="L19" s="12"/>
      <c r="M19" s="12"/>
      <c r="N19" s="12"/>
      <c r="O19" s="12"/>
      <c r="P19" s="12"/>
      <c r="Q19" s="13">
        <f t="shared" si="1"/>
        <v>1</v>
      </c>
      <c r="R19" s="13">
        <f t="shared" si="2"/>
        <v>0</v>
      </c>
      <c r="S19" s="13">
        <f t="shared" si="3"/>
        <v>75</v>
      </c>
      <c r="T19" s="13">
        <f t="shared" si="4"/>
        <v>70</v>
      </c>
      <c r="U19" s="13">
        <f t="shared" si="6"/>
        <v>79</v>
      </c>
      <c r="V19" s="13">
        <f t="shared" si="34"/>
        <v>225</v>
      </c>
      <c r="W19" s="13" t="str">
        <f t="shared" si="35"/>
        <v>E1</v>
      </c>
      <c r="X19" s="13">
        <f t="shared" si="36"/>
        <v>449</v>
      </c>
      <c r="Y19" s="13" t="str">
        <f t="shared" si="37"/>
        <v>C1</v>
      </c>
      <c r="Z19" s="119"/>
      <c r="AA19" s="119"/>
      <c r="AB19" s="119"/>
      <c r="AC19" s="119"/>
      <c r="AD19" s="119"/>
      <c r="AE19" s="119"/>
      <c r="AF19" s="119"/>
      <c r="AG19" s="121">
        <v>17999</v>
      </c>
      <c r="AH19" s="119" t="str">
        <f>DEC2HEX(AG19)</f>
        <v>464F</v>
      </c>
      <c r="AJ19" s="64" t="s">
        <v>1598</v>
      </c>
      <c r="AK19" s="64" t="s">
        <v>2127</v>
      </c>
    </row>
    <row r="20" spans="2:37" ht="16.5" customHeight="1">
      <c r="B20" s="122" t="s">
        <v>1696</v>
      </c>
      <c r="C20" s="122" t="str">
        <f t="shared" si="0"/>
        <v>FF01004B0FA0FB</v>
      </c>
      <c r="D20" s="60" t="s">
        <v>24</v>
      </c>
      <c r="E20" s="60" t="s">
        <v>16</v>
      </c>
      <c r="F20" s="60" t="s">
        <v>1511</v>
      </c>
      <c r="G20" s="60" t="s">
        <v>78</v>
      </c>
      <c r="H20" s="60" t="s">
        <v>23</v>
      </c>
      <c r="I20" s="12" t="str">
        <f t="shared" si="28"/>
        <v>FB</v>
      </c>
      <c r="J20" s="12"/>
      <c r="K20" s="12"/>
      <c r="L20" s="12"/>
      <c r="M20" s="12"/>
      <c r="N20" s="12"/>
      <c r="O20" s="12"/>
      <c r="P20" s="12"/>
      <c r="Q20" s="13">
        <f t="shared" si="1"/>
        <v>1</v>
      </c>
      <c r="R20" s="13">
        <f t="shared" si="2"/>
        <v>0</v>
      </c>
      <c r="S20" s="13">
        <f t="shared" si="3"/>
        <v>75</v>
      </c>
      <c r="T20" s="13">
        <f t="shared" si="4"/>
        <v>15</v>
      </c>
      <c r="U20" s="13">
        <f t="shared" si="6"/>
        <v>160</v>
      </c>
      <c r="V20" s="13">
        <f t="shared" si="29"/>
        <v>251</v>
      </c>
      <c r="W20" s="13" t="str">
        <f t="shared" si="30"/>
        <v>FB</v>
      </c>
      <c r="X20" s="13">
        <f t="shared" si="31"/>
        <v>501</v>
      </c>
      <c r="Y20" s="13" t="str">
        <f t="shared" si="32"/>
        <v>F5</v>
      </c>
      <c r="Z20" s="119"/>
      <c r="AA20" s="119"/>
      <c r="AB20" s="119"/>
      <c r="AC20" s="119"/>
      <c r="AD20" s="119"/>
      <c r="AE20" s="119"/>
      <c r="AF20" s="119"/>
      <c r="AG20" s="121">
        <v>4000</v>
      </c>
      <c r="AH20" s="119" t="str">
        <f>DEC2HEX(AG20)</f>
        <v>FA0</v>
      </c>
      <c r="AJ20" s="64" t="s">
        <v>1597</v>
      </c>
      <c r="AK20" s="64" t="s">
        <v>2128</v>
      </c>
    </row>
    <row r="21" spans="2:37" ht="16.5" customHeight="1">
      <c r="B21" s="122" t="s">
        <v>1697</v>
      </c>
      <c r="C21" s="122" t="str">
        <f t="shared" si="0"/>
        <v>FF01004BF0609C</v>
      </c>
      <c r="D21" s="60" t="s">
        <v>24</v>
      </c>
      <c r="E21" s="60" t="s">
        <v>16</v>
      </c>
      <c r="F21" s="60" t="s">
        <v>1511</v>
      </c>
      <c r="G21" s="60" t="s">
        <v>1700</v>
      </c>
      <c r="H21" s="60" t="s">
        <v>1701</v>
      </c>
      <c r="I21" s="12" t="str">
        <f t="shared" si="28"/>
        <v>9C</v>
      </c>
      <c r="J21" s="12"/>
      <c r="K21" s="12"/>
      <c r="L21" s="12"/>
      <c r="M21" s="12"/>
      <c r="N21" s="12"/>
      <c r="O21" s="12"/>
      <c r="P21" s="12"/>
      <c r="Q21" s="13">
        <f t="shared" si="1"/>
        <v>1</v>
      </c>
      <c r="R21" s="13">
        <f t="shared" si="2"/>
        <v>0</v>
      </c>
      <c r="S21" s="13">
        <f t="shared" si="3"/>
        <v>75</v>
      </c>
      <c r="T21" s="13">
        <f t="shared" si="4"/>
        <v>240</v>
      </c>
      <c r="U21" s="13">
        <f t="shared" si="6"/>
        <v>96</v>
      </c>
      <c r="V21" s="13">
        <f t="shared" si="29"/>
        <v>412</v>
      </c>
      <c r="W21" s="13" t="str">
        <f t="shared" si="30"/>
        <v>9C</v>
      </c>
      <c r="X21" s="13">
        <f t="shared" si="31"/>
        <v>823</v>
      </c>
      <c r="Y21" s="13" t="str">
        <f t="shared" si="32"/>
        <v>37</v>
      </c>
      <c r="Z21" s="119"/>
      <c r="AA21" s="119"/>
      <c r="AB21" s="119"/>
      <c r="AC21" s="119"/>
      <c r="AD21" s="119"/>
      <c r="AE21" s="119"/>
      <c r="AF21" s="119"/>
      <c r="AG21" s="119">
        <v>-4000</v>
      </c>
      <c r="AH21" s="119"/>
      <c r="AI21" s="119" t="str">
        <f>TEXT(DEC2HEX(65536 + AG21), "0000")</f>
        <v>F060</v>
      </c>
      <c r="AJ21" s="64" t="s">
        <v>1597</v>
      </c>
      <c r="AK21" s="64" t="s">
        <v>2129</v>
      </c>
    </row>
    <row r="22" spans="2:37" ht="16.5" customHeight="1">
      <c r="B22" s="122" t="s">
        <v>1510</v>
      </c>
      <c r="C22" s="122" t="str">
        <f t="shared" si="0"/>
        <v>FF01004B00004C</v>
      </c>
      <c r="D22" s="60" t="s">
        <v>24</v>
      </c>
      <c r="E22" s="60" t="s">
        <v>16</v>
      </c>
      <c r="F22" s="60" t="s">
        <v>1511</v>
      </c>
      <c r="G22" s="60" t="s">
        <v>16</v>
      </c>
      <c r="H22" s="60" t="s">
        <v>16</v>
      </c>
      <c r="I22" s="12" t="str">
        <f t="shared" si="28"/>
        <v>4C</v>
      </c>
      <c r="J22" s="12"/>
      <c r="K22" s="12"/>
      <c r="L22" s="12"/>
      <c r="M22" s="12"/>
      <c r="N22" s="12"/>
      <c r="O22" s="12"/>
      <c r="P22" s="12"/>
      <c r="Q22" s="13">
        <f t="shared" si="1"/>
        <v>1</v>
      </c>
      <c r="R22" s="13">
        <f t="shared" si="2"/>
        <v>0</v>
      </c>
      <c r="S22" s="13">
        <f t="shared" si="3"/>
        <v>75</v>
      </c>
      <c r="T22" s="13">
        <f t="shared" si="4"/>
        <v>0</v>
      </c>
      <c r="U22" s="13">
        <f t="shared" si="6"/>
        <v>0</v>
      </c>
      <c r="V22" s="13">
        <f t="shared" si="29"/>
        <v>76</v>
      </c>
      <c r="W22" s="13" t="str">
        <f t="shared" si="30"/>
        <v>4C</v>
      </c>
      <c r="X22" s="13">
        <f t="shared" si="31"/>
        <v>151</v>
      </c>
      <c r="Y22" s="13" t="str">
        <f t="shared" si="32"/>
        <v>97</v>
      </c>
      <c r="Z22" s="119"/>
      <c r="AA22" s="119"/>
      <c r="AB22" s="119"/>
      <c r="AC22" s="119"/>
      <c r="AD22" s="119"/>
      <c r="AE22" s="119"/>
      <c r="AF22" s="119"/>
      <c r="AG22" s="119"/>
      <c r="AH22" s="119"/>
      <c r="AJ22" s="64" t="s">
        <v>1597</v>
      </c>
      <c r="AK22" s="64" t="s">
        <v>1562</v>
      </c>
    </row>
    <row r="23" spans="2:37" ht="16.5" customHeight="1">
      <c r="B23" s="122" t="s">
        <v>1689</v>
      </c>
      <c r="C23" s="122" t="str">
        <f t="shared" si="0"/>
        <v>FF01004B232897</v>
      </c>
      <c r="D23" s="60" t="s">
        <v>24</v>
      </c>
      <c r="E23" s="60" t="s">
        <v>16</v>
      </c>
      <c r="F23" s="60" t="s">
        <v>1511</v>
      </c>
      <c r="G23" s="60" t="s">
        <v>1692</v>
      </c>
      <c r="H23" s="60" t="s">
        <v>140</v>
      </c>
      <c r="I23" s="12" t="str">
        <f t="shared" si="28"/>
        <v>97</v>
      </c>
      <c r="J23" s="12"/>
      <c r="K23" s="12"/>
      <c r="L23" s="12"/>
      <c r="M23" s="12"/>
      <c r="N23" s="12"/>
      <c r="O23" s="12"/>
      <c r="P23" s="12"/>
      <c r="Q23" s="13">
        <f t="shared" si="1"/>
        <v>1</v>
      </c>
      <c r="R23" s="13">
        <f t="shared" si="2"/>
        <v>0</v>
      </c>
      <c r="S23" s="13">
        <f t="shared" si="3"/>
        <v>75</v>
      </c>
      <c r="T23" s="13">
        <f t="shared" si="4"/>
        <v>35</v>
      </c>
      <c r="U23" s="13">
        <f t="shared" si="6"/>
        <v>40</v>
      </c>
      <c r="V23" s="13">
        <f t="shared" si="29"/>
        <v>151</v>
      </c>
      <c r="W23" s="13" t="str">
        <f t="shared" si="30"/>
        <v>97</v>
      </c>
      <c r="X23" s="13">
        <f t="shared" si="31"/>
        <v>301</v>
      </c>
      <c r="Y23" s="13" t="str">
        <f t="shared" si="32"/>
        <v>2D</v>
      </c>
      <c r="Z23" s="119"/>
      <c r="AA23" s="119"/>
      <c r="AB23" s="119"/>
      <c r="AC23" s="119"/>
      <c r="AD23" s="119"/>
      <c r="AE23" s="119"/>
      <c r="AF23" s="119"/>
      <c r="AG23" s="119"/>
      <c r="AH23" s="119"/>
      <c r="AJ23" s="64" t="s">
        <v>1598</v>
      </c>
      <c r="AK23" s="64" t="s">
        <v>2130</v>
      </c>
    </row>
    <row r="24" spans="2:37" ht="16.5" customHeight="1">
      <c r="B24" s="122" t="s">
        <v>1690</v>
      </c>
      <c r="C24" s="122" t="str">
        <f t="shared" si="0"/>
        <v>FF01004BDCD800</v>
      </c>
      <c r="D24" s="60" t="s">
        <v>24</v>
      </c>
      <c r="E24" s="60" t="s">
        <v>16</v>
      </c>
      <c r="F24" s="60" t="s">
        <v>1511</v>
      </c>
      <c r="G24" s="60" t="s">
        <v>1694</v>
      </c>
      <c r="H24" s="60" t="s">
        <v>1695</v>
      </c>
      <c r="I24" s="12" t="str">
        <f t="shared" si="28"/>
        <v>00</v>
      </c>
      <c r="J24" s="12"/>
      <c r="K24" s="12"/>
      <c r="L24" s="12"/>
      <c r="M24" s="12"/>
      <c r="N24" s="12"/>
      <c r="O24" s="12"/>
      <c r="P24" s="12"/>
      <c r="Q24" s="13">
        <f t="shared" si="1"/>
        <v>1</v>
      </c>
      <c r="R24" s="13">
        <f t="shared" si="2"/>
        <v>0</v>
      </c>
      <c r="S24" s="13">
        <f t="shared" si="3"/>
        <v>75</v>
      </c>
      <c r="T24" s="13">
        <f t="shared" si="4"/>
        <v>220</v>
      </c>
      <c r="U24" s="13">
        <f t="shared" si="6"/>
        <v>216</v>
      </c>
      <c r="V24" s="13">
        <f t="shared" si="29"/>
        <v>512</v>
      </c>
      <c r="W24" s="13" t="str">
        <f t="shared" si="30"/>
        <v>00</v>
      </c>
      <c r="X24" s="13">
        <f t="shared" si="31"/>
        <v>1023</v>
      </c>
      <c r="Y24" s="13" t="str">
        <f t="shared" si="32"/>
        <v>FF</v>
      </c>
      <c r="Z24" s="119"/>
      <c r="AA24" s="119"/>
      <c r="AB24" s="119"/>
      <c r="AC24" s="119"/>
      <c r="AD24" s="119"/>
      <c r="AE24" s="119"/>
      <c r="AF24" s="119"/>
      <c r="AG24" s="119">
        <v>-9000</v>
      </c>
      <c r="AH24" s="119"/>
      <c r="AI24" s="119" t="str">
        <f>TEXT(DEC2HEX(65536 + AG24), "0000")</f>
        <v>DCD8</v>
      </c>
      <c r="AJ24" s="64" t="s">
        <v>1598</v>
      </c>
      <c r="AK24" s="64" t="s">
        <v>2131</v>
      </c>
    </row>
    <row r="25" spans="2:37" ht="16.5" customHeight="1">
      <c r="B25" s="122" t="s">
        <v>1709</v>
      </c>
      <c r="C25" s="122" t="str">
        <f t="shared" si="0"/>
        <v>FF01004B4E20BA</v>
      </c>
      <c r="D25" s="60" t="s">
        <v>24</v>
      </c>
      <c r="E25" s="60" t="s">
        <v>16</v>
      </c>
      <c r="F25" s="60" t="s">
        <v>1511</v>
      </c>
      <c r="G25" s="60" t="s">
        <v>1712</v>
      </c>
      <c r="H25" s="60" t="s">
        <v>133</v>
      </c>
      <c r="I25" s="12" t="str">
        <f t="shared" si="28"/>
        <v>BA</v>
      </c>
      <c r="J25" s="12"/>
      <c r="K25" s="12"/>
      <c r="L25" s="12"/>
      <c r="M25" s="12"/>
      <c r="N25" s="12"/>
      <c r="O25" s="12"/>
      <c r="P25" s="12"/>
      <c r="Q25" s="13">
        <f t="shared" si="1"/>
        <v>1</v>
      </c>
      <c r="R25" s="13">
        <f t="shared" si="2"/>
        <v>0</v>
      </c>
      <c r="S25" s="13">
        <f t="shared" si="3"/>
        <v>75</v>
      </c>
      <c r="T25" s="13">
        <f t="shared" si="4"/>
        <v>78</v>
      </c>
      <c r="U25" s="13">
        <f t="shared" si="6"/>
        <v>32</v>
      </c>
      <c r="V25" s="13">
        <f t="shared" si="29"/>
        <v>186</v>
      </c>
      <c r="W25" s="13" t="str">
        <f t="shared" si="30"/>
        <v>BA</v>
      </c>
      <c r="X25" s="13">
        <f t="shared" si="31"/>
        <v>371</v>
      </c>
      <c r="Y25" s="13" t="str">
        <f t="shared" si="32"/>
        <v>73</v>
      </c>
      <c r="Z25" s="119"/>
      <c r="AA25" s="119"/>
      <c r="AB25" s="119"/>
      <c r="AC25" s="119"/>
      <c r="AD25" s="119"/>
      <c r="AE25" s="119"/>
      <c r="AF25" s="119"/>
      <c r="AG25" s="119">
        <v>20000</v>
      </c>
      <c r="AH25" s="119" t="str">
        <f>DEC2HEX(AG25)</f>
        <v>4E20</v>
      </c>
      <c r="AI25" s="119"/>
      <c r="AJ25" s="64" t="s">
        <v>1597</v>
      </c>
      <c r="AK25" s="64" t="s">
        <v>2132</v>
      </c>
    </row>
    <row r="26" spans="2:37" ht="16.5" customHeight="1">
      <c r="B26" s="122" t="s">
        <v>1512</v>
      </c>
      <c r="C26" s="122" t="str">
        <f t="shared" si="0"/>
        <v>FF010051000052</v>
      </c>
      <c r="D26" s="60" t="s">
        <v>24</v>
      </c>
      <c r="E26" s="60" t="s">
        <v>16</v>
      </c>
      <c r="F26" s="60" t="s">
        <v>166</v>
      </c>
      <c r="G26" s="60" t="s">
        <v>16</v>
      </c>
      <c r="H26" s="60" t="s">
        <v>16</v>
      </c>
      <c r="I26" s="12" t="str">
        <f t="shared" si="28"/>
        <v>52</v>
      </c>
      <c r="J26" s="12"/>
      <c r="K26" s="12"/>
      <c r="L26" s="12"/>
      <c r="M26" s="12"/>
      <c r="N26" s="12"/>
      <c r="O26" s="12"/>
      <c r="P26" s="12"/>
      <c r="Q26" s="13">
        <f t="shared" si="1"/>
        <v>1</v>
      </c>
      <c r="R26" s="13">
        <f t="shared" si="2"/>
        <v>0</v>
      </c>
      <c r="S26" s="13">
        <f t="shared" si="3"/>
        <v>81</v>
      </c>
      <c r="T26" s="13">
        <f t="shared" si="4"/>
        <v>0</v>
      </c>
      <c r="U26" s="13">
        <f t="shared" si="6"/>
        <v>0</v>
      </c>
      <c r="V26" s="13">
        <f t="shared" si="29"/>
        <v>82</v>
      </c>
      <c r="W26" s="13" t="str">
        <f t="shared" si="30"/>
        <v>52</v>
      </c>
      <c r="X26" s="13">
        <f t="shared" si="31"/>
        <v>163</v>
      </c>
      <c r="Y26" s="13" t="str">
        <f t="shared" si="32"/>
        <v>A3</v>
      </c>
      <c r="Z26" s="119"/>
      <c r="AA26" s="119"/>
      <c r="AB26" s="119"/>
      <c r="AC26" s="119"/>
      <c r="AD26" s="119"/>
      <c r="AE26" s="119"/>
      <c r="AF26" s="119"/>
      <c r="AG26" s="119"/>
      <c r="AH26" s="119"/>
      <c r="AJ26" s="64" t="s">
        <v>1599</v>
      </c>
      <c r="AK26" s="64" t="s">
        <v>1563</v>
      </c>
    </row>
    <row r="27" spans="2:37" ht="16.5" customHeight="1">
      <c r="B27" s="122" t="s">
        <v>1710</v>
      </c>
      <c r="C27" s="122" t="str">
        <f t="shared" si="0"/>
        <v>FF01004DD8F016</v>
      </c>
      <c r="D27" s="60" t="s">
        <v>24</v>
      </c>
      <c r="E27" s="60" t="s">
        <v>16</v>
      </c>
      <c r="F27" s="60" t="s">
        <v>1514</v>
      </c>
      <c r="G27" s="60" t="s">
        <v>1695</v>
      </c>
      <c r="H27" s="60" t="s">
        <v>1700</v>
      </c>
      <c r="I27" s="12" t="str">
        <f t="shared" si="28"/>
        <v>16</v>
      </c>
      <c r="J27" s="12"/>
      <c r="K27" s="12"/>
      <c r="L27" s="12"/>
      <c r="M27" s="12"/>
      <c r="N27" s="12"/>
      <c r="O27" s="12"/>
      <c r="P27" s="12"/>
      <c r="Q27" s="13">
        <f t="shared" si="1"/>
        <v>1</v>
      </c>
      <c r="R27" s="13">
        <f t="shared" si="2"/>
        <v>0</v>
      </c>
      <c r="S27" s="13">
        <f t="shared" si="3"/>
        <v>77</v>
      </c>
      <c r="T27" s="13">
        <f t="shared" si="4"/>
        <v>216</v>
      </c>
      <c r="U27" s="13">
        <f t="shared" si="6"/>
        <v>240</v>
      </c>
      <c r="V27" s="13">
        <f t="shared" si="29"/>
        <v>534</v>
      </c>
      <c r="W27" s="13" t="str">
        <f t="shared" si="30"/>
        <v>16</v>
      </c>
      <c r="X27" s="13">
        <f t="shared" si="31"/>
        <v>1067</v>
      </c>
      <c r="Y27" s="13" t="str">
        <f t="shared" si="32"/>
        <v>2B</v>
      </c>
      <c r="Z27" s="119"/>
      <c r="AA27" s="119"/>
      <c r="AB27" s="119"/>
      <c r="AC27" s="119"/>
      <c r="AD27" s="119"/>
      <c r="AE27" s="119"/>
      <c r="AF27" s="119"/>
      <c r="AG27" s="119">
        <v>-10000</v>
      </c>
      <c r="AH27" s="119"/>
      <c r="AI27" s="119" t="str">
        <f>TEXT(DEC2HEX(65536 + AG27), "0000")</f>
        <v>D8F0</v>
      </c>
      <c r="AJ27" s="64" t="s">
        <v>1600</v>
      </c>
      <c r="AK27" s="64" t="s">
        <v>2133</v>
      </c>
    </row>
    <row r="28" spans="2:37" ht="16.5" customHeight="1">
      <c r="B28" s="122" t="s">
        <v>1702</v>
      </c>
      <c r="C28" s="122" t="str">
        <f t="shared" si="0"/>
        <v>FF01004DDCD802</v>
      </c>
      <c r="D28" s="60" t="s">
        <v>24</v>
      </c>
      <c r="E28" s="60" t="s">
        <v>16</v>
      </c>
      <c r="F28" s="60" t="s">
        <v>1514</v>
      </c>
      <c r="G28" s="60" t="s">
        <v>1694</v>
      </c>
      <c r="H28" s="60" t="s">
        <v>1695</v>
      </c>
      <c r="I28" s="12" t="str">
        <f t="shared" si="28"/>
        <v>02</v>
      </c>
      <c r="J28" s="12"/>
      <c r="K28" s="12"/>
      <c r="L28" s="12"/>
      <c r="M28" s="12"/>
      <c r="N28" s="12"/>
      <c r="O28" s="12"/>
      <c r="P28" s="12"/>
      <c r="Q28" s="13">
        <f t="shared" si="1"/>
        <v>1</v>
      </c>
      <c r="R28" s="13">
        <f t="shared" si="2"/>
        <v>0</v>
      </c>
      <c r="S28" s="13">
        <f t="shared" si="3"/>
        <v>77</v>
      </c>
      <c r="T28" s="13">
        <f t="shared" si="4"/>
        <v>220</v>
      </c>
      <c r="U28" s="13">
        <f t="shared" si="6"/>
        <v>216</v>
      </c>
      <c r="V28" s="13">
        <f t="shared" si="29"/>
        <v>514</v>
      </c>
      <c r="W28" s="13" t="str">
        <f t="shared" si="30"/>
        <v>02</v>
      </c>
      <c r="X28" s="13">
        <f t="shared" si="31"/>
        <v>1027</v>
      </c>
      <c r="Y28" s="13" t="str">
        <f t="shared" si="32"/>
        <v>03</v>
      </c>
      <c r="Z28" s="119"/>
      <c r="AA28" s="119"/>
      <c r="AB28" s="119"/>
      <c r="AC28" s="119"/>
      <c r="AD28" s="119"/>
      <c r="AE28" s="119"/>
      <c r="AF28" s="119"/>
      <c r="AG28" s="119">
        <v>-9000</v>
      </c>
      <c r="AH28" s="119"/>
      <c r="AI28" s="119" t="str">
        <f>TEXT(DEC2HEX(65536 + AG28), "0000")</f>
        <v>DCD8</v>
      </c>
      <c r="AJ28" s="64" t="s">
        <v>1600</v>
      </c>
      <c r="AK28" s="64" t="s">
        <v>2134</v>
      </c>
    </row>
    <row r="29" spans="2:37" ht="16.5" customHeight="1">
      <c r="B29" s="122" t="s">
        <v>1703</v>
      </c>
      <c r="C29" s="122" t="str">
        <f t="shared" si="0"/>
        <v>FF01004D232899</v>
      </c>
      <c r="D29" s="60" t="s">
        <v>24</v>
      </c>
      <c r="E29" s="60" t="s">
        <v>16</v>
      </c>
      <c r="F29" s="60" t="s">
        <v>1514</v>
      </c>
      <c r="G29" s="60" t="s">
        <v>1692</v>
      </c>
      <c r="H29" s="60" t="s">
        <v>140</v>
      </c>
      <c r="I29" s="12" t="str">
        <f t="shared" si="28"/>
        <v>99</v>
      </c>
      <c r="J29" s="12"/>
      <c r="K29" s="12"/>
      <c r="L29" s="12"/>
      <c r="M29" s="12"/>
      <c r="N29" s="12"/>
      <c r="O29" s="12"/>
      <c r="P29" s="12"/>
      <c r="Q29" s="13">
        <f t="shared" si="1"/>
        <v>1</v>
      </c>
      <c r="R29" s="13">
        <f t="shared" si="2"/>
        <v>0</v>
      </c>
      <c r="S29" s="13">
        <f t="shared" si="3"/>
        <v>77</v>
      </c>
      <c r="T29" s="13">
        <f t="shared" si="4"/>
        <v>35</v>
      </c>
      <c r="U29" s="13">
        <f t="shared" si="6"/>
        <v>40</v>
      </c>
      <c r="V29" s="13">
        <f t="shared" si="29"/>
        <v>153</v>
      </c>
      <c r="W29" s="13" t="str">
        <f t="shared" si="30"/>
        <v>99</v>
      </c>
      <c r="X29" s="13">
        <f t="shared" si="31"/>
        <v>305</v>
      </c>
      <c r="Y29" s="13" t="str">
        <f t="shared" si="32"/>
        <v>31</v>
      </c>
      <c r="Z29" s="119"/>
      <c r="AA29" s="119"/>
      <c r="AB29" s="119"/>
      <c r="AC29" s="119"/>
      <c r="AD29" s="119"/>
      <c r="AE29" s="119"/>
      <c r="AF29" s="119"/>
      <c r="AG29" s="119">
        <v>9000</v>
      </c>
      <c r="AH29" s="119" t="str">
        <f>DEC2HEX(AG29)</f>
        <v>2328</v>
      </c>
      <c r="AJ29" s="64" t="s">
        <v>1601</v>
      </c>
      <c r="AK29" s="64" t="s">
        <v>2135</v>
      </c>
    </row>
    <row r="30" spans="2:37" ht="16.5" customHeight="1">
      <c r="B30" s="122" t="s">
        <v>1718</v>
      </c>
      <c r="C30" s="122" t="str">
        <f t="shared" si="0"/>
        <v>FF01004DDCD903</v>
      </c>
      <c r="D30" s="60" t="s">
        <v>24</v>
      </c>
      <c r="E30" s="60" t="s">
        <v>16</v>
      </c>
      <c r="F30" s="60" t="s">
        <v>1514</v>
      </c>
      <c r="G30" s="60" t="s">
        <v>1694</v>
      </c>
      <c r="H30" s="60" t="s">
        <v>1720</v>
      </c>
      <c r="I30" s="12" t="str">
        <f t="shared" si="28"/>
        <v>03</v>
      </c>
      <c r="J30" s="12"/>
      <c r="K30" s="12"/>
      <c r="L30" s="12"/>
      <c r="M30" s="12"/>
      <c r="N30" s="12"/>
      <c r="O30" s="12"/>
      <c r="P30" s="12"/>
      <c r="Q30" s="13">
        <f t="shared" si="1"/>
        <v>1</v>
      </c>
      <c r="R30" s="13">
        <f t="shared" si="2"/>
        <v>0</v>
      </c>
      <c r="S30" s="13">
        <f t="shared" si="3"/>
        <v>77</v>
      </c>
      <c r="T30" s="13">
        <f t="shared" si="4"/>
        <v>220</v>
      </c>
      <c r="U30" s="13">
        <f t="shared" si="6"/>
        <v>217</v>
      </c>
      <c r="V30" s="13">
        <f t="shared" si="29"/>
        <v>515</v>
      </c>
      <c r="W30" s="13" t="str">
        <f t="shared" si="30"/>
        <v>03</v>
      </c>
      <c r="X30" s="13">
        <f t="shared" si="31"/>
        <v>1029</v>
      </c>
      <c r="Y30" s="13" t="str">
        <f t="shared" si="32"/>
        <v>05</v>
      </c>
      <c r="Z30" s="119"/>
      <c r="AA30" s="119"/>
      <c r="AB30" s="119"/>
      <c r="AC30" s="119"/>
      <c r="AD30" s="119"/>
      <c r="AE30" s="119"/>
      <c r="AF30" s="119"/>
      <c r="AG30" s="119">
        <v>-8999</v>
      </c>
      <c r="AH30" s="119"/>
      <c r="AI30" s="119" t="str">
        <f>TEXT(DEC2HEX(65536 + AG30), "0000")</f>
        <v>DCD9</v>
      </c>
      <c r="AJ30" s="64" t="s">
        <v>1600</v>
      </c>
      <c r="AK30" s="64" t="s">
        <v>2136</v>
      </c>
    </row>
    <row r="31" spans="2:37" ht="16.5" customHeight="1">
      <c r="B31" s="122" t="s">
        <v>1719</v>
      </c>
      <c r="C31" s="122" t="str">
        <f t="shared" ref="C31:C50" si="38">"FF"&amp;D31&amp;E31&amp;""&amp;F31&amp;G31&amp;H31&amp;I31</f>
        <v>FF01004D232798</v>
      </c>
      <c r="D31" s="60" t="s">
        <v>24</v>
      </c>
      <c r="E31" s="60" t="s">
        <v>16</v>
      </c>
      <c r="F31" s="60" t="s">
        <v>1514</v>
      </c>
      <c r="G31" s="60" t="s">
        <v>1692</v>
      </c>
      <c r="H31" s="60" t="s">
        <v>60</v>
      </c>
      <c r="I31" s="12" t="str">
        <f t="shared" si="28"/>
        <v>98</v>
      </c>
      <c r="J31" s="12"/>
      <c r="K31" s="12"/>
      <c r="L31" s="12"/>
      <c r="M31" s="12"/>
      <c r="N31" s="12"/>
      <c r="O31" s="12"/>
      <c r="P31" s="12"/>
      <c r="Q31" s="13">
        <f t="shared" ref="Q31:Q50" si="39">HEX2DEC(D31)</f>
        <v>1</v>
      </c>
      <c r="R31" s="13">
        <f t="shared" ref="R31:R50" si="40">HEX2DEC(E31)</f>
        <v>0</v>
      </c>
      <c r="S31" s="13">
        <f t="shared" ref="S31:S50" si="41">HEX2DEC(F31)</f>
        <v>77</v>
      </c>
      <c r="T31" s="13">
        <f t="shared" ref="T31:T50" si="42">HEX2DEC(G31)</f>
        <v>35</v>
      </c>
      <c r="U31" s="13">
        <f t="shared" si="6"/>
        <v>39</v>
      </c>
      <c r="V31" s="13">
        <f t="shared" si="29"/>
        <v>152</v>
      </c>
      <c r="W31" s="13" t="str">
        <f t="shared" si="30"/>
        <v>98</v>
      </c>
      <c r="X31" s="13">
        <f t="shared" si="31"/>
        <v>303</v>
      </c>
      <c r="Y31" s="13" t="str">
        <f t="shared" si="32"/>
        <v>2F</v>
      </c>
      <c r="Z31" s="119"/>
      <c r="AA31" s="119"/>
      <c r="AB31" s="119"/>
      <c r="AC31" s="119"/>
      <c r="AD31" s="119"/>
      <c r="AE31" s="119"/>
      <c r="AF31" s="119"/>
      <c r="AG31" s="119">
        <v>8999</v>
      </c>
      <c r="AH31" s="119" t="str">
        <f>DEC2HEX(AG31)</f>
        <v>2327</v>
      </c>
      <c r="AJ31" s="64" t="s">
        <v>1601</v>
      </c>
      <c r="AK31" s="64" t="s">
        <v>2137</v>
      </c>
    </row>
    <row r="32" spans="2:37" ht="16.5" customHeight="1">
      <c r="B32" s="122" t="s">
        <v>1723</v>
      </c>
      <c r="C32" s="122" t="str">
        <f t="shared" si="38"/>
        <v>FF01004DE4A8DA</v>
      </c>
      <c r="D32" s="60" t="s">
        <v>24</v>
      </c>
      <c r="E32" s="60" t="s">
        <v>16</v>
      </c>
      <c r="F32" s="60" t="s">
        <v>1514</v>
      </c>
      <c r="G32" s="60" t="s">
        <v>1724</v>
      </c>
      <c r="H32" s="60" t="s">
        <v>1725</v>
      </c>
      <c r="I32" s="12" t="str">
        <f t="shared" si="28"/>
        <v>DA</v>
      </c>
      <c r="J32" s="12"/>
      <c r="K32" s="12"/>
      <c r="L32" s="12"/>
      <c r="M32" s="12"/>
      <c r="N32" s="12"/>
      <c r="O32" s="12"/>
      <c r="P32" s="12"/>
      <c r="Q32" s="13">
        <f t="shared" si="39"/>
        <v>1</v>
      </c>
      <c r="R32" s="13">
        <f t="shared" si="40"/>
        <v>0</v>
      </c>
      <c r="S32" s="13">
        <f t="shared" si="41"/>
        <v>77</v>
      </c>
      <c r="T32" s="13">
        <f t="shared" si="42"/>
        <v>228</v>
      </c>
      <c r="U32" s="13">
        <f t="shared" ref="U32:U50" si="43">HEX2DEC(H32)</f>
        <v>168</v>
      </c>
      <c r="V32" s="13">
        <f t="shared" si="29"/>
        <v>474</v>
      </c>
      <c r="W32" s="13" t="str">
        <f t="shared" si="30"/>
        <v>DA</v>
      </c>
      <c r="X32" s="13">
        <f t="shared" si="31"/>
        <v>947</v>
      </c>
      <c r="Y32" s="13" t="str">
        <f t="shared" si="32"/>
        <v>B3</v>
      </c>
      <c r="Z32" s="119"/>
      <c r="AA32" s="119"/>
      <c r="AB32" s="119"/>
      <c r="AC32" s="119"/>
      <c r="AD32" s="119"/>
      <c r="AE32" s="119"/>
      <c r="AF32" s="119"/>
      <c r="AG32" s="119">
        <v>-7000</v>
      </c>
      <c r="AH32" s="119"/>
      <c r="AI32" s="119" t="str">
        <f>TEXT(DEC2HEX(65536 + AG32), "0000")</f>
        <v>E4A8</v>
      </c>
      <c r="AJ32" s="64" t="s">
        <v>1600</v>
      </c>
      <c r="AK32" s="64" t="s">
        <v>2138</v>
      </c>
    </row>
    <row r="33" spans="2:37" ht="16.5" customHeight="1">
      <c r="B33" s="122" t="s">
        <v>1721</v>
      </c>
      <c r="C33" s="122" t="str">
        <f t="shared" si="38"/>
        <v>FF01004D1770D5</v>
      </c>
      <c r="D33" s="60" t="s">
        <v>24</v>
      </c>
      <c r="E33" s="60" t="s">
        <v>16</v>
      </c>
      <c r="F33" s="60" t="s">
        <v>1514</v>
      </c>
      <c r="G33" s="60" t="s">
        <v>131</v>
      </c>
      <c r="H33" s="60" t="s">
        <v>1722</v>
      </c>
      <c r="I33" s="12" t="str">
        <f t="shared" si="28"/>
        <v>D5</v>
      </c>
      <c r="J33" s="12"/>
      <c r="K33" s="12"/>
      <c r="L33" s="12"/>
      <c r="M33" s="12"/>
      <c r="N33" s="12"/>
      <c r="O33" s="12"/>
      <c r="P33" s="12"/>
      <c r="Q33" s="13">
        <f t="shared" si="39"/>
        <v>1</v>
      </c>
      <c r="R33" s="13">
        <f t="shared" si="40"/>
        <v>0</v>
      </c>
      <c r="S33" s="13">
        <f t="shared" si="41"/>
        <v>77</v>
      </c>
      <c r="T33" s="13">
        <f t="shared" si="42"/>
        <v>23</v>
      </c>
      <c r="U33" s="13">
        <f t="shared" si="43"/>
        <v>112</v>
      </c>
      <c r="V33" s="13">
        <f t="shared" si="29"/>
        <v>213</v>
      </c>
      <c r="W33" s="13" t="str">
        <f t="shared" si="30"/>
        <v>D5</v>
      </c>
      <c r="X33" s="13">
        <f t="shared" si="31"/>
        <v>425</v>
      </c>
      <c r="Y33" s="13" t="str">
        <f t="shared" si="32"/>
        <v>A9</v>
      </c>
      <c r="Z33" s="119"/>
      <c r="AA33" s="119"/>
      <c r="AB33" s="119"/>
      <c r="AC33" s="119"/>
      <c r="AD33" s="119"/>
      <c r="AE33" s="119"/>
      <c r="AF33" s="119"/>
      <c r="AG33" s="119">
        <v>6000</v>
      </c>
      <c r="AH33" s="119" t="str">
        <f>DEC2HEX(AG33)</f>
        <v>1770</v>
      </c>
      <c r="AJ33" s="64" t="s">
        <v>1601</v>
      </c>
      <c r="AK33" s="64" t="s">
        <v>2139</v>
      </c>
    </row>
    <row r="34" spans="2:37" ht="16.5" customHeight="1">
      <c r="B34" s="122" t="s">
        <v>1704</v>
      </c>
      <c r="C34" s="122" t="str">
        <f t="shared" si="38"/>
        <v>FF01004D0BB811</v>
      </c>
      <c r="D34" s="60" t="s">
        <v>24</v>
      </c>
      <c r="E34" s="60" t="s">
        <v>16</v>
      </c>
      <c r="F34" s="60" t="s">
        <v>1514</v>
      </c>
      <c r="G34" s="60" t="s">
        <v>1713</v>
      </c>
      <c r="H34" s="60" t="s">
        <v>1363</v>
      </c>
      <c r="I34" s="12" t="str">
        <f t="shared" si="28"/>
        <v>11</v>
      </c>
      <c r="J34" s="12"/>
      <c r="K34" s="12"/>
      <c r="L34" s="12"/>
      <c r="M34" s="12"/>
      <c r="N34" s="12"/>
      <c r="O34" s="12"/>
      <c r="P34" s="12"/>
      <c r="Q34" s="13">
        <f t="shared" si="39"/>
        <v>1</v>
      </c>
      <c r="R34" s="13">
        <f t="shared" si="40"/>
        <v>0</v>
      </c>
      <c r="S34" s="13">
        <f t="shared" si="41"/>
        <v>77</v>
      </c>
      <c r="T34" s="13">
        <f t="shared" si="42"/>
        <v>11</v>
      </c>
      <c r="U34" s="13">
        <f t="shared" si="43"/>
        <v>184</v>
      </c>
      <c r="V34" s="13">
        <f t="shared" si="29"/>
        <v>273</v>
      </c>
      <c r="W34" s="13" t="str">
        <f t="shared" si="30"/>
        <v>11</v>
      </c>
      <c r="X34" s="13">
        <f t="shared" si="31"/>
        <v>545</v>
      </c>
      <c r="Y34" s="13" t="str">
        <f t="shared" si="32"/>
        <v>21</v>
      </c>
      <c r="Z34" s="119"/>
      <c r="AA34" s="119"/>
      <c r="AB34" s="119"/>
      <c r="AC34" s="119"/>
      <c r="AD34" s="119"/>
      <c r="AE34" s="119"/>
      <c r="AF34" s="119"/>
      <c r="AG34" s="119">
        <v>3000</v>
      </c>
      <c r="AH34" s="119" t="str">
        <f>DEC2HEX(AG34)</f>
        <v>BB8</v>
      </c>
      <c r="AJ34" s="64" t="s">
        <v>1600</v>
      </c>
      <c r="AK34" s="64" t="s">
        <v>2140</v>
      </c>
    </row>
    <row r="35" spans="2:37" ht="16.5" customHeight="1">
      <c r="B35" s="122" t="s">
        <v>1705</v>
      </c>
      <c r="C35" s="122" t="str">
        <f t="shared" si="38"/>
        <v>FF01004DF4488A</v>
      </c>
      <c r="D35" s="60" t="s">
        <v>24</v>
      </c>
      <c r="E35" s="60" t="s">
        <v>16</v>
      </c>
      <c r="F35" s="60" t="s">
        <v>1514</v>
      </c>
      <c r="G35" s="60" t="s">
        <v>1714</v>
      </c>
      <c r="H35" s="60" t="s">
        <v>1715</v>
      </c>
      <c r="I35" s="12" t="str">
        <f t="shared" si="28"/>
        <v>8A</v>
      </c>
      <c r="J35" s="12"/>
      <c r="K35" s="12"/>
      <c r="L35" s="12"/>
      <c r="M35" s="12"/>
      <c r="N35" s="12"/>
      <c r="O35" s="12"/>
      <c r="P35" s="12"/>
      <c r="Q35" s="13">
        <f t="shared" si="39"/>
        <v>1</v>
      </c>
      <c r="R35" s="13">
        <f t="shared" si="40"/>
        <v>0</v>
      </c>
      <c r="S35" s="13">
        <f t="shared" si="41"/>
        <v>77</v>
      </c>
      <c r="T35" s="13">
        <f t="shared" si="42"/>
        <v>244</v>
      </c>
      <c r="U35" s="13">
        <f t="shared" si="43"/>
        <v>72</v>
      </c>
      <c r="V35" s="13">
        <f t="shared" si="29"/>
        <v>394</v>
      </c>
      <c r="W35" s="13" t="str">
        <f t="shared" si="30"/>
        <v>8A</v>
      </c>
      <c r="X35" s="13">
        <f t="shared" si="31"/>
        <v>787</v>
      </c>
      <c r="Y35" s="13" t="str">
        <f t="shared" si="32"/>
        <v>13</v>
      </c>
      <c r="Z35" s="119"/>
      <c r="AA35" s="119"/>
      <c r="AB35" s="119"/>
      <c r="AC35" s="119"/>
      <c r="AD35" s="119"/>
      <c r="AE35" s="119"/>
      <c r="AF35" s="119"/>
      <c r="AG35" s="119">
        <v>-3000</v>
      </c>
      <c r="AH35" s="119"/>
      <c r="AI35" s="119" t="str">
        <f>TEXT(DEC2HEX(65536 + AG35), "0000")</f>
        <v>F448</v>
      </c>
      <c r="AJ35" s="64" t="s">
        <v>1600</v>
      </c>
      <c r="AK35" s="64" t="s">
        <v>2141</v>
      </c>
    </row>
    <row r="36" spans="2:37" ht="16.5" customHeight="1">
      <c r="B36" s="122" t="s">
        <v>1513</v>
      </c>
      <c r="C36" s="122" t="str">
        <f t="shared" si="38"/>
        <v>FF01004D00004E</v>
      </c>
      <c r="D36" s="60" t="s">
        <v>24</v>
      </c>
      <c r="E36" s="60" t="s">
        <v>16</v>
      </c>
      <c r="F36" s="60" t="s">
        <v>1514</v>
      </c>
      <c r="G36" s="60" t="s">
        <v>16</v>
      </c>
      <c r="H36" s="60" t="s">
        <v>16</v>
      </c>
      <c r="I36" s="12" t="str">
        <f t="shared" si="28"/>
        <v>4E</v>
      </c>
      <c r="J36" s="12"/>
      <c r="K36" s="12"/>
      <c r="L36" s="12"/>
      <c r="M36" s="12"/>
      <c r="N36" s="12"/>
      <c r="O36" s="12"/>
      <c r="P36" s="12"/>
      <c r="Q36" s="13">
        <f t="shared" si="39"/>
        <v>1</v>
      </c>
      <c r="R36" s="13">
        <f t="shared" si="40"/>
        <v>0</v>
      </c>
      <c r="S36" s="13">
        <f t="shared" si="41"/>
        <v>77</v>
      </c>
      <c r="T36" s="13">
        <f t="shared" si="42"/>
        <v>0</v>
      </c>
      <c r="U36" s="13">
        <f t="shared" si="43"/>
        <v>0</v>
      </c>
      <c r="V36" s="13">
        <f t="shared" si="29"/>
        <v>78</v>
      </c>
      <c r="W36" s="13" t="str">
        <f t="shared" si="30"/>
        <v>4E</v>
      </c>
      <c r="X36" s="13">
        <f t="shared" si="31"/>
        <v>155</v>
      </c>
      <c r="Y36" s="13" t="str">
        <f t="shared" si="32"/>
        <v>9B</v>
      </c>
      <c r="Z36" s="119"/>
      <c r="AA36" s="119"/>
      <c r="AB36" s="119"/>
      <c r="AC36" s="119"/>
      <c r="AD36" s="119"/>
      <c r="AE36" s="119"/>
      <c r="AF36" s="119"/>
      <c r="AG36" s="119">
        <v>0</v>
      </c>
      <c r="AH36" s="119" t="str">
        <f>DEC2HEX(AG36)</f>
        <v>0</v>
      </c>
      <c r="AJ36" s="64" t="s">
        <v>1601</v>
      </c>
      <c r="AK36" s="64" t="s">
        <v>1564</v>
      </c>
    </row>
    <row r="37" spans="2:37" ht="16.5" customHeight="1">
      <c r="B37" s="122" t="s">
        <v>1706</v>
      </c>
      <c r="C37" s="122" t="str">
        <f t="shared" si="38"/>
        <v>FF01004D1194F3</v>
      </c>
      <c r="D37" s="60" t="s">
        <v>24</v>
      </c>
      <c r="E37" s="60" t="s">
        <v>16</v>
      </c>
      <c r="F37" s="60" t="s">
        <v>1514</v>
      </c>
      <c r="G37" s="60" t="s">
        <v>110</v>
      </c>
      <c r="H37" s="60" t="s">
        <v>175</v>
      </c>
      <c r="I37" s="12" t="str">
        <f t="shared" si="28"/>
        <v>F3</v>
      </c>
      <c r="J37" s="12"/>
      <c r="K37" s="12"/>
      <c r="L37" s="12"/>
      <c r="M37" s="12"/>
      <c r="N37" s="12"/>
      <c r="O37" s="12"/>
      <c r="P37" s="12"/>
      <c r="Q37" s="13">
        <f t="shared" si="39"/>
        <v>1</v>
      </c>
      <c r="R37" s="13">
        <f t="shared" si="40"/>
        <v>0</v>
      </c>
      <c r="S37" s="13">
        <f t="shared" si="41"/>
        <v>77</v>
      </c>
      <c r="T37" s="13">
        <f t="shared" si="42"/>
        <v>17</v>
      </c>
      <c r="U37" s="13">
        <f t="shared" si="43"/>
        <v>148</v>
      </c>
      <c r="V37" s="13">
        <f t="shared" si="29"/>
        <v>243</v>
      </c>
      <c r="W37" s="13" t="str">
        <f t="shared" si="30"/>
        <v>F3</v>
      </c>
      <c r="X37" s="13">
        <f t="shared" si="31"/>
        <v>485</v>
      </c>
      <c r="Y37" s="13" t="str">
        <f t="shared" si="32"/>
        <v>E5</v>
      </c>
      <c r="Z37" s="119"/>
      <c r="AA37" s="119"/>
      <c r="AB37" s="119"/>
      <c r="AC37" s="119"/>
      <c r="AD37" s="119"/>
      <c r="AE37" s="119"/>
      <c r="AF37" s="119"/>
      <c r="AG37" s="119">
        <v>4500</v>
      </c>
      <c r="AH37" s="119" t="str">
        <f>DEC2HEX(AG37)</f>
        <v>1194</v>
      </c>
      <c r="AJ37" s="64" t="s">
        <v>1600</v>
      </c>
      <c r="AK37" s="64" t="s">
        <v>2142</v>
      </c>
    </row>
    <row r="38" spans="2:37" ht="16.5" customHeight="1">
      <c r="B38" s="122" t="s">
        <v>1707</v>
      </c>
      <c r="C38" s="122" t="str">
        <f t="shared" si="38"/>
        <v>FF01004DEE6CA8</v>
      </c>
      <c r="D38" s="60" t="s">
        <v>24</v>
      </c>
      <c r="E38" s="60" t="s">
        <v>16</v>
      </c>
      <c r="F38" s="60" t="s">
        <v>1514</v>
      </c>
      <c r="G38" s="60" t="s">
        <v>1716</v>
      </c>
      <c r="H38" s="60" t="s">
        <v>1717</v>
      </c>
      <c r="I38" s="12" t="str">
        <f t="shared" si="28"/>
        <v>A8</v>
      </c>
      <c r="J38" s="12"/>
      <c r="K38" s="12"/>
      <c r="L38" s="12"/>
      <c r="M38" s="12"/>
      <c r="N38" s="12"/>
      <c r="O38" s="12"/>
      <c r="P38" s="12"/>
      <c r="Q38" s="13">
        <f t="shared" si="39"/>
        <v>1</v>
      </c>
      <c r="R38" s="13">
        <f t="shared" si="40"/>
        <v>0</v>
      </c>
      <c r="S38" s="13">
        <f t="shared" si="41"/>
        <v>77</v>
      </c>
      <c r="T38" s="13">
        <f t="shared" si="42"/>
        <v>238</v>
      </c>
      <c r="U38" s="13">
        <f t="shared" si="43"/>
        <v>108</v>
      </c>
      <c r="V38" s="13">
        <f t="shared" si="29"/>
        <v>424</v>
      </c>
      <c r="W38" s="13" t="str">
        <f t="shared" si="30"/>
        <v>A8</v>
      </c>
      <c r="X38" s="13">
        <f t="shared" si="31"/>
        <v>847</v>
      </c>
      <c r="Y38" s="13" t="str">
        <f t="shared" si="32"/>
        <v>4F</v>
      </c>
      <c r="Z38" s="119"/>
      <c r="AA38" s="119"/>
      <c r="AB38" s="119"/>
      <c r="AC38" s="119"/>
      <c r="AD38" s="119"/>
      <c r="AE38" s="119"/>
      <c r="AF38" s="119"/>
      <c r="AG38" s="119">
        <v>-4500</v>
      </c>
      <c r="AH38" s="119"/>
      <c r="AI38" s="119" t="str">
        <f>TEXT(DEC2HEX(65536 + AG38), "0000")</f>
        <v>EE6C</v>
      </c>
      <c r="AJ38" s="64" t="s">
        <v>1601</v>
      </c>
      <c r="AK38" s="64" t="s">
        <v>2143</v>
      </c>
    </row>
    <row r="39" spans="2:37" ht="16.5" customHeight="1">
      <c r="B39" s="122" t="s">
        <v>1711</v>
      </c>
      <c r="C39" s="122" t="str">
        <f t="shared" si="38"/>
        <v>FF01004D271085</v>
      </c>
      <c r="D39" s="60" t="s">
        <v>24</v>
      </c>
      <c r="E39" s="60" t="s">
        <v>16</v>
      </c>
      <c r="F39" s="60" t="s">
        <v>1514</v>
      </c>
      <c r="G39" s="60" t="s">
        <v>60</v>
      </c>
      <c r="H39" s="60" t="s">
        <v>109</v>
      </c>
      <c r="I39" s="12" t="str">
        <f t="shared" si="28"/>
        <v>85</v>
      </c>
      <c r="J39" s="12"/>
      <c r="K39" s="12"/>
      <c r="L39" s="12"/>
      <c r="M39" s="12"/>
      <c r="N39" s="12"/>
      <c r="O39" s="12"/>
      <c r="P39" s="12"/>
      <c r="Q39" s="13">
        <f t="shared" si="39"/>
        <v>1</v>
      </c>
      <c r="R39" s="13">
        <f t="shared" si="40"/>
        <v>0</v>
      </c>
      <c r="S39" s="13">
        <f t="shared" si="41"/>
        <v>77</v>
      </c>
      <c r="T39" s="13">
        <f t="shared" si="42"/>
        <v>39</v>
      </c>
      <c r="U39" s="13">
        <f t="shared" si="43"/>
        <v>16</v>
      </c>
      <c r="V39" s="13">
        <f t="shared" si="29"/>
        <v>133</v>
      </c>
      <c r="W39" s="13" t="str">
        <f t="shared" si="30"/>
        <v>85</v>
      </c>
      <c r="X39" s="13">
        <f t="shared" si="31"/>
        <v>265</v>
      </c>
      <c r="Y39" s="13" t="str">
        <f t="shared" si="32"/>
        <v>09</v>
      </c>
      <c r="Z39" s="119"/>
      <c r="AA39" s="119"/>
      <c r="AB39" s="119"/>
      <c r="AC39" s="119"/>
      <c r="AD39" s="119"/>
      <c r="AE39" s="119"/>
      <c r="AF39" s="119"/>
      <c r="AG39" s="119">
        <v>10000</v>
      </c>
      <c r="AH39" s="119" t="str">
        <f>DEC2HEX(AG39)</f>
        <v>2710</v>
      </c>
      <c r="AJ39" s="64" t="s">
        <v>1601</v>
      </c>
      <c r="AK39" s="64" t="s">
        <v>2144</v>
      </c>
    </row>
    <row r="40" spans="2:37" ht="16.5" customHeight="1">
      <c r="B40" s="122" t="s">
        <v>1515</v>
      </c>
      <c r="C40" s="122" t="str">
        <f t="shared" si="38"/>
        <v>FF010053000054</v>
      </c>
      <c r="D40" s="60" t="s">
        <v>24</v>
      </c>
      <c r="E40" s="60" t="s">
        <v>16</v>
      </c>
      <c r="F40" s="60" t="s">
        <v>168</v>
      </c>
      <c r="G40" s="60" t="s">
        <v>16</v>
      </c>
      <c r="H40" s="60" t="s">
        <v>16</v>
      </c>
      <c r="I40" s="12" t="str">
        <f t="shared" ref="I40:I50" si="44">W40</f>
        <v>54</v>
      </c>
      <c r="J40" s="12"/>
      <c r="K40" s="12"/>
      <c r="L40" s="12"/>
      <c r="M40" s="12"/>
      <c r="N40" s="12"/>
      <c r="O40" s="12"/>
      <c r="P40" s="12"/>
      <c r="Q40" s="13">
        <f t="shared" si="39"/>
        <v>1</v>
      </c>
      <c r="R40" s="13">
        <f t="shared" si="40"/>
        <v>0</v>
      </c>
      <c r="S40" s="13">
        <f t="shared" si="41"/>
        <v>83</v>
      </c>
      <c r="T40" s="13">
        <f t="shared" si="42"/>
        <v>0</v>
      </c>
      <c r="U40" s="13">
        <f t="shared" si="43"/>
        <v>0</v>
      </c>
      <c r="V40" s="13">
        <f t="shared" ref="V40:V48" si="45">SUM(Q40:U40)</f>
        <v>84</v>
      </c>
      <c r="W40" s="13" t="str">
        <f t="shared" ref="W40:W50" si="46">REPT("0",2-LEN(RIGHT(DEC2HEX(V40), 2)))&amp;RIGHT(DEC2HEX(V40), 2)</f>
        <v>54</v>
      </c>
      <c r="X40" s="13">
        <f t="shared" ref="X40:X48" si="47">SUM(R40:W40)</f>
        <v>167</v>
      </c>
      <c r="Y40" s="13" t="str">
        <f t="shared" ref="Y40:Y50" si="48">REPT("0",2-LEN(RIGHT(DEC2HEX(X40), 2)))&amp;RIGHT(DEC2HEX(X40), 2)</f>
        <v>A7</v>
      </c>
      <c r="Z40" s="119"/>
      <c r="AA40" s="119"/>
      <c r="AB40" s="119"/>
      <c r="AC40" s="119"/>
      <c r="AD40" s="119"/>
      <c r="AE40" s="119"/>
      <c r="AF40" s="119"/>
      <c r="AG40" s="119"/>
      <c r="AH40" s="119"/>
      <c r="AJ40" s="64" t="s">
        <v>1602</v>
      </c>
      <c r="AK40" s="64" t="s">
        <v>1565</v>
      </c>
    </row>
    <row r="41" spans="2:37" ht="16.5" customHeight="1">
      <c r="B41" s="122" t="s">
        <v>1516</v>
      </c>
      <c r="C41" s="122" t="str">
        <f t="shared" si="38"/>
        <v>FF010005000107</v>
      </c>
      <c r="D41" s="60" t="s">
        <v>24</v>
      </c>
      <c r="E41" s="60" t="s">
        <v>16</v>
      </c>
      <c r="F41" s="60" t="s">
        <v>92</v>
      </c>
      <c r="G41" s="60" t="s">
        <v>16</v>
      </c>
      <c r="H41" s="60" t="s">
        <v>24</v>
      </c>
      <c r="I41" s="12" t="str">
        <f t="shared" si="44"/>
        <v>07</v>
      </c>
      <c r="J41" s="12"/>
      <c r="K41" s="12"/>
      <c r="L41" s="12"/>
      <c r="M41" s="12"/>
      <c r="N41" s="12"/>
      <c r="O41" s="12"/>
      <c r="P41" s="12"/>
      <c r="Q41" s="13">
        <f t="shared" si="39"/>
        <v>1</v>
      </c>
      <c r="R41" s="13">
        <f t="shared" si="40"/>
        <v>0</v>
      </c>
      <c r="S41" s="13">
        <f t="shared" si="41"/>
        <v>5</v>
      </c>
      <c r="T41" s="13">
        <f t="shared" si="42"/>
        <v>0</v>
      </c>
      <c r="U41" s="13">
        <f t="shared" si="43"/>
        <v>1</v>
      </c>
      <c r="V41" s="13">
        <f t="shared" si="45"/>
        <v>7</v>
      </c>
      <c r="W41" s="13" t="str">
        <f t="shared" si="46"/>
        <v>07</v>
      </c>
      <c r="X41" s="13">
        <f t="shared" si="47"/>
        <v>13</v>
      </c>
      <c r="Y41" s="13" t="str">
        <f t="shared" si="48"/>
        <v>0D</v>
      </c>
      <c r="Z41" s="119"/>
      <c r="AA41" s="119"/>
      <c r="AB41" s="119"/>
      <c r="AC41" s="119"/>
      <c r="AD41" s="119"/>
      <c r="AE41" s="119"/>
      <c r="AF41" s="119"/>
      <c r="AG41" s="119"/>
      <c r="AH41" s="119"/>
      <c r="AJ41" s="64" t="s">
        <v>1603</v>
      </c>
      <c r="AK41" s="64" t="s">
        <v>2121</v>
      </c>
    </row>
    <row r="42" spans="2:37" ht="16.5" customHeight="1">
      <c r="B42" s="122" t="s">
        <v>1517</v>
      </c>
      <c r="C42" s="122" t="str">
        <f t="shared" si="38"/>
        <v>FF01000500FF05</v>
      </c>
      <c r="D42" s="60" t="s">
        <v>24</v>
      </c>
      <c r="E42" s="60" t="s">
        <v>16</v>
      </c>
      <c r="F42" s="60" t="s">
        <v>92</v>
      </c>
      <c r="G42" s="60" t="s">
        <v>16</v>
      </c>
      <c r="H42" s="60" t="s">
        <v>9</v>
      </c>
      <c r="I42" s="12" t="str">
        <f t="shared" si="44"/>
        <v>05</v>
      </c>
      <c r="J42" s="12"/>
      <c r="K42" s="12"/>
      <c r="L42" s="12"/>
      <c r="M42" s="12"/>
      <c r="N42" s="12"/>
      <c r="O42" s="12"/>
      <c r="P42" s="12"/>
      <c r="Q42" s="13">
        <f t="shared" si="39"/>
        <v>1</v>
      </c>
      <c r="R42" s="13">
        <f t="shared" si="40"/>
        <v>0</v>
      </c>
      <c r="S42" s="13">
        <f t="shared" si="41"/>
        <v>5</v>
      </c>
      <c r="T42" s="13">
        <f t="shared" si="42"/>
        <v>0</v>
      </c>
      <c r="U42" s="13">
        <f t="shared" si="43"/>
        <v>255</v>
      </c>
      <c r="V42" s="13">
        <f t="shared" si="45"/>
        <v>261</v>
      </c>
      <c r="W42" s="13" t="str">
        <f t="shared" si="46"/>
        <v>05</v>
      </c>
      <c r="X42" s="13">
        <f t="shared" si="47"/>
        <v>521</v>
      </c>
      <c r="Y42" s="13" t="str">
        <f t="shared" si="48"/>
        <v>09</v>
      </c>
      <c r="Z42" s="119"/>
      <c r="AA42" s="119"/>
      <c r="AB42" s="119"/>
      <c r="AC42" s="119"/>
      <c r="AD42" s="119"/>
      <c r="AE42" s="119"/>
      <c r="AF42" s="119"/>
      <c r="AG42" s="119"/>
      <c r="AH42" s="119"/>
      <c r="AJ42" s="64" t="s">
        <v>1604</v>
      </c>
      <c r="AK42" s="64" t="s">
        <v>1566</v>
      </c>
    </row>
    <row r="43" spans="2:37" ht="16.5" customHeight="1">
      <c r="B43" s="122" t="s">
        <v>1518</v>
      </c>
      <c r="C43" s="122" t="str">
        <f t="shared" si="38"/>
        <v>FF010700000109</v>
      </c>
      <c r="D43" s="60" t="s">
        <v>24</v>
      </c>
      <c r="E43" s="60" t="s">
        <v>101</v>
      </c>
      <c r="F43" s="60" t="s">
        <v>16</v>
      </c>
      <c r="G43" s="60" t="s">
        <v>16</v>
      </c>
      <c r="H43" s="60" t="s">
        <v>24</v>
      </c>
      <c r="I43" s="12" t="str">
        <f t="shared" si="44"/>
        <v>09</v>
      </c>
      <c r="J43" s="12"/>
      <c r="K43" s="12"/>
      <c r="L43" s="12"/>
      <c r="M43" s="12"/>
      <c r="N43" s="12"/>
      <c r="O43" s="12"/>
      <c r="P43" s="12"/>
      <c r="Q43" s="13">
        <f t="shared" si="39"/>
        <v>1</v>
      </c>
      <c r="R43" s="13">
        <f t="shared" si="40"/>
        <v>7</v>
      </c>
      <c r="S43" s="13">
        <f t="shared" si="41"/>
        <v>0</v>
      </c>
      <c r="T43" s="13">
        <f t="shared" si="42"/>
        <v>0</v>
      </c>
      <c r="U43" s="13">
        <f t="shared" si="43"/>
        <v>1</v>
      </c>
      <c r="V43" s="13">
        <f t="shared" si="45"/>
        <v>9</v>
      </c>
      <c r="W43" s="13" t="str">
        <f t="shared" si="46"/>
        <v>09</v>
      </c>
      <c r="X43" s="13">
        <f t="shared" si="47"/>
        <v>17</v>
      </c>
      <c r="Y43" s="13" t="str">
        <f t="shared" si="48"/>
        <v>11</v>
      </c>
      <c r="Z43" s="119"/>
      <c r="AA43" s="119"/>
      <c r="AB43" s="119"/>
      <c r="AC43" s="119"/>
      <c r="AD43" s="119"/>
      <c r="AE43" s="119"/>
      <c r="AF43" s="119"/>
      <c r="AG43" s="119"/>
      <c r="AH43" s="119"/>
      <c r="AJ43" s="64" t="s">
        <v>1605</v>
      </c>
      <c r="AK43" s="64" t="s">
        <v>1567</v>
      </c>
    </row>
    <row r="44" spans="2:37" ht="16.5" customHeight="1">
      <c r="B44" s="122" t="s">
        <v>1519</v>
      </c>
      <c r="C44" s="122" t="str">
        <f t="shared" si="38"/>
        <v>FF01070000FF07</v>
      </c>
      <c r="D44" s="60" t="s">
        <v>24</v>
      </c>
      <c r="E44" s="60" t="s">
        <v>101</v>
      </c>
      <c r="F44" s="60" t="s">
        <v>16</v>
      </c>
      <c r="G44" s="60" t="s">
        <v>16</v>
      </c>
      <c r="H44" s="60" t="s">
        <v>9</v>
      </c>
      <c r="I44" s="12" t="str">
        <f t="shared" si="44"/>
        <v>07</v>
      </c>
      <c r="J44" s="12"/>
      <c r="K44" s="12"/>
      <c r="L44" s="12"/>
      <c r="M44" s="12"/>
      <c r="N44" s="12"/>
      <c r="O44" s="12"/>
      <c r="P44" s="12"/>
      <c r="Q44" s="13">
        <f t="shared" si="39"/>
        <v>1</v>
      </c>
      <c r="R44" s="13">
        <f t="shared" si="40"/>
        <v>7</v>
      </c>
      <c r="S44" s="13">
        <f t="shared" si="41"/>
        <v>0</v>
      </c>
      <c r="T44" s="13">
        <f t="shared" si="42"/>
        <v>0</v>
      </c>
      <c r="U44" s="13">
        <f t="shared" si="43"/>
        <v>255</v>
      </c>
      <c r="V44" s="13">
        <f t="shared" si="45"/>
        <v>263</v>
      </c>
      <c r="W44" s="13" t="str">
        <f t="shared" si="46"/>
        <v>07</v>
      </c>
      <c r="X44" s="13">
        <f t="shared" si="47"/>
        <v>525</v>
      </c>
      <c r="Y44" s="13" t="str">
        <f t="shared" si="48"/>
        <v>0D</v>
      </c>
      <c r="Z44" s="119"/>
      <c r="AA44" s="119"/>
      <c r="AB44" s="119"/>
      <c r="AC44" s="119"/>
      <c r="AD44" s="119"/>
      <c r="AE44" s="119"/>
      <c r="AF44" s="119"/>
      <c r="AG44" s="119"/>
      <c r="AH44" s="119"/>
      <c r="AJ44" s="64" t="s">
        <v>1606</v>
      </c>
      <c r="AK44" s="64" t="s">
        <v>1568</v>
      </c>
    </row>
    <row r="45" spans="2:37" ht="16.5" customHeight="1">
      <c r="B45" s="122" t="s">
        <v>1521</v>
      </c>
      <c r="C45" s="122" t="str">
        <f t="shared" si="38"/>
        <v>FF01090000010B</v>
      </c>
      <c r="D45" s="60" t="s">
        <v>24</v>
      </c>
      <c r="E45" s="60" t="s">
        <v>1520</v>
      </c>
      <c r="F45" s="60" t="s">
        <v>16</v>
      </c>
      <c r="G45" s="60" t="s">
        <v>16</v>
      </c>
      <c r="H45" s="60" t="s">
        <v>24</v>
      </c>
      <c r="I45" s="12" t="str">
        <f t="shared" si="44"/>
        <v>0B</v>
      </c>
      <c r="J45" s="12"/>
      <c r="K45" s="12"/>
      <c r="L45" s="12"/>
      <c r="M45" s="12"/>
      <c r="N45" s="12"/>
      <c r="O45" s="12"/>
      <c r="P45" s="12"/>
      <c r="Q45" s="13">
        <f t="shared" si="39"/>
        <v>1</v>
      </c>
      <c r="R45" s="13">
        <f t="shared" si="40"/>
        <v>9</v>
      </c>
      <c r="S45" s="13">
        <f t="shared" si="41"/>
        <v>0</v>
      </c>
      <c r="T45" s="13">
        <f t="shared" si="42"/>
        <v>0</v>
      </c>
      <c r="U45" s="13">
        <f t="shared" si="43"/>
        <v>1</v>
      </c>
      <c r="V45" s="13">
        <f t="shared" si="45"/>
        <v>11</v>
      </c>
      <c r="W45" s="13" t="str">
        <f t="shared" si="46"/>
        <v>0B</v>
      </c>
      <c r="X45" s="13">
        <f t="shared" si="47"/>
        <v>21</v>
      </c>
      <c r="Y45" s="13" t="str">
        <f t="shared" si="48"/>
        <v>15</v>
      </c>
      <c r="Z45" s="119"/>
      <c r="AA45" s="119"/>
      <c r="AB45" s="119"/>
      <c r="AC45" s="119"/>
      <c r="AD45" s="119"/>
      <c r="AE45" s="119"/>
      <c r="AF45" s="119"/>
      <c r="AG45" s="119"/>
      <c r="AH45" s="119"/>
      <c r="AJ45" s="64" t="s">
        <v>1607</v>
      </c>
      <c r="AK45" s="64" t="s">
        <v>1569</v>
      </c>
    </row>
    <row r="46" spans="2:37" ht="16.5" customHeight="1">
      <c r="B46" s="122" t="s">
        <v>1522</v>
      </c>
      <c r="C46" s="122" t="str">
        <f t="shared" si="38"/>
        <v>FF01090000FF09</v>
      </c>
      <c r="D46" s="60" t="s">
        <v>24</v>
      </c>
      <c r="E46" s="60" t="s">
        <v>1520</v>
      </c>
      <c r="F46" s="60" t="s">
        <v>16</v>
      </c>
      <c r="G46" s="60" t="s">
        <v>16</v>
      </c>
      <c r="H46" s="60" t="s">
        <v>9</v>
      </c>
      <c r="I46" s="12" t="str">
        <f t="shared" si="44"/>
        <v>09</v>
      </c>
      <c r="J46" s="12"/>
      <c r="K46" s="12"/>
      <c r="L46" s="12"/>
      <c r="M46" s="12"/>
      <c r="N46" s="12"/>
      <c r="O46" s="12"/>
      <c r="P46" s="12"/>
      <c r="Q46" s="13">
        <f t="shared" si="39"/>
        <v>1</v>
      </c>
      <c r="R46" s="13">
        <f t="shared" si="40"/>
        <v>9</v>
      </c>
      <c r="S46" s="13">
        <f t="shared" si="41"/>
        <v>0</v>
      </c>
      <c r="T46" s="13">
        <f t="shared" si="42"/>
        <v>0</v>
      </c>
      <c r="U46" s="13">
        <f t="shared" si="43"/>
        <v>255</v>
      </c>
      <c r="V46" s="13">
        <f t="shared" si="45"/>
        <v>265</v>
      </c>
      <c r="W46" s="13" t="str">
        <f t="shared" si="46"/>
        <v>09</v>
      </c>
      <c r="X46" s="13">
        <f t="shared" si="47"/>
        <v>529</v>
      </c>
      <c r="Y46" s="13" t="str">
        <f t="shared" si="48"/>
        <v>11</v>
      </c>
      <c r="Z46" s="119"/>
      <c r="AA46" s="119"/>
      <c r="AB46" s="119"/>
      <c r="AC46" s="119"/>
      <c r="AD46" s="119"/>
      <c r="AE46" s="119"/>
      <c r="AF46" s="119"/>
      <c r="AG46" s="119"/>
      <c r="AH46" s="119"/>
      <c r="AJ46" s="64" t="s">
        <v>1608</v>
      </c>
      <c r="AK46" s="64" t="s">
        <v>1570</v>
      </c>
    </row>
    <row r="47" spans="2:37" ht="16.5" customHeight="1">
      <c r="B47" s="122" t="s">
        <v>1523</v>
      </c>
      <c r="C47" s="122" t="str">
        <f t="shared" si="38"/>
        <v>FF01004900004A</v>
      </c>
      <c r="D47" s="60" t="s">
        <v>24</v>
      </c>
      <c r="E47" s="60" t="s">
        <v>16</v>
      </c>
      <c r="F47" s="60" t="s">
        <v>1524</v>
      </c>
      <c r="G47" s="60" t="s">
        <v>16</v>
      </c>
      <c r="H47" s="60" t="s">
        <v>16</v>
      </c>
      <c r="I47" s="12" t="str">
        <f t="shared" si="44"/>
        <v>4A</v>
      </c>
      <c r="J47" s="12"/>
      <c r="K47" s="12"/>
      <c r="L47" s="12"/>
      <c r="M47" s="12"/>
      <c r="N47" s="12"/>
      <c r="O47" s="12"/>
      <c r="P47" s="12"/>
      <c r="Q47" s="13">
        <f t="shared" si="39"/>
        <v>1</v>
      </c>
      <c r="R47" s="13">
        <f t="shared" si="40"/>
        <v>0</v>
      </c>
      <c r="S47" s="13">
        <f t="shared" si="41"/>
        <v>73</v>
      </c>
      <c r="T47" s="13">
        <f t="shared" si="42"/>
        <v>0</v>
      </c>
      <c r="U47" s="13">
        <f t="shared" si="43"/>
        <v>0</v>
      </c>
      <c r="V47" s="13">
        <f t="shared" si="45"/>
        <v>74</v>
      </c>
      <c r="W47" s="13" t="str">
        <f t="shared" si="46"/>
        <v>4A</v>
      </c>
      <c r="X47" s="13">
        <f t="shared" si="47"/>
        <v>147</v>
      </c>
      <c r="Y47" s="13" t="str">
        <f t="shared" si="48"/>
        <v>93</v>
      </c>
      <c r="Z47" s="119"/>
      <c r="AA47" s="119"/>
      <c r="AB47" s="119"/>
      <c r="AC47" s="119"/>
      <c r="AD47" s="119"/>
      <c r="AE47" s="119"/>
      <c r="AF47" s="119"/>
      <c r="AG47" s="119"/>
      <c r="AH47" s="119"/>
      <c r="AJ47" s="64" t="s">
        <v>1609</v>
      </c>
      <c r="AK47" s="64" t="s">
        <v>1571</v>
      </c>
    </row>
    <row r="48" spans="2:37" ht="16.5" customHeight="1">
      <c r="B48" s="122" t="s">
        <v>1525</v>
      </c>
      <c r="C48" s="122" t="str">
        <f t="shared" si="38"/>
        <v>FF010047000048</v>
      </c>
      <c r="D48" s="60" t="s">
        <v>24</v>
      </c>
      <c r="E48" s="60" t="s">
        <v>16</v>
      </c>
      <c r="F48" s="60" t="s">
        <v>1526</v>
      </c>
      <c r="G48" s="60" t="s">
        <v>16</v>
      </c>
      <c r="H48" s="60" t="s">
        <v>16</v>
      </c>
      <c r="I48" s="12" t="str">
        <f t="shared" si="44"/>
        <v>48</v>
      </c>
      <c r="J48" s="12"/>
      <c r="K48" s="12"/>
      <c r="L48" s="12"/>
      <c r="M48" s="12"/>
      <c r="N48" s="12"/>
      <c r="O48" s="12"/>
      <c r="P48" s="12"/>
      <c r="Q48" s="13">
        <f t="shared" si="39"/>
        <v>1</v>
      </c>
      <c r="R48" s="13">
        <f t="shared" si="40"/>
        <v>0</v>
      </c>
      <c r="S48" s="13">
        <f t="shared" si="41"/>
        <v>71</v>
      </c>
      <c r="T48" s="13">
        <f t="shared" si="42"/>
        <v>0</v>
      </c>
      <c r="U48" s="13">
        <f t="shared" si="43"/>
        <v>0</v>
      </c>
      <c r="V48" s="13">
        <f t="shared" si="45"/>
        <v>72</v>
      </c>
      <c r="W48" s="13" t="str">
        <f t="shared" si="46"/>
        <v>48</v>
      </c>
      <c r="X48" s="13">
        <f t="shared" si="47"/>
        <v>143</v>
      </c>
      <c r="Y48" s="13" t="str">
        <f t="shared" si="48"/>
        <v>8F</v>
      </c>
      <c r="Z48" s="119"/>
      <c r="AA48" s="119"/>
      <c r="AB48" s="119"/>
      <c r="AC48" s="119"/>
      <c r="AD48" s="119"/>
      <c r="AE48" s="119"/>
      <c r="AF48" s="119"/>
      <c r="AG48" s="119"/>
      <c r="AH48" s="119"/>
      <c r="AJ48" s="64" t="s">
        <v>1610</v>
      </c>
      <c r="AK48" s="64" t="s">
        <v>1572</v>
      </c>
    </row>
    <row r="49" spans="2:37" ht="16.5" customHeight="1">
      <c r="B49" s="122" t="s">
        <v>2355</v>
      </c>
      <c r="C49" s="122" t="str">
        <f t="shared" si="38"/>
        <v>FF01002B00002C</v>
      </c>
      <c r="D49" s="60" t="s">
        <v>24</v>
      </c>
      <c r="E49" s="60" t="s">
        <v>16</v>
      </c>
      <c r="F49" s="60" t="s">
        <v>104</v>
      </c>
      <c r="G49" s="60" t="s">
        <v>16</v>
      </c>
      <c r="H49" s="60" t="s">
        <v>16</v>
      </c>
      <c r="I49" s="12" t="str">
        <f t="shared" si="44"/>
        <v>2C</v>
      </c>
      <c r="J49" s="12"/>
      <c r="K49" s="12"/>
      <c r="L49" s="12"/>
      <c r="M49" s="12"/>
      <c r="N49" s="12"/>
      <c r="O49" s="12"/>
      <c r="P49" s="12"/>
      <c r="Q49" s="13">
        <f t="shared" si="39"/>
        <v>1</v>
      </c>
      <c r="R49" s="13">
        <f t="shared" si="40"/>
        <v>0</v>
      </c>
      <c r="S49" s="13">
        <f t="shared" si="41"/>
        <v>43</v>
      </c>
      <c r="T49" s="13">
        <f t="shared" si="42"/>
        <v>0</v>
      </c>
      <c r="U49" s="13">
        <f t="shared" si="43"/>
        <v>0</v>
      </c>
      <c r="V49" s="13">
        <f t="shared" ref="V49:V50" si="49">SUM(Q49:U49)</f>
        <v>44</v>
      </c>
      <c r="W49" s="13" t="str">
        <f t="shared" si="46"/>
        <v>2C</v>
      </c>
      <c r="X49" s="13">
        <f t="shared" ref="X49:X50" si="50">SUM(R49:W49)</f>
        <v>87</v>
      </c>
      <c r="Y49" s="13" t="str">
        <f t="shared" si="48"/>
        <v>57</v>
      </c>
      <c r="Z49" s="119"/>
      <c r="AA49" s="119"/>
      <c r="AB49" s="119"/>
      <c r="AC49" s="119"/>
      <c r="AD49" s="119"/>
      <c r="AE49" s="119"/>
      <c r="AF49" s="119"/>
      <c r="AG49" s="119"/>
      <c r="AH49" s="119"/>
      <c r="AJ49" s="64" t="s">
        <v>1633</v>
      </c>
      <c r="AK49" s="64" t="s">
        <v>191</v>
      </c>
    </row>
    <row r="50" spans="2:37" ht="16.5" customHeight="1">
      <c r="B50" s="122" t="s">
        <v>2356</v>
      </c>
      <c r="C50" s="122" t="str">
        <f t="shared" si="38"/>
        <v>FF01002B00012D</v>
      </c>
      <c r="D50" s="60" t="s">
        <v>24</v>
      </c>
      <c r="E50" s="60" t="s">
        <v>16</v>
      </c>
      <c r="F50" s="60" t="s">
        <v>104</v>
      </c>
      <c r="G50" s="60" t="s">
        <v>16</v>
      </c>
      <c r="H50" s="60" t="s">
        <v>24</v>
      </c>
      <c r="I50" s="12" t="str">
        <f t="shared" si="44"/>
        <v>2D</v>
      </c>
      <c r="J50" s="12"/>
      <c r="K50" s="12"/>
      <c r="L50" s="12"/>
      <c r="M50" s="12"/>
      <c r="N50" s="12"/>
      <c r="O50" s="12"/>
      <c r="P50" s="12"/>
      <c r="Q50" s="13">
        <f t="shared" si="39"/>
        <v>1</v>
      </c>
      <c r="R50" s="13">
        <f t="shared" si="40"/>
        <v>0</v>
      </c>
      <c r="S50" s="13">
        <f t="shared" si="41"/>
        <v>43</v>
      </c>
      <c r="T50" s="13">
        <f t="shared" si="42"/>
        <v>0</v>
      </c>
      <c r="U50" s="13">
        <f t="shared" si="43"/>
        <v>1</v>
      </c>
      <c r="V50" s="13">
        <f t="shared" si="49"/>
        <v>45</v>
      </c>
      <c r="W50" s="13" t="str">
        <f t="shared" si="46"/>
        <v>2D</v>
      </c>
      <c r="X50" s="13">
        <f t="shared" si="50"/>
        <v>89</v>
      </c>
      <c r="Y50" s="13" t="str">
        <f t="shared" si="48"/>
        <v>59</v>
      </c>
      <c r="Z50" s="119"/>
      <c r="AA50" s="119"/>
      <c r="AB50" s="119"/>
      <c r="AC50" s="119"/>
      <c r="AD50" s="119"/>
      <c r="AE50" s="119"/>
      <c r="AF50" s="119"/>
      <c r="AG50" s="119"/>
      <c r="AH50" s="119"/>
      <c r="AJ50" s="64" t="s">
        <v>1635</v>
      </c>
      <c r="AK50" s="64" t="s">
        <v>192</v>
      </c>
    </row>
    <row r="51" spans="2:37" s="115" customFormat="1" ht="16.5" customHeight="1">
      <c r="B51" s="122" t="s">
        <v>1612</v>
      </c>
      <c r="C51" s="122" t="s">
        <v>1614</v>
      </c>
      <c r="D51" s="113"/>
      <c r="E51" s="113"/>
      <c r="F51" s="113"/>
      <c r="G51" s="113"/>
      <c r="H51" s="113"/>
      <c r="I51" s="112"/>
      <c r="J51" s="112"/>
      <c r="K51" s="112"/>
      <c r="L51" s="112"/>
      <c r="M51" s="112"/>
      <c r="N51" s="112"/>
      <c r="O51" s="112"/>
      <c r="P51" s="112"/>
      <c r="Q51" s="114"/>
      <c r="R51" s="114"/>
      <c r="S51" s="114"/>
      <c r="T51" s="114"/>
      <c r="U51" s="114"/>
      <c r="V51" s="114"/>
      <c r="W51" s="114"/>
      <c r="X51" s="114"/>
      <c r="Y51" s="114"/>
      <c r="Z51" s="118"/>
      <c r="AA51" s="118"/>
      <c r="AB51" s="118"/>
      <c r="AC51" s="118"/>
      <c r="AD51" s="118"/>
      <c r="AE51" s="118"/>
      <c r="AF51" s="118"/>
      <c r="AG51" s="118"/>
      <c r="AH51" s="118"/>
      <c r="AJ51" s="116" t="s">
        <v>1611</v>
      </c>
      <c r="AK51" s="116" t="s">
        <v>1613</v>
      </c>
    </row>
    <row r="52" spans="2:37" s="2" customFormat="1" ht="16.5" customHeight="1">
      <c r="B52" s="122" t="s">
        <v>1644</v>
      </c>
      <c r="C52" s="122" t="str">
        <f t="shared" ref="C52:C73" si="51">"FF"&amp;D52&amp;E52&amp;""&amp;F52&amp;G52&amp;H52&amp;I52</f>
        <v>FF020000000002</v>
      </c>
      <c r="D52" s="60" t="s">
        <v>17</v>
      </c>
      <c r="E52" s="60" t="s">
        <v>16</v>
      </c>
      <c r="F52" s="60" t="s">
        <v>16</v>
      </c>
      <c r="G52" s="60" t="s">
        <v>16</v>
      </c>
      <c r="H52" s="60" t="s">
        <v>16</v>
      </c>
      <c r="I52" s="12" t="str">
        <f>W52</f>
        <v>02</v>
      </c>
      <c r="J52" s="12"/>
      <c r="K52" s="12"/>
      <c r="L52" s="12"/>
      <c r="M52" s="12"/>
      <c r="N52" s="12"/>
      <c r="O52" s="12"/>
      <c r="P52" s="12"/>
      <c r="Q52" s="13">
        <f t="shared" ref="Q52:Q73" si="52">HEX2DEC(D52)</f>
        <v>2</v>
      </c>
      <c r="R52" s="13">
        <f t="shared" ref="R52:R73" si="53">HEX2DEC(E52)</f>
        <v>0</v>
      </c>
      <c r="S52" s="13">
        <f t="shared" ref="S52:S73" si="54">HEX2DEC(F52)</f>
        <v>0</v>
      </c>
      <c r="T52" s="13">
        <f t="shared" ref="T52:T73" si="55">HEX2DEC(G52)</f>
        <v>0</v>
      </c>
      <c r="U52" s="13">
        <f t="shared" ref="U52" si="56">SUM(Q52:T52)</f>
        <v>2</v>
      </c>
      <c r="V52" s="13">
        <f t="shared" ref="V52" si="57">SUM(R52:U52)</f>
        <v>2</v>
      </c>
      <c r="W52" s="13" t="str">
        <f>REPT("0",2-LEN(RIGHT(DEC2HEX(U52), 2)))&amp;RIGHT(DEC2HEX(U52), 2)</f>
        <v>02</v>
      </c>
      <c r="X52" s="13">
        <f>SUM(R52:W52)</f>
        <v>4</v>
      </c>
      <c r="Y52" s="13" t="str">
        <f>REPT("0",2-LEN(RIGHT(DEC2HEX(X52), 2)))&amp;RIGHT(DEC2HEX(X52), 2)</f>
        <v>04</v>
      </c>
      <c r="Z52" s="119"/>
      <c r="AA52" s="119"/>
      <c r="AB52" s="119"/>
      <c r="AC52" s="119"/>
      <c r="AD52" s="119"/>
      <c r="AE52" s="119"/>
      <c r="AF52" s="119"/>
      <c r="AG52" s="119"/>
      <c r="AH52" s="119"/>
      <c r="AJ52" s="64" t="s">
        <v>1643</v>
      </c>
      <c r="AK52" s="64" t="s">
        <v>1542</v>
      </c>
    </row>
    <row r="53" spans="2:37" ht="16.5" customHeight="1">
      <c r="B53" s="122" t="s">
        <v>1504</v>
      </c>
      <c r="C53" s="122" t="str">
        <f t="shared" si="51"/>
        <v>FF020020000022</v>
      </c>
      <c r="D53" s="60" t="s">
        <v>17</v>
      </c>
      <c r="E53" s="60" t="s">
        <v>16</v>
      </c>
      <c r="F53" s="60">
        <v>20</v>
      </c>
      <c r="G53" s="60" t="s">
        <v>16</v>
      </c>
      <c r="H53" s="60" t="s">
        <v>16</v>
      </c>
      <c r="I53" s="12" t="str">
        <f t="shared" si="10"/>
        <v>22</v>
      </c>
      <c r="J53" s="12"/>
      <c r="K53" s="12"/>
      <c r="L53" s="12"/>
      <c r="M53" s="12"/>
      <c r="N53" s="12"/>
      <c r="O53" s="12"/>
      <c r="P53" s="12"/>
      <c r="Q53" s="13">
        <f t="shared" si="52"/>
        <v>2</v>
      </c>
      <c r="R53" s="13">
        <f t="shared" si="53"/>
        <v>0</v>
      </c>
      <c r="S53" s="13">
        <f t="shared" si="54"/>
        <v>32</v>
      </c>
      <c r="T53" s="13">
        <f t="shared" si="55"/>
        <v>0</v>
      </c>
      <c r="U53" s="13">
        <f t="shared" ref="U53:U73" si="58">HEX2DEC(H53)</f>
        <v>0</v>
      </c>
      <c r="V53" s="13">
        <f t="shared" si="11"/>
        <v>34</v>
      </c>
      <c r="W53" s="13" t="str">
        <f t="shared" si="9"/>
        <v>22</v>
      </c>
      <c r="X53" s="13">
        <f t="shared" si="12"/>
        <v>66</v>
      </c>
      <c r="Y53" s="13" t="str">
        <f t="shared" si="7"/>
        <v>42</v>
      </c>
      <c r="Z53" s="119"/>
      <c r="AA53" s="119"/>
      <c r="AB53" s="119"/>
      <c r="AC53" s="119"/>
      <c r="AD53" s="119"/>
      <c r="AE53" s="119"/>
      <c r="AF53" s="119"/>
      <c r="AG53" s="119"/>
      <c r="AH53" s="119"/>
      <c r="AJ53" s="64" t="s">
        <v>1582</v>
      </c>
      <c r="AK53" s="64" t="s">
        <v>1543</v>
      </c>
    </row>
    <row r="54" spans="2:37" ht="16.5" customHeight="1">
      <c r="B54" s="122" t="s">
        <v>1505</v>
      </c>
      <c r="C54" s="122" t="str">
        <f t="shared" si="51"/>
        <v>FF020040000042</v>
      </c>
      <c r="D54" s="60" t="s">
        <v>17</v>
      </c>
      <c r="E54" s="60" t="s">
        <v>16</v>
      </c>
      <c r="F54" s="60" t="s">
        <v>1503</v>
      </c>
      <c r="G54" s="60" t="s">
        <v>16</v>
      </c>
      <c r="H54" s="60" t="s">
        <v>16</v>
      </c>
      <c r="I54" s="12" t="str">
        <f t="shared" ref="I54:I73" si="59">W54</f>
        <v>42</v>
      </c>
      <c r="J54" s="12"/>
      <c r="K54" s="12"/>
      <c r="L54" s="12"/>
      <c r="M54" s="12"/>
      <c r="N54" s="12"/>
      <c r="O54" s="12"/>
      <c r="P54" s="12"/>
      <c r="Q54" s="13">
        <f t="shared" si="52"/>
        <v>2</v>
      </c>
      <c r="R54" s="13">
        <f t="shared" si="53"/>
        <v>0</v>
      </c>
      <c r="S54" s="13">
        <f t="shared" si="54"/>
        <v>64</v>
      </c>
      <c r="T54" s="13">
        <f t="shared" si="55"/>
        <v>0</v>
      </c>
      <c r="U54" s="13">
        <f t="shared" si="58"/>
        <v>0</v>
      </c>
      <c r="V54" s="13">
        <f t="shared" ref="V54:V73" si="60">SUM(Q54:U54)</f>
        <v>66</v>
      </c>
      <c r="W54" s="13" t="str">
        <f t="shared" si="9"/>
        <v>42</v>
      </c>
      <c r="X54" s="13">
        <f t="shared" ref="X54:X73" si="61">SUM(R54:W54)</f>
        <v>130</v>
      </c>
      <c r="Y54" s="13" t="str">
        <f t="shared" si="7"/>
        <v>82</v>
      </c>
      <c r="Z54" s="119"/>
      <c r="AA54" s="119"/>
      <c r="AB54" s="119"/>
      <c r="AC54" s="119"/>
      <c r="AD54" s="119"/>
      <c r="AE54" s="119"/>
      <c r="AF54" s="119"/>
      <c r="AG54" s="119"/>
      <c r="AH54" s="119"/>
      <c r="AJ54" s="64" t="s">
        <v>1583</v>
      </c>
      <c r="AK54" s="64" t="s">
        <v>1544</v>
      </c>
    </row>
    <row r="55" spans="2:37" ht="16.5" customHeight="1">
      <c r="B55" s="122" t="s">
        <v>1506</v>
      </c>
      <c r="C55" s="122" t="str">
        <f t="shared" si="51"/>
        <v>FF020080000082</v>
      </c>
      <c r="D55" s="60" t="s">
        <v>17</v>
      </c>
      <c r="E55" s="60" t="s">
        <v>16</v>
      </c>
      <c r="F55" s="60" t="s">
        <v>43</v>
      </c>
      <c r="G55" s="60" t="s">
        <v>16</v>
      </c>
      <c r="H55" s="60" t="s">
        <v>16</v>
      </c>
      <c r="I55" s="12" t="str">
        <f t="shared" si="59"/>
        <v>82</v>
      </c>
      <c r="J55" s="12"/>
      <c r="K55" s="12"/>
      <c r="L55" s="12"/>
      <c r="M55" s="12"/>
      <c r="N55" s="12"/>
      <c r="O55" s="12"/>
      <c r="P55" s="12"/>
      <c r="Q55" s="13">
        <f t="shared" si="52"/>
        <v>2</v>
      </c>
      <c r="R55" s="13">
        <f t="shared" si="53"/>
        <v>0</v>
      </c>
      <c r="S55" s="13">
        <f t="shared" si="54"/>
        <v>128</v>
      </c>
      <c r="T55" s="13">
        <f t="shared" si="55"/>
        <v>0</v>
      </c>
      <c r="U55" s="13">
        <f t="shared" si="58"/>
        <v>0</v>
      </c>
      <c r="V55" s="13">
        <f t="shared" si="60"/>
        <v>130</v>
      </c>
      <c r="W55" s="13" t="str">
        <f t="shared" si="9"/>
        <v>82</v>
      </c>
      <c r="X55" s="13">
        <f t="shared" si="61"/>
        <v>258</v>
      </c>
      <c r="Y55" s="13" t="str">
        <f t="shared" si="7"/>
        <v>02</v>
      </c>
      <c r="Z55" s="119"/>
      <c r="AA55" s="119"/>
      <c r="AB55" s="119"/>
      <c r="AC55" s="119"/>
      <c r="AD55" s="119"/>
      <c r="AE55" s="119"/>
      <c r="AF55" s="119"/>
      <c r="AG55" s="119"/>
      <c r="AH55" s="119"/>
      <c r="AJ55" s="64" t="s">
        <v>1584</v>
      </c>
      <c r="AK55" s="64" t="s">
        <v>1545</v>
      </c>
    </row>
    <row r="56" spans="2:37" ht="16.5" customHeight="1">
      <c r="B56" s="122" t="s">
        <v>1507</v>
      </c>
      <c r="C56" s="122" t="str">
        <f t="shared" si="51"/>
        <v>FF020100000003</v>
      </c>
      <c r="D56" s="60" t="s">
        <v>17</v>
      </c>
      <c r="E56" s="60" t="s">
        <v>24</v>
      </c>
      <c r="F56" s="60" t="s">
        <v>16</v>
      </c>
      <c r="G56" s="60" t="s">
        <v>16</v>
      </c>
      <c r="H56" s="60" t="s">
        <v>16</v>
      </c>
      <c r="I56" s="12" t="str">
        <f t="shared" si="59"/>
        <v>03</v>
      </c>
      <c r="J56" s="12"/>
      <c r="K56" s="12"/>
      <c r="L56" s="12"/>
      <c r="M56" s="12"/>
      <c r="N56" s="12"/>
      <c r="O56" s="12"/>
      <c r="P56" s="12"/>
      <c r="Q56" s="13">
        <f t="shared" si="52"/>
        <v>2</v>
      </c>
      <c r="R56" s="13">
        <f t="shared" si="53"/>
        <v>1</v>
      </c>
      <c r="S56" s="13">
        <f t="shared" si="54"/>
        <v>0</v>
      </c>
      <c r="T56" s="13">
        <f t="shared" si="55"/>
        <v>0</v>
      </c>
      <c r="U56" s="13">
        <f t="shared" si="58"/>
        <v>0</v>
      </c>
      <c r="V56" s="13">
        <f t="shared" si="60"/>
        <v>3</v>
      </c>
      <c r="W56" s="13" t="str">
        <f t="shared" si="9"/>
        <v>03</v>
      </c>
      <c r="X56" s="13">
        <f t="shared" si="61"/>
        <v>4</v>
      </c>
      <c r="Y56" s="13" t="str">
        <f t="shared" si="7"/>
        <v>04</v>
      </c>
      <c r="Z56" s="119"/>
      <c r="AA56" s="119"/>
      <c r="AB56" s="119"/>
      <c r="AC56" s="119"/>
      <c r="AD56" s="119"/>
      <c r="AE56" s="119"/>
      <c r="AF56" s="119"/>
      <c r="AG56" s="119"/>
      <c r="AH56" s="119"/>
      <c r="AJ56" s="64" t="s">
        <v>1585</v>
      </c>
      <c r="AK56" s="64" t="s">
        <v>1546</v>
      </c>
    </row>
    <row r="57" spans="2:37" ht="16.5" customHeight="1">
      <c r="B57" s="122" t="s">
        <v>1508</v>
      </c>
      <c r="C57" s="122" t="str">
        <f t="shared" si="51"/>
        <v>FF02002500042B</v>
      </c>
      <c r="D57" s="60" t="s">
        <v>17</v>
      </c>
      <c r="E57" s="60" t="s">
        <v>16</v>
      </c>
      <c r="F57" s="60" t="s">
        <v>51</v>
      </c>
      <c r="G57" s="60" t="s">
        <v>16</v>
      </c>
      <c r="H57" s="60" t="s">
        <v>67</v>
      </c>
      <c r="I57" s="12" t="str">
        <f t="shared" si="59"/>
        <v>2B</v>
      </c>
      <c r="J57" s="12"/>
      <c r="K57" s="12"/>
      <c r="L57" s="12"/>
      <c r="M57" s="12"/>
      <c r="N57" s="12"/>
      <c r="O57" s="12"/>
      <c r="P57" s="12"/>
      <c r="Q57" s="13">
        <f t="shared" si="52"/>
        <v>2</v>
      </c>
      <c r="R57" s="13">
        <f t="shared" si="53"/>
        <v>0</v>
      </c>
      <c r="S57" s="13">
        <f t="shared" si="54"/>
        <v>37</v>
      </c>
      <c r="T57" s="13">
        <f t="shared" si="55"/>
        <v>0</v>
      </c>
      <c r="U57" s="13">
        <f t="shared" si="58"/>
        <v>4</v>
      </c>
      <c r="V57" s="13">
        <f t="shared" si="60"/>
        <v>43</v>
      </c>
      <c r="W57" s="13" t="str">
        <f t="shared" si="9"/>
        <v>2B</v>
      </c>
      <c r="X57" s="13">
        <f t="shared" si="61"/>
        <v>84</v>
      </c>
      <c r="Y57" s="13" t="str">
        <f t="shared" si="7"/>
        <v>54</v>
      </c>
      <c r="Z57" s="119"/>
      <c r="AA57" s="119"/>
      <c r="AB57" s="119"/>
      <c r="AC57" s="119"/>
      <c r="AD57" s="119"/>
      <c r="AE57" s="119"/>
      <c r="AF57" s="119"/>
      <c r="AG57" s="119"/>
      <c r="AH57" s="119"/>
      <c r="AJ57" s="64" t="s">
        <v>1586</v>
      </c>
      <c r="AK57" s="64" t="s">
        <v>1547</v>
      </c>
    </row>
    <row r="58" spans="2:37" ht="16.5" customHeight="1">
      <c r="B58" s="122" t="s">
        <v>1684</v>
      </c>
      <c r="C58" s="122" t="str">
        <f t="shared" si="51"/>
        <v>FF020025000027</v>
      </c>
      <c r="D58" s="60" t="s">
        <v>17</v>
      </c>
      <c r="E58" s="60" t="s">
        <v>16</v>
      </c>
      <c r="F58" s="60" t="s">
        <v>51</v>
      </c>
      <c r="G58" s="60" t="s">
        <v>16</v>
      </c>
      <c r="H58" s="60" t="s">
        <v>16</v>
      </c>
      <c r="I58" s="12" t="str">
        <f t="shared" ref="I58" si="62">W58</f>
        <v>27</v>
      </c>
      <c r="J58" s="12"/>
      <c r="K58" s="12"/>
      <c r="L58" s="12"/>
      <c r="M58" s="12"/>
      <c r="N58" s="12"/>
      <c r="O58" s="12"/>
      <c r="P58" s="12"/>
      <c r="Q58" s="13">
        <f t="shared" si="52"/>
        <v>2</v>
      </c>
      <c r="R58" s="13">
        <f t="shared" si="53"/>
        <v>0</v>
      </c>
      <c r="S58" s="13">
        <f t="shared" si="54"/>
        <v>37</v>
      </c>
      <c r="T58" s="13">
        <f t="shared" si="55"/>
        <v>0</v>
      </c>
      <c r="U58" s="13">
        <f t="shared" si="58"/>
        <v>0</v>
      </c>
      <c r="V58" s="13">
        <f t="shared" ref="V58" si="63">SUM(Q58:U58)</f>
        <v>39</v>
      </c>
      <c r="W58" s="13" t="str">
        <f t="shared" ref="W58" si="64">REPT("0",2-LEN(RIGHT(DEC2HEX(V58), 2)))&amp;RIGHT(DEC2HEX(V58), 2)</f>
        <v>27</v>
      </c>
      <c r="X58" s="13">
        <f t="shared" ref="X58" si="65">SUM(R58:W58)</f>
        <v>76</v>
      </c>
      <c r="Y58" s="13" t="str">
        <f t="shared" ref="Y58" si="66">REPT("0",2-LEN(RIGHT(DEC2HEX(X58), 2)))&amp;RIGHT(DEC2HEX(X58), 2)</f>
        <v>4C</v>
      </c>
      <c r="Z58" s="119"/>
      <c r="AA58" s="119"/>
      <c r="AB58" s="119"/>
      <c r="AC58" s="119"/>
      <c r="AD58" s="119"/>
      <c r="AE58" s="119"/>
      <c r="AF58" s="119"/>
      <c r="AG58" s="119"/>
      <c r="AH58" s="119"/>
      <c r="AJ58" s="64" t="s">
        <v>1586</v>
      </c>
      <c r="AK58" s="64" t="s">
        <v>2145</v>
      </c>
    </row>
    <row r="59" spans="2:37" ht="16.5" customHeight="1">
      <c r="B59" s="122" t="s">
        <v>1509</v>
      </c>
      <c r="C59" s="122" t="str">
        <f t="shared" si="51"/>
        <v>FF02002700042D</v>
      </c>
      <c r="D59" s="60" t="s">
        <v>17</v>
      </c>
      <c r="E59" s="60" t="s">
        <v>16</v>
      </c>
      <c r="F59" s="60" t="s">
        <v>60</v>
      </c>
      <c r="G59" s="60" t="s">
        <v>16</v>
      </c>
      <c r="H59" s="60" t="s">
        <v>67</v>
      </c>
      <c r="I59" s="12" t="str">
        <f t="shared" si="59"/>
        <v>2D</v>
      </c>
      <c r="J59" s="12"/>
      <c r="K59" s="12"/>
      <c r="L59" s="12"/>
      <c r="M59" s="12"/>
      <c r="N59" s="12"/>
      <c r="O59" s="12"/>
      <c r="P59" s="12"/>
      <c r="Q59" s="13">
        <f t="shared" si="52"/>
        <v>2</v>
      </c>
      <c r="R59" s="13">
        <f t="shared" si="53"/>
        <v>0</v>
      </c>
      <c r="S59" s="13">
        <f t="shared" si="54"/>
        <v>39</v>
      </c>
      <c r="T59" s="13">
        <f t="shared" si="55"/>
        <v>0</v>
      </c>
      <c r="U59" s="13">
        <f t="shared" si="58"/>
        <v>4</v>
      </c>
      <c r="V59" s="13">
        <f t="shared" si="60"/>
        <v>45</v>
      </c>
      <c r="W59" s="13" t="str">
        <f t="shared" si="9"/>
        <v>2D</v>
      </c>
      <c r="X59" s="13">
        <f t="shared" si="61"/>
        <v>88</v>
      </c>
      <c r="Y59" s="13" t="str">
        <f t="shared" si="7"/>
        <v>58</v>
      </c>
      <c r="Z59" s="119"/>
      <c r="AA59" s="119"/>
      <c r="AB59" s="119"/>
      <c r="AC59" s="119"/>
      <c r="AD59" s="119"/>
      <c r="AE59" s="119"/>
      <c r="AF59" s="119"/>
      <c r="AG59" s="119"/>
      <c r="AH59" s="119"/>
      <c r="AJ59" s="64" t="s">
        <v>1587</v>
      </c>
      <c r="AK59" s="64" t="s">
        <v>1548</v>
      </c>
    </row>
    <row r="60" spans="2:37" ht="16.5" customHeight="1">
      <c r="B60" s="122" t="s">
        <v>1685</v>
      </c>
      <c r="C60" s="122" t="str">
        <f t="shared" si="51"/>
        <v>FF020027000029</v>
      </c>
      <c r="D60" s="60" t="s">
        <v>17</v>
      </c>
      <c r="E60" s="60" t="s">
        <v>16</v>
      </c>
      <c r="F60" s="60" t="s">
        <v>60</v>
      </c>
      <c r="G60" s="60" t="s">
        <v>16</v>
      </c>
      <c r="H60" s="60" t="s">
        <v>16</v>
      </c>
      <c r="I60" s="12" t="str">
        <f t="shared" ref="I60" si="67">W60</f>
        <v>29</v>
      </c>
      <c r="J60" s="12"/>
      <c r="K60" s="12"/>
      <c r="L60" s="12"/>
      <c r="M60" s="12"/>
      <c r="N60" s="12"/>
      <c r="O60" s="12"/>
      <c r="P60" s="12"/>
      <c r="Q60" s="13">
        <f t="shared" si="52"/>
        <v>2</v>
      </c>
      <c r="R60" s="13">
        <f t="shared" si="53"/>
        <v>0</v>
      </c>
      <c r="S60" s="13">
        <f t="shared" si="54"/>
        <v>39</v>
      </c>
      <c r="T60" s="13">
        <f t="shared" si="55"/>
        <v>0</v>
      </c>
      <c r="U60" s="13">
        <f t="shared" si="58"/>
        <v>0</v>
      </c>
      <c r="V60" s="13">
        <f t="shared" ref="V60" si="68">SUM(Q60:U60)</f>
        <v>41</v>
      </c>
      <c r="W60" s="13" t="str">
        <f t="shared" ref="W60" si="69">REPT("0",2-LEN(RIGHT(DEC2HEX(V60), 2)))&amp;RIGHT(DEC2HEX(V60), 2)</f>
        <v>29</v>
      </c>
      <c r="X60" s="13">
        <f t="shared" ref="X60" si="70">SUM(R60:W60)</f>
        <v>80</v>
      </c>
      <c r="Y60" s="13" t="str">
        <f t="shared" ref="Y60" si="71">REPT("0",2-LEN(RIGHT(DEC2HEX(X60), 2)))&amp;RIGHT(DEC2HEX(X60), 2)</f>
        <v>50</v>
      </c>
      <c r="Z60" s="119"/>
      <c r="AA60" s="119"/>
      <c r="AB60" s="119"/>
      <c r="AC60" s="119"/>
      <c r="AD60" s="119"/>
      <c r="AE60" s="119"/>
      <c r="AF60" s="119"/>
      <c r="AG60" s="119"/>
      <c r="AH60" s="119"/>
      <c r="AJ60" s="64" t="s">
        <v>1587</v>
      </c>
      <c r="AK60" s="64" t="s">
        <v>2146</v>
      </c>
    </row>
    <row r="61" spans="2:37" ht="16.5" customHeight="1">
      <c r="B61" s="122" t="s">
        <v>1616</v>
      </c>
      <c r="C61" s="122" t="str">
        <f t="shared" si="51"/>
        <v>FF02004F000051</v>
      </c>
      <c r="D61" s="60" t="s">
        <v>17</v>
      </c>
      <c r="E61" s="60" t="s">
        <v>16</v>
      </c>
      <c r="F61" s="60" t="s">
        <v>70</v>
      </c>
      <c r="G61" s="60" t="s">
        <v>16</v>
      </c>
      <c r="H61" s="60" t="s">
        <v>16</v>
      </c>
      <c r="I61" s="12" t="str">
        <f t="shared" si="59"/>
        <v>51</v>
      </c>
      <c r="J61" s="12"/>
      <c r="K61" s="12"/>
      <c r="L61" s="12"/>
      <c r="M61" s="12"/>
      <c r="N61" s="12"/>
      <c r="O61" s="12"/>
      <c r="P61" s="12"/>
      <c r="Q61" s="13">
        <f t="shared" si="52"/>
        <v>2</v>
      </c>
      <c r="R61" s="13">
        <f t="shared" si="53"/>
        <v>0</v>
      </c>
      <c r="S61" s="13">
        <f t="shared" si="54"/>
        <v>79</v>
      </c>
      <c r="T61" s="13">
        <f t="shared" si="55"/>
        <v>0</v>
      </c>
      <c r="U61" s="13">
        <f t="shared" si="58"/>
        <v>0</v>
      </c>
      <c r="V61" s="13">
        <f t="shared" si="60"/>
        <v>81</v>
      </c>
      <c r="W61" s="13" t="str">
        <f t="shared" si="9"/>
        <v>51</v>
      </c>
      <c r="X61" s="13">
        <f t="shared" si="61"/>
        <v>160</v>
      </c>
      <c r="Y61" s="13" t="str">
        <f t="shared" si="7"/>
        <v>A0</v>
      </c>
      <c r="Z61" s="119"/>
      <c r="AA61" s="119"/>
      <c r="AB61" s="119"/>
      <c r="AC61" s="119"/>
      <c r="AD61" s="119"/>
      <c r="AE61" s="119"/>
      <c r="AF61" s="119"/>
      <c r="AG61" s="119"/>
      <c r="AH61" s="119"/>
      <c r="AJ61" s="64" t="s">
        <v>1615</v>
      </c>
      <c r="AK61" s="64" t="s">
        <v>1549</v>
      </c>
    </row>
    <row r="62" spans="2:37" ht="28.5" customHeight="1">
      <c r="B62" s="122" t="s">
        <v>1618</v>
      </c>
      <c r="C62" s="122" t="str">
        <f t="shared" si="51"/>
        <v>FF02004F400091</v>
      </c>
      <c r="D62" s="60" t="s">
        <v>17</v>
      </c>
      <c r="E62" s="60" t="s">
        <v>16</v>
      </c>
      <c r="F62" s="60" t="s">
        <v>70</v>
      </c>
      <c r="G62" s="60" t="s">
        <v>1503</v>
      </c>
      <c r="H62" s="60" t="s">
        <v>16</v>
      </c>
      <c r="I62" s="12" t="str">
        <f t="shared" ref="I62" si="72">W62</f>
        <v>91</v>
      </c>
      <c r="J62" s="12"/>
      <c r="K62" s="12"/>
      <c r="L62" s="12"/>
      <c r="M62" s="12"/>
      <c r="N62" s="12"/>
      <c r="O62" s="12"/>
      <c r="P62" s="12"/>
      <c r="Q62" s="13">
        <f t="shared" si="52"/>
        <v>2</v>
      </c>
      <c r="R62" s="13">
        <f t="shared" si="53"/>
        <v>0</v>
      </c>
      <c r="S62" s="13">
        <f t="shared" si="54"/>
        <v>79</v>
      </c>
      <c r="T62" s="13">
        <f t="shared" si="55"/>
        <v>64</v>
      </c>
      <c r="U62" s="13">
        <f t="shared" si="58"/>
        <v>0</v>
      </c>
      <c r="V62" s="13">
        <f t="shared" ref="V62" si="73">SUM(Q62:U62)</f>
        <v>145</v>
      </c>
      <c r="W62" s="13" t="str">
        <f t="shared" ref="W62" si="74">REPT("0",2-LEN(RIGHT(DEC2HEX(V62), 2)))&amp;RIGHT(DEC2HEX(V62), 2)</f>
        <v>91</v>
      </c>
      <c r="X62" s="13">
        <f t="shared" ref="X62" si="75">SUM(R62:W62)</f>
        <v>288</v>
      </c>
      <c r="Y62" s="13" t="str">
        <f t="shared" ref="Y62" si="76">REPT("0",2-LEN(RIGHT(DEC2HEX(X62), 2)))&amp;RIGHT(DEC2HEX(X62), 2)</f>
        <v>20</v>
      </c>
      <c r="Z62" s="119"/>
      <c r="AA62" s="119"/>
      <c r="AB62" s="119"/>
      <c r="AC62" s="119"/>
      <c r="AD62" s="119"/>
      <c r="AE62" s="119"/>
      <c r="AF62" s="119"/>
      <c r="AG62" s="119"/>
      <c r="AH62" s="119"/>
      <c r="AJ62" s="64" t="s">
        <v>1617</v>
      </c>
      <c r="AK62" s="64" t="s">
        <v>1550</v>
      </c>
    </row>
    <row r="63" spans="2:37" ht="16.5" customHeight="1">
      <c r="B63" s="122" t="s">
        <v>1620</v>
      </c>
      <c r="C63" s="122" t="str">
        <f t="shared" si="51"/>
        <v>FF02004FFFFF4F</v>
      </c>
      <c r="D63" s="60" t="s">
        <v>17</v>
      </c>
      <c r="E63" s="60" t="s">
        <v>16</v>
      </c>
      <c r="F63" s="60" t="s">
        <v>70</v>
      </c>
      <c r="G63" s="60" t="s">
        <v>9</v>
      </c>
      <c r="H63" s="60" t="s">
        <v>9</v>
      </c>
      <c r="I63" s="12" t="str">
        <f t="shared" si="59"/>
        <v>4F</v>
      </c>
      <c r="J63" s="12"/>
      <c r="K63" s="12"/>
      <c r="L63" s="12"/>
      <c r="M63" s="12"/>
      <c r="N63" s="12"/>
      <c r="O63" s="12"/>
      <c r="P63" s="12"/>
      <c r="Q63" s="13">
        <f t="shared" si="52"/>
        <v>2</v>
      </c>
      <c r="R63" s="13">
        <f t="shared" si="53"/>
        <v>0</v>
      </c>
      <c r="S63" s="13">
        <f t="shared" si="54"/>
        <v>79</v>
      </c>
      <c r="T63" s="13">
        <f t="shared" si="55"/>
        <v>255</v>
      </c>
      <c r="U63" s="13">
        <f t="shared" si="58"/>
        <v>255</v>
      </c>
      <c r="V63" s="13">
        <f t="shared" si="60"/>
        <v>591</v>
      </c>
      <c r="W63" s="13" t="str">
        <f t="shared" si="9"/>
        <v>4F</v>
      </c>
      <c r="X63" s="13">
        <f t="shared" si="61"/>
        <v>1180</v>
      </c>
      <c r="Y63" s="13" t="str">
        <f t="shared" si="7"/>
        <v>9C</v>
      </c>
      <c r="Z63" s="119"/>
      <c r="AA63" s="119"/>
      <c r="AB63" s="119"/>
      <c r="AC63" s="119"/>
      <c r="AD63" s="119"/>
      <c r="AE63" s="119"/>
      <c r="AF63" s="119"/>
      <c r="AG63" s="119"/>
      <c r="AH63" s="119"/>
      <c r="AJ63" s="64" t="s">
        <v>1619</v>
      </c>
      <c r="AK63" s="64" t="s">
        <v>1551</v>
      </c>
    </row>
    <row r="64" spans="2:37" ht="16.5" customHeight="1">
      <c r="B64" s="122" t="s">
        <v>1622</v>
      </c>
      <c r="C64" s="122" t="str">
        <f t="shared" si="51"/>
        <v>FF020055000057</v>
      </c>
      <c r="D64" s="60" t="s">
        <v>17</v>
      </c>
      <c r="E64" s="60" t="s">
        <v>16</v>
      </c>
      <c r="F64" s="60" t="s">
        <v>74</v>
      </c>
      <c r="G64" s="60" t="s">
        <v>16</v>
      </c>
      <c r="H64" s="60" t="s">
        <v>16</v>
      </c>
      <c r="I64" s="12" t="str">
        <f t="shared" si="59"/>
        <v>57</v>
      </c>
      <c r="J64" s="12"/>
      <c r="K64" s="12"/>
      <c r="L64" s="12"/>
      <c r="M64" s="12"/>
      <c r="N64" s="12"/>
      <c r="O64" s="12"/>
      <c r="P64" s="12"/>
      <c r="Q64" s="13">
        <f t="shared" si="52"/>
        <v>2</v>
      </c>
      <c r="R64" s="13">
        <f t="shared" si="53"/>
        <v>0</v>
      </c>
      <c r="S64" s="13">
        <f t="shared" si="54"/>
        <v>85</v>
      </c>
      <c r="T64" s="13">
        <f t="shared" si="55"/>
        <v>0</v>
      </c>
      <c r="U64" s="13">
        <f t="shared" si="58"/>
        <v>0</v>
      </c>
      <c r="V64" s="13">
        <f t="shared" si="60"/>
        <v>87</v>
      </c>
      <c r="W64" s="13" t="str">
        <f t="shared" si="9"/>
        <v>57</v>
      </c>
      <c r="X64" s="13">
        <f t="shared" si="61"/>
        <v>172</v>
      </c>
      <c r="Y64" s="13" t="str">
        <f>REPT("0",2-LEN(RIGHT(DEC2HEX(X64), 2)))&amp;RIGHT(DEC2HEX(X64), 2)</f>
        <v>AC</v>
      </c>
      <c r="Z64" s="119"/>
      <c r="AA64" s="119"/>
      <c r="AB64" s="119"/>
      <c r="AC64" s="119"/>
      <c r="AD64" s="119"/>
      <c r="AE64" s="119"/>
      <c r="AF64" s="119"/>
      <c r="AG64" s="119"/>
      <c r="AH64" s="119"/>
      <c r="AJ64" s="64" t="s">
        <v>1621</v>
      </c>
      <c r="AK64" s="64" t="s">
        <v>1552</v>
      </c>
    </row>
    <row r="65" spans="2:37" ht="16.5" customHeight="1">
      <c r="B65" s="122" t="s">
        <v>1624</v>
      </c>
      <c r="C65" s="122" t="str">
        <f t="shared" si="51"/>
        <v>FF02014F000052</v>
      </c>
      <c r="D65" s="60" t="s">
        <v>17</v>
      </c>
      <c r="E65" s="60" t="s">
        <v>24</v>
      </c>
      <c r="F65" s="60" t="s">
        <v>70</v>
      </c>
      <c r="G65" s="60" t="s">
        <v>16</v>
      </c>
      <c r="H65" s="60" t="s">
        <v>16</v>
      </c>
      <c r="I65" s="12" t="str">
        <f t="shared" si="59"/>
        <v>52</v>
      </c>
      <c r="J65" s="12"/>
      <c r="K65" s="12"/>
      <c r="L65" s="12"/>
      <c r="M65" s="12"/>
      <c r="N65" s="12"/>
      <c r="O65" s="12"/>
      <c r="P65" s="12"/>
      <c r="Q65" s="13">
        <f t="shared" si="52"/>
        <v>2</v>
      </c>
      <c r="R65" s="13">
        <f t="shared" si="53"/>
        <v>1</v>
      </c>
      <c r="S65" s="13">
        <f t="shared" si="54"/>
        <v>79</v>
      </c>
      <c r="T65" s="13">
        <f t="shared" si="55"/>
        <v>0</v>
      </c>
      <c r="U65" s="13">
        <f t="shared" si="58"/>
        <v>0</v>
      </c>
      <c r="V65" s="13">
        <f t="shared" si="60"/>
        <v>82</v>
      </c>
      <c r="W65" s="13" t="str">
        <f t="shared" si="9"/>
        <v>52</v>
      </c>
      <c r="X65" s="13">
        <f t="shared" si="61"/>
        <v>162</v>
      </c>
      <c r="Y65" s="13" t="str">
        <f t="shared" si="7"/>
        <v>A2</v>
      </c>
      <c r="Z65" s="119"/>
      <c r="AA65" s="119"/>
      <c r="AB65" s="119"/>
      <c r="AC65" s="119"/>
      <c r="AD65" s="119"/>
      <c r="AE65" s="119"/>
      <c r="AF65" s="119"/>
      <c r="AG65" s="119"/>
      <c r="AH65" s="119"/>
      <c r="AJ65" s="64" t="s">
        <v>1623</v>
      </c>
      <c r="AK65" s="64" t="s">
        <v>1553</v>
      </c>
    </row>
    <row r="66" spans="2:37" ht="32.25" customHeight="1">
      <c r="B66" s="122" t="s">
        <v>1626</v>
      </c>
      <c r="C66" s="122" t="str">
        <f t="shared" si="51"/>
        <v>FF02014F100062</v>
      </c>
      <c r="D66" s="60" t="s">
        <v>17</v>
      </c>
      <c r="E66" s="60" t="s">
        <v>24</v>
      </c>
      <c r="F66" s="60" t="s">
        <v>70</v>
      </c>
      <c r="G66" s="60" t="s">
        <v>109</v>
      </c>
      <c r="H66" s="60" t="s">
        <v>16</v>
      </c>
      <c r="I66" s="12" t="str">
        <f t="shared" si="59"/>
        <v>62</v>
      </c>
      <c r="J66" s="12"/>
      <c r="K66" s="12"/>
      <c r="L66" s="12"/>
      <c r="M66" s="12"/>
      <c r="N66" s="12"/>
      <c r="O66" s="12"/>
      <c r="P66" s="12"/>
      <c r="Q66" s="13">
        <f t="shared" si="52"/>
        <v>2</v>
      </c>
      <c r="R66" s="13">
        <f t="shared" si="53"/>
        <v>1</v>
      </c>
      <c r="S66" s="13">
        <f t="shared" si="54"/>
        <v>79</v>
      </c>
      <c r="T66" s="13">
        <f t="shared" si="55"/>
        <v>16</v>
      </c>
      <c r="U66" s="13">
        <f t="shared" si="58"/>
        <v>0</v>
      </c>
      <c r="V66" s="13">
        <f t="shared" si="60"/>
        <v>98</v>
      </c>
      <c r="W66" s="13" t="str">
        <f t="shared" si="9"/>
        <v>62</v>
      </c>
      <c r="X66" s="13">
        <f t="shared" si="61"/>
        <v>194</v>
      </c>
      <c r="Y66" s="13" t="str">
        <f t="shared" si="7"/>
        <v>C2</v>
      </c>
      <c r="Z66" s="119"/>
      <c r="AA66" s="119"/>
      <c r="AB66" s="119"/>
      <c r="AC66" s="119"/>
      <c r="AD66" s="119"/>
      <c r="AE66" s="119"/>
      <c r="AF66" s="119"/>
      <c r="AG66" s="119"/>
      <c r="AH66" s="119"/>
      <c r="AJ66" s="64" t="s">
        <v>1625</v>
      </c>
      <c r="AK66" s="64" t="s">
        <v>1554</v>
      </c>
    </row>
    <row r="67" spans="2:37" ht="30" customHeight="1">
      <c r="B67" s="122" t="s">
        <v>1628</v>
      </c>
      <c r="C67" s="122" t="str">
        <f t="shared" si="51"/>
        <v>FF02014F8000D2</v>
      </c>
      <c r="D67" s="60" t="s">
        <v>17</v>
      </c>
      <c r="E67" s="60" t="s">
        <v>24</v>
      </c>
      <c r="F67" s="60" t="s">
        <v>70</v>
      </c>
      <c r="G67" s="60" t="s">
        <v>43</v>
      </c>
      <c r="H67" s="60" t="s">
        <v>16</v>
      </c>
      <c r="I67" s="12" t="str">
        <f t="shared" ref="I67" si="77">W67</f>
        <v>D2</v>
      </c>
      <c r="J67" s="12"/>
      <c r="K67" s="12"/>
      <c r="L67" s="12"/>
      <c r="M67" s="12"/>
      <c r="N67" s="12"/>
      <c r="O67" s="12"/>
      <c r="P67" s="12"/>
      <c r="Q67" s="13">
        <f t="shared" si="52"/>
        <v>2</v>
      </c>
      <c r="R67" s="13">
        <f t="shared" si="53"/>
        <v>1</v>
      </c>
      <c r="S67" s="13">
        <f t="shared" si="54"/>
        <v>79</v>
      </c>
      <c r="T67" s="13">
        <f t="shared" si="55"/>
        <v>128</v>
      </c>
      <c r="U67" s="13">
        <f t="shared" si="58"/>
        <v>0</v>
      </c>
      <c r="V67" s="13">
        <f t="shared" ref="V67" si="78">SUM(Q67:U67)</f>
        <v>210</v>
      </c>
      <c r="W67" s="13" t="str">
        <f t="shared" ref="W67" si="79">REPT("0",2-LEN(RIGHT(DEC2HEX(V67), 2)))&amp;RIGHT(DEC2HEX(V67), 2)</f>
        <v>D2</v>
      </c>
      <c r="X67" s="13">
        <f t="shared" ref="X67" si="80">SUM(R67:W67)</f>
        <v>418</v>
      </c>
      <c r="Y67" s="13" t="str">
        <f t="shared" ref="Y67" si="81">REPT("0",2-LEN(RIGHT(DEC2HEX(X67), 2)))&amp;RIGHT(DEC2HEX(X67), 2)</f>
        <v>A2</v>
      </c>
      <c r="Z67" s="119"/>
      <c r="AA67" s="119"/>
      <c r="AB67" s="119"/>
      <c r="AC67" s="119"/>
      <c r="AD67" s="119"/>
      <c r="AE67" s="119"/>
      <c r="AF67" s="119"/>
      <c r="AG67" s="119"/>
      <c r="AH67" s="119"/>
      <c r="AJ67" s="64" t="s">
        <v>1627</v>
      </c>
      <c r="AK67" s="64" t="s">
        <v>1555</v>
      </c>
    </row>
    <row r="68" spans="2:37" ht="16.5" customHeight="1">
      <c r="B68" s="122" t="s">
        <v>1630</v>
      </c>
      <c r="C68" s="122" t="str">
        <f t="shared" si="51"/>
        <v>FF02014FFFFF50</v>
      </c>
      <c r="D68" s="60" t="s">
        <v>17</v>
      </c>
      <c r="E68" s="60" t="s">
        <v>24</v>
      </c>
      <c r="F68" s="60" t="s">
        <v>70</v>
      </c>
      <c r="G68" s="60" t="s">
        <v>9</v>
      </c>
      <c r="H68" s="60" t="s">
        <v>9</v>
      </c>
      <c r="I68" s="12" t="str">
        <f t="shared" si="59"/>
        <v>50</v>
      </c>
      <c r="J68" s="12"/>
      <c r="K68" s="12"/>
      <c r="L68" s="12"/>
      <c r="M68" s="12"/>
      <c r="N68" s="12"/>
      <c r="O68" s="12"/>
      <c r="P68" s="12"/>
      <c r="Q68" s="13">
        <f t="shared" si="52"/>
        <v>2</v>
      </c>
      <c r="R68" s="13">
        <f t="shared" si="53"/>
        <v>1</v>
      </c>
      <c r="S68" s="13">
        <f t="shared" si="54"/>
        <v>79</v>
      </c>
      <c r="T68" s="13">
        <f t="shared" si="55"/>
        <v>255</v>
      </c>
      <c r="U68" s="13">
        <f t="shared" si="58"/>
        <v>255</v>
      </c>
      <c r="V68" s="13">
        <f t="shared" si="60"/>
        <v>592</v>
      </c>
      <c r="W68" s="13" t="str">
        <f t="shared" si="9"/>
        <v>50</v>
      </c>
      <c r="X68" s="13">
        <f t="shared" si="61"/>
        <v>1182</v>
      </c>
      <c r="Y68" s="13" t="str">
        <f t="shared" si="7"/>
        <v>9E</v>
      </c>
      <c r="Z68" s="119"/>
      <c r="AA68" s="119"/>
      <c r="AB68" s="119"/>
      <c r="AC68" s="119"/>
      <c r="AD68" s="119"/>
      <c r="AE68" s="119"/>
      <c r="AF68" s="119"/>
      <c r="AG68" s="119"/>
      <c r="AH68" s="119"/>
      <c r="AJ68" s="64" t="s">
        <v>1629</v>
      </c>
      <c r="AK68" s="64" t="s">
        <v>1556</v>
      </c>
    </row>
    <row r="69" spans="2:37" ht="16.5" customHeight="1">
      <c r="B69" s="122" t="s">
        <v>1632</v>
      </c>
      <c r="C69" s="122" t="str">
        <f t="shared" si="51"/>
        <v>FF020155000058</v>
      </c>
      <c r="D69" s="60" t="s">
        <v>17</v>
      </c>
      <c r="E69" s="60" t="s">
        <v>24</v>
      </c>
      <c r="F69" s="60" t="s">
        <v>74</v>
      </c>
      <c r="G69" s="60" t="s">
        <v>16</v>
      </c>
      <c r="H69" s="60" t="s">
        <v>16</v>
      </c>
      <c r="I69" s="12" t="str">
        <f t="shared" si="59"/>
        <v>58</v>
      </c>
      <c r="J69" s="12"/>
      <c r="K69" s="12"/>
      <c r="L69" s="12"/>
      <c r="M69" s="12"/>
      <c r="N69" s="12"/>
      <c r="O69" s="12"/>
      <c r="P69" s="12"/>
      <c r="Q69" s="13">
        <f t="shared" si="52"/>
        <v>2</v>
      </c>
      <c r="R69" s="13">
        <f t="shared" si="53"/>
        <v>1</v>
      </c>
      <c r="S69" s="13">
        <f t="shared" si="54"/>
        <v>85</v>
      </c>
      <c r="T69" s="13">
        <f t="shared" si="55"/>
        <v>0</v>
      </c>
      <c r="U69" s="13">
        <f t="shared" si="58"/>
        <v>0</v>
      </c>
      <c r="V69" s="13">
        <f t="shared" si="60"/>
        <v>88</v>
      </c>
      <c r="W69" s="13" t="str">
        <f t="shared" si="9"/>
        <v>58</v>
      </c>
      <c r="X69" s="13">
        <f t="shared" si="61"/>
        <v>174</v>
      </c>
      <c r="Y69" s="13" t="str">
        <f t="shared" si="7"/>
        <v>AE</v>
      </c>
      <c r="Z69" s="119"/>
      <c r="AA69" s="119"/>
      <c r="AB69" s="119"/>
      <c r="AC69" s="119"/>
      <c r="AD69" s="119"/>
      <c r="AE69" s="119"/>
      <c r="AF69" s="119"/>
      <c r="AG69" s="119"/>
      <c r="AH69" s="119"/>
      <c r="AJ69" s="64" t="s">
        <v>1631</v>
      </c>
      <c r="AK69" s="64" t="s">
        <v>1557</v>
      </c>
    </row>
    <row r="70" spans="2:37" ht="16.5" customHeight="1">
      <c r="B70" s="122" t="s">
        <v>1634</v>
      </c>
      <c r="C70" s="122" t="str">
        <f t="shared" si="51"/>
        <v>FF02002B00002D</v>
      </c>
      <c r="D70" s="60" t="s">
        <v>17</v>
      </c>
      <c r="E70" s="60" t="s">
        <v>16</v>
      </c>
      <c r="F70" s="60" t="s">
        <v>104</v>
      </c>
      <c r="G70" s="60" t="s">
        <v>16</v>
      </c>
      <c r="H70" s="60" t="s">
        <v>16</v>
      </c>
      <c r="I70" s="12" t="str">
        <f t="shared" si="59"/>
        <v>2D</v>
      </c>
      <c r="J70" s="12"/>
      <c r="K70" s="12"/>
      <c r="L70" s="12"/>
      <c r="M70" s="12"/>
      <c r="N70" s="12"/>
      <c r="O70" s="12"/>
      <c r="P70" s="12"/>
      <c r="Q70" s="13">
        <f t="shared" si="52"/>
        <v>2</v>
      </c>
      <c r="R70" s="13">
        <f t="shared" si="53"/>
        <v>0</v>
      </c>
      <c r="S70" s="13">
        <f t="shared" si="54"/>
        <v>43</v>
      </c>
      <c r="T70" s="13">
        <f t="shared" si="55"/>
        <v>0</v>
      </c>
      <c r="U70" s="13">
        <f t="shared" si="58"/>
        <v>0</v>
      </c>
      <c r="V70" s="13">
        <f t="shared" si="60"/>
        <v>45</v>
      </c>
      <c r="W70" s="13" t="str">
        <f t="shared" si="9"/>
        <v>2D</v>
      </c>
      <c r="X70" s="13">
        <f t="shared" si="61"/>
        <v>88</v>
      </c>
      <c r="Y70" s="13" t="str">
        <f t="shared" si="7"/>
        <v>58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J70" s="64" t="s">
        <v>1633</v>
      </c>
      <c r="AK70" s="64" t="s">
        <v>1558</v>
      </c>
    </row>
    <row r="71" spans="2:37" ht="16.5" customHeight="1">
      <c r="B71" s="122" t="s">
        <v>1636</v>
      </c>
      <c r="C71" s="122" t="str">
        <f t="shared" si="51"/>
        <v>FF02002B00012E</v>
      </c>
      <c r="D71" s="60" t="s">
        <v>17</v>
      </c>
      <c r="E71" s="60" t="s">
        <v>16</v>
      </c>
      <c r="F71" s="60" t="s">
        <v>104</v>
      </c>
      <c r="G71" s="60" t="s">
        <v>16</v>
      </c>
      <c r="H71" s="60" t="s">
        <v>24</v>
      </c>
      <c r="I71" s="12" t="str">
        <f t="shared" si="59"/>
        <v>2E</v>
      </c>
      <c r="J71" s="12"/>
      <c r="K71" s="12"/>
      <c r="L71" s="12"/>
      <c r="M71" s="12"/>
      <c r="N71" s="12"/>
      <c r="O71" s="12"/>
      <c r="P71" s="12"/>
      <c r="Q71" s="13">
        <f t="shared" si="52"/>
        <v>2</v>
      </c>
      <c r="R71" s="13">
        <f t="shared" si="53"/>
        <v>0</v>
      </c>
      <c r="S71" s="13">
        <f t="shared" si="54"/>
        <v>43</v>
      </c>
      <c r="T71" s="13">
        <f t="shared" si="55"/>
        <v>0</v>
      </c>
      <c r="U71" s="13">
        <f t="shared" si="58"/>
        <v>1</v>
      </c>
      <c r="V71" s="13">
        <f t="shared" si="60"/>
        <v>46</v>
      </c>
      <c r="W71" s="13" t="str">
        <f t="shared" si="9"/>
        <v>2E</v>
      </c>
      <c r="X71" s="13">
        <f t="shared" si="61"/>
        <v>90</v>
      </c>
      <c r="Y71" s="13" t="str">
        <f t="shared" si="7"/>
        <v>5A</v>
      </c>
      <c r="Z71" s="119"/>
      <c r="AA71" s="119"/>
      <c r="AB71" s="119"/>
      <c r="AC71" s="119"/>
      <c r="AD71" s="119"/>
      <c r="AE71" s="119"/>
      <c r="AF71" s="119"/>
      <c r="AG71" s="119"/>
      <c r="AH71" s="119"/>
      <c r="AJ71" s="64" t="s">
        <v>1635</v>
      </c>
      <c r="AK71" s="64" t="s">
        <v>1559</v>
      </c>
    </row>
    <row r="72" spans="2:37" ht="16.5" customHeight="1">
      <c r="B72" s="122" t="s">
        <v>1638</v>
      </c>
      <c r="C72" s="122" t="str">
        <f t="shared" si="51"/>
        <v>FF02000F000011</v>
      </c>
      <c r="D72" s="60" t="s">
        <v>17</v>
      </c>
      <c r="E72" s="60" t="s">
        <v>16</v>
      </c>
      <c r="F72" s="60" t="s">
        <v>78</v>
      </c>
      <c r="G72" s="60" t="s">
        <v>16</v>
      </c>
      <c r="H72" s="60" t="s">
        <v>16</v>
      </c>
      <c r="I72" s="12" t="str">
        <f t="shared" si="59"/>
        <v>11</v>
      </c>
      <c r="J72" s="12"/>
      <c r="K72" s="12"/>
      <c r="L72" s="12"/>
      <c r="M72" s="12"/>
      <c r="N72" s="12"/>
      <c r="O72" s="12"/>
      <c r="P72" s="12"/>
      <c r="Q72" s="13">
        <f t="shared" si="52"/>
        <v>2</v>
      </c>
      <c r="R72" s="13">
        <f t="shared" si="53"/>
        <v>0</v>
      </c>
      <c r="S72" s="13">
        <f t="shared" si="54"/>
        <v>15</v>
      </c>
      <c r="T72" s="13">
        <f t="shared" si="55"/>
        <v>0</v>
      </c>
      <c r="U72" s="13">
        <f t="shared" si="58"/>
        <v>0</v>
      </c>
      <c r="V72" s="13">
        <f t="shared" si="60"/>
        <v>17</v>
      </c>
      <c r="W72" s="13" t="str">
        <f t="shared" si="9"/>
        <v>11</v>
      </c>
      <c r="X72" s="13">
        <f t="shared" si="61"/>
        <v>32</v>
      </c>
      <c r="Y72" s="13" t="str">
        <f t="shared" si="7"/>
        <v>20</v>
      </c>
      <c r="Z72" s="119"/>
      <c r="AA72" s="119"/>
      <c r="AB72" s="119"/>
      <c r="AC72" s="119"/>
      <c r="AD72" s="119"/>
      <c r="AE72" s="119"/>
      <c r="AF72" s="119"/>
      <c r="AG72" s="119"/>
      <c r="AH72" s="119"/>
      <c r="AJ72" s="64" t="s">
        <v>1637</v>
      </c>
      <c r="AK72" s="64" t="s">
        <v>1560</v>
      </c>
    </row>
    <row r="73" spans="2:37" ht="16.5" customHeight="1">
      <c r="B73" s="122" t="s">
        <v>1640</v>
      </c>
      <c r="C73" s="122" t="str">
        <f t="shared" si="51"/>
        <v>FF02002900002B</v>
      </c>
      <c r="D73" s="60" t="s">
        <v>17</v>
      </c>
      <c r="E73" s="60" t="s">
        <v>16</v>
      </c>
      <c r="F73" s="60" t="s">
        <v>79</v>
      </c>
      <c r="G73" s="60" t="s">
        <v>16</v>
      </c>
      <c r="H73" s="60" t="s">
        <v>16</v>
      </c>
      <c r="I73" s="12" t="str">
        <f t="shared" si="59"/>
        <v>2B</v>
      </c>
      <c r="J73" s="12"/>
      <c r="K73" s="12"/>
      <c r="L73" s="12"/>
      <c r="M73" s="12"/>
      <c r="N73" s="12"/>
      <c r="O73" s="12"/>
      <c r="P73" s="12"/>
      <c r="Q73" s="13">
        <f t="shared" si="52"/>
        <v>2</v>
      </c>
      <c r="R73" s="13">
        <f t="shared" si="53"/>
        <v>0</v>
      </c>
      <c r="S73" s="13">
        <f t="shared" si="54"/>
        <v>41</v>
      </c>
      <c r="T73" s="13">
        <f t="shared" si="55"/>
        <v>0</v>
      </c>
      <c r="U73" s="13">
        <f t="shared" si="58"/>
        <v>0</v>
      </c>
      <c r="V73" s="13">
        <f t="shared" si="60"/>
        <v>43</v>
      </c>
      <c r="W73" s="13" t="str">
        <f t="shared" si="9"/>
        <v>2B</v>
      </c>
      <c r="X73" s="13">
        <f t="shared" si="61"/>
        <v>84</v>
      </c>
      <c r="Y73" s="13" t="str">
        <f t="shared" si="7"/>
        <v>54</v>
      </c>
      <c r="Z73" s="119"/>
      <c r="AA73" s="119"/>
      <c r="AB73" s="119"/>
      <c r="AC73" s="119"/>
      <c r="AD73" s="119"/>
      <c r="AE73" s="119"/>
      <c r="AF73" s="119"/>
      <c r="AG73" s="119"/>
      <c r="AH73" s="119"/>
      <c r="AJ73" s="64" t="s">
        <v>1639</v>
      </c>
      <c r="AK73" s="64" t="s">
        <v>1561</v>
      </c>
    </row>
    <row r="74" spans="2:37" s="115" customFormat="1" ht="16.5" customHeight="1">
      <c r="B74" s="122" t="s">
        <v>1642</v>
      </c>
      <c r="C74" s="122" t="s">
        <v>1614</v>
      </c>
      <c r="D74" s="113"/>
      <c r="E74" s="113"/>
      <c r="F74" s="113"/>
      <c r="G74" s="113"/>
      <c r="H74" s="113"/>
      <c r="I74" s="112"/>
      <c r="J74" s="112"/>
      <c r="K74" s="112"/>
      <c r="L74" s="112"/>
      <c r="M74" s="112"/>
      <c r="N74" s="112"/>
      <c r="O74" s="112"/>
      <c r="P74" s="112"/>
      <c r="Q74" s="114"/>
      <c r="R74" s="114"/>
      <c r="S74" s="114"/>
      <c r="T74" s="114"/>
      <c r="U74" s="114"/>
      <c r="V74" s="114"/>
      <c r="W74" s="114"/>
      <c r="X74" s="114"/>
      <c r="Y74" s="114"/>
      <c r="Z74" s="118"/>
      <c r="AA74" s="118"/>
      <c r="AB74" s="118"/>
      <c r="AC74" s="118"/>
      <c r="AD74" s="118"/>
      <c r="AE74" s="118"/>
      <c r="AF74" s="118"/>
      <c r="AG74" s="118"/>
      <c r="AH74" s="118"/>
      <c r="AJ74" s="116" t="s">
        <v>1641</v>
      </c>
      <c r="AK74" s="116" t="s">
        <v>1613</v>
      </c>
    </row>
    <row r="75" spans="2:37" s="2" customFormat="1" ht="16.5" customHeight="1">
      <c r="B75" s="122" t="s">
        <v>1665</v>
      </c>
      <c r="C75" s="122" t="str">
        <f t="shared" ref="C75:C106" si="82">"FF"&amp;D75&amp;E75&amp;""&amp;F75&amp;G75&amp;H75&amp;I75</f>
        <v>FF030000000003</v>
      </c>
      <c r="D75" s="60" t="s">
        <v>91</v>
      </c>
      <c r="E75" s="60" t="s">
        <v>16</v>
      </c>
      <c r="F75" s="60" t="s">
        <v>16</v>
      </c>
      <c r="G75" s="60" t="s">
        <v>16</v>
      </c>
      <c r="H75" s="60" t="s">
        <v>16</v>
      </c>
      <c r="I75" s="12" t="str">
        <f>W75</f>
        <v>03</v>
      </c>
      <c r="J75" s="12"/>
      <c r="K75" s="12"/>
      <c r="L75" s="12"/>
      <c r="M75" s="12"/>
      <c r="N75" s="12"/>
      <c r="O75" s="12"/>
      <c r="P75" s="12"/>
      <c r="Q75" s="13">
        <f t="shared" ref="Q75:Q140" si="83">HEX2DEC(D75)</f>
        <v>3</v>
      </c>
      <c r="R75" s="13">
        <f t="shared" ref="R75:R140" si="84">HEX2DEC(E75)</f>
        <v>0</v>
      </c>
      <c r="S75" s="13">
        <f t="shared" ref="S75:S140" si="85">HEX2DEC(F75)</f>
        <v>0</v>
      </c>
      <c r="T75" s="13">
        <f t="shared" ref="T75:T140" si="86">HEX2DEC(G75)</f>
        <v>0</v>
      </c>
      <c r="U75" s="13">
        <f t="shared" ref="U75" si="87">SUM(Q75:T75)</f>
        <v>3</v>
      </c>
      <c r="V75" s="13">
        <f t="shared" ref="V75" si="88">SUM(R75:U75)</f>
        <v>3</v>
      </c>
      <c r="W75" s="13" t="str">
        <f>REPT("0",2-LEN(RIGHT(DEC2HEX(U75), 2)))&amp;RIGHT(DEC2HEX(U75), 2)</f>
        <v>03</v>
      </c>
      <c r="X75" s="13">
        <f>SUM(R75:W75)</f>
        <v>6</v>
      </c>
      <c r="Y75" s="13" t="str">
        <f>REPT("0",2-LEN(RIGHT(DEC2HEX(X75), 2)))&amp;RIGHT(DEC2HEX(X75), 2)</f>
        <v>06</v>
      </c>
      <c r="Z75" s="119"/>
      <c r="AA75" s="119"/>
      <c r="AB75" s="119"/>
      <c r="AC75" s="119"/>
      <c r="AD75" s="119"/>
      <c r="AE75" s="119"/>
      <c r="AF75" s="119"/>
      <c r="AG75" s="119"/>
      <c r="AH75" s="119"/>
      <c r="AJ75" s="64" t="s">
        <v>1664</v>
      </c>
      <c r="AK75" s="64" t="s">
        <v>1573</v>
      </c>
    </row>
    <row r="76" spans="2:37" ht="16.5" customHeight="1">
      <c r="B76" s="122" t="s">
        <v>1645</v>
      </c>
      <c r="C76" s="122" t="str">
        <f t="shared" si="82"/>
        <v>FF030020000023</v>
      </c>
      <c r="D76" s="60" t="s">
        <v>91</v>
      </c>
      <c r="E76" s="60" t="s">
        <v>16</v>
      </c>
      <c r="F76" s="60">
        <v>20</v>
      </c>
      <c r="G76" s="60" t="s">
        <v>16</v>
      </c>
      <c r="H76" s="60" t="s">
        <v>16</v>
      </c>
      <c r="I76" s="12" t="str">
        <f t="shared" ref="I76:I121" si="89">W76</f>
        <v>23</v>
      </c>
      <c r="J76" s="12"/>
      <c r="K76" s="12"/>
      <c r="L76" s="12"/>
      <c r="M76" s="12"/>
      <c r="N76" s="12"/>
      <c r="O76" s="12"/>
      <c r="P76" s="12"/>
      <c r="Q76" s="13">
        <f t="shared" si="83"/>
        <v>3</v>
      </c>
      <c r="R76" s="13">
        <f t="shared" si="84"/>
        <v>0</v>
      </c>
      <c r="S76" s="13">
        <f t="shared" si="85"/>
        <v>32</v>
      </c>
      <c r="T76" s="13">
        <f t="shared" si="86"/>
        <v>0</v>
      </c>
      <c r="U76" s="13">
        <f t="shared" ref="U76:U141" si="90">HEX2DEC(H76)</f>
        <v>0</v>
      </c>
      <c r="V76" s="13">
        <f t="shared" ref="V76:V103" si="91">SUM(Q76:U76)</f>
        <v>35</v>
      </c>
      <c r="W76" s="13" t="str">
        <f t="shared" ref="W76:W103" si="92">REPT("0",2-LEN(RIGHT(DEC2HEX(V76), 2)))&amp;RIGHT(DEC2HEX(V76), 2)</f>
        <v>23</v>
      </c>
      <c r="X76" s="13">
        <f t="shared" ref="X76:X103" si="93">SUM(R76:W76)</f>
        <v>67</v>
      </c>
      <c r="Y76" s="13" t="str">
        <f t="shared" ref="Y76:Y84" si="94">REPT("0",2-LEN(RIGHT(DEC2HEX(X76), 2)))&amp;RIGHT(DEC2HEX(X76), 2)</f>
        <v>43</v>
      </c>
      <c r="Z76" s="119"/>
      <c r="AA76" s="119"/>
      <c r="AB76" s="119"/>
      <c r="AC76" s="119"/>
      <c r="AD76" s="119"/>
      <c r="AE76" s="119"/>
      <c r="AF76" s="119"/>
      <c r="AG76" s="119"/>
      <c r="AH76" s="119"/>
      <c r="AJ76" s="64" t="s">
        <v>1645</v>
      </c>
      <c r="AK76" s="64" t="s">
        <v>2147</v>
      </c>
    </row>
    <row r="77" spans="2:37" ht="16.5" customHeight="1">
      <c r="B77" s="122" t="s">
        <v>1646</v>
      </c>
      <c r="C77" s="122" t="str">
        <f t="shared" si="82"/>
        <v>FF030040000043</v>
      </c>
      <c r="D77" s="60" t="s">
        <v>91</v>
      </c>
      <c r="E77" s="60" t="s">
        <v>16</v>
      </c>
      <c r="F77" s="60" t="s">
        <v>1503</v>
      </c>
      <c r="G77" s="60" t="s">
        <v>16</v>
      </c>
      <c r="H77" s="60" t="s">
        <v>16</v>
      </c>
      <c r="I77" s="12" t="str">
        <f t="shared" si="89"/>
        <v>43</v>
      </c>
      <c r="J77" s="12"/>
      <c r="K77" s="12"/>
      <c r="L77" s="12"/>
      <c r="M77" s="12"/>
      <c r="N77" s="12"/>
      <c r="O77" s="12"/>
      <c r="P77" s="12"/>
      <c r="Q77" s="13">
        <f t="shared" si="83"/>
        <v>3</v>
      </c>
      <c r="R77" s="13">
        <f t="shared" si="84"/>
        <v>0</v>
      </c>
      <c r="S77" s="13">
        <f t="shared" si="85"/>
        <v>64</v>
      </c>
      <c r="T77" s="13">
        <f t="shared" si="86"/>
        <v>0</v>
      </c>
      <c r="U77" s="13">
        <f t="shared" si="90"/>
        <v>0</v>
      </c>
      <c r="V77" s="13">
        <f t="shared" si="91"/>
        <v>67</v>
      </c>
      <c r="W77" s="13" t="str">
        <f t="shared" si="92"/>
        <v>43</v>
      </c>
      <c r="X77" s="13">
        <f t="shared" si="93"/>
        <v>131</v>
      </c>
      <c r="Y77" s="13" t="str">
        <f t="shared" si="94"/>
        <v>83</v>
      </c>
      <c r="Z77" s="119"/>
      <c r="AA77" s="119"/>
      <c r="AB77" s="119"/>
      <c r="AC77" s="119"/>
      <c r="AD77" s="119"/>
      <c r="AE77" s="119"/>
      <c r="AF77" s="119"/>
      <c r="AG77" s="119"/>
      <c r="AH77" s="119"/>
      <c r="AJ77" s="64" t="s">
        <v>1646</v>
      </c>
      <c r="AK77" s="64" t="s">
        <v>1666</v>
      </c>
    </row>
    <row r="78" spans="2:37" ht="16.5" customHeight="1">
      <c r="B78" s="122" t="s">
        <v>1647</v>
      </c>
      <c r="C78" s="122" t="str">
        <f t="shared" si="82"/>
        <v>FF030080000083</v>
      </c>
      <c r="D78" s="60" t="s">
        <v>91</v>
      </c>
      <c r="E78" s="60" t="s">
        <v>16</v>
      </c>
      <c r="F78" s="60" t="s">
        <v>43</v>
      </c>
      <c r="G78" s="60" t="s">
        <v>16</v>
      </c>
      <c r="H78" s="60" t="s">
        <v>16</v>
      </c>
      <c r="I78" s="12" t="str">
        <f t="shared" si="89"/>
        <v>83</v>
      </c>
      <c r="J78" s="12"/>
      <c r="K78" s="12"/>
      <c r="L78" s="12"/>
      <c r="M78" s="12"/>
      <c r="N78" s="12"/>
      <c r="O78" s="12"/>
      <c r="P78" s="12"/>
      <c r="Q78" s="13">
        <f t="shared" si="83"/>
        <v>3</v>
      </c>
      <c r="R78" s="13">
        <f t="shared" si="84"/>
        <v>0</v>
      </c>
      <c r="S78" s="13">
        <f t="shared" si="85"/>
        <v>128</v>
      </c>
      <c r="T78" s="13">
        <f t="shared" si="86"/>
        <v>0</v>
      </c>
      <c r="U78" s="13">
        <f t="shared" si="90"/>
        <v>0</v>
      </c>
      <c r="V78" s="13">
        <f t="shared" si="91"/>
        <v>131</v>
      </c>
      <c r="W78" s="13" t="str">
        <f t="shared" si="92"/>
        <v>83</v>
      </c>
      <c r="X78" s="13">
        <f t="shared" si="93"/>
        <v>259</v>
      </c>
      <c r="Y78" s="13" t="str">
        <f t="shared" si="94"/>
        <v>03</v>
      </c>
      <c r="Z78" s="119"/>
      <c r="AA78" s="119"/>
      <c r="AB78" s="119"/>
      <c r="AC78" s="119"/>
      <c r="AD78" s="119"/>
      <c r="AE78" s="119"/>
      <c r="AF78" s="119"/>
      <c r="AG78" s="119"/>
      <c r="AH78" s="119"/>
      <c r="AJ78" s="64" t="s">
        <v>1647</v>
      </c>
      <c r="AK78" s="64" t="s">
        <v>1667</v>
      </c>
    </row>
    <row r="79" spans="2:37" ht="16.5" customHeight="1">
      <c r="B79" s="122" t="s">
        <v>1648</v>
      </c>
      <c r="C79" s="122" t="str">
        <f t="shared" si="82"/>
        <v>FF030100000004</v>
      </c>
      <c r="D79" s="60" t="s">
        <v>91</v>
      </c>
      <c r="E79" s="60" t="s">
        <v>24</v>
      </c>
      <c r="F79" s="60" t="s">
        <v>16</v>
      </c>
      <c r="G79" s="60" t="s">
        <v>16</v>
      </c>
      <c r="H79" s="60" t="s">
        <v>16</v>
      </c>
      <c r="I79" s="12" t="str">
        <f t="shared" si="89"/>
        <v>04</v>
      </c>
      <c r="J79" s="12"/>
      <c r="K79" s="12"/>
      <c r="L79" s="12"/>
      <c r="M79" s="12"/>
      <c r="N79" s="12"/>
      <c r="O79" s="12"/>
      <c r="P79" s="12"/>
      <c r="Q79" s="13">
        <f t="shared" si="83"/>
        <v>3</v>
      </c>
      <c r="R79" s="13">
        <f t="shared" si="84"/>
        <v>1</v>
      </c>
      <c r="S79" s="13">
        <f t="shared" si="85"/>
        <v>0</v>
      </c>
      <c r="T79" s="13">
        <f t="shared" si="86"/>
        <v>0</v>
      </c>
      <c r="U79" s="13">
        <f t="shared" si="90"/>
        <v>0</v>
      </c>
      <c r="V79" s="13">
        <f t="shared" si="91"/>
        <v>4</v>
      </c>
      <c r="W79" s="13" t="str">
        <f t="shared" si="92"/>
        <v>04</v>
      </c>
      <c r="X79" s="13">
        <f t="shared" si="93"/>
        <v>5</v>
      </c>
      <c r="Y79" s="13" t="str">
        <f t="shared" si="94"/>
        <v>05</v>
      </c>
      <c r="Z79" s="119"/>
      <c r="AA79" s="119"/>
      <c r="AB79" s="119"/>
      <c r="AC79" s="119"/>
      <c r="AD79" s="119"/>
      <c r="AE79" s="119"/>
      <c r="AF79" s="119"/>
      <c r="AG79" s="119"/>
      <c r="AH79" s="119"/>
      <c r="AJ79" s="64" t="s">
        <v>1648</v>
      </c>
      <c r="AK79" s="64" t="s">
        <v>1668</v>
      </c>
    </row>
    <row r="80" spans="2:37" ht="16.5" customHeight="1">
      <c r="B80" s="122" t="s">
        <v>1649</v>
      </c>
      <c r="C80" s="122" t="str">
        <f t="shared" si="82"/>
        <v>FF03002500042C</v>
      </c>
      <c r="D80" s="60" t="s">
        <v>91</v>
      </c>
      <c r="E80" s="60" t="s">
        <v>16</v>
      </c>
      <c r="F80" s="60" t="s">
        <v>51</v>
      </c>
      <c r="G80" s="60" t="s">
        <v>16</v>
      </c>
      <c r="H80" s="60" t="s">
        <v>67</v>
      </c>
      <c r="I80" s="12" t="str">
        <f t="shared" si="89"/>
        <v>2C</v>
      </c>
      <c r="J80" s="12"/>
      <c r="K80" s="12"/>
      <c r="L80" s="12"/>
      <c r="M80" s="12"/>
      <c r="N80" s="12"/>
      <c r="O80" s="12"/>
      <c r="P80" s="12"/>
      <c r="Q80" s="13">
        <f t="shared" si="83"/>
        <v>3</v>
      </c>
      <c r="R80" s="13">
        <f t="shared" si="84"/>
        <v>0</v>
      </c>
      <c r="S80" s="13">
        <f t="shared" si="85"/>
        <v>37</v>
      </c>
      <c r="T80" s="13">
        <f t="shared" si="86"/>
        <v>0</v>
      </c>
      <c r="U80" s="13">
        <f t="shared" si="90"/>
        <v>4</v>
      </c>
      <c r="V80" s="13">
        <f t="shared" si="91"/>
        <v>44</v>
      </c>
      <c r="W80" s="13" t="str">
        <f t="shared" si="92"/>
        <v>2C</v>
      </c>
      <c r="X80" s="13">
        <f t="shared" si="93"/>
        <v>85</v>
      </c>
      <c r="Y80" s="13" t="str">
        <f t="shared" si="94"/>
        <v>55</v>
      </c>
      <c r="Z80" s="119"/>
      <c r="AA80" s="119"/>
      <c r="AB80" s="119"/>
      <c r="AC80" s="119"/>
      <c r="AD80" s="119"/>
      <c r="AE80" s="119"/>
      <c r="AF80" s="119"/>
      <c r="AG80" s="119"/>
      <c r="AH80" s="119"/>
      <c r="AJ80" s="64" t="s">
        <v>1649</v>
      </c>
      <c r="AK80" s="64" t="s">
        <v>1669</v>
      </c>
    </row>
    <row r="81" spans="2:37" ht="16.5" customHeight="1">
      <c r="B81" s="122" t="s">
        <v>1650</v>
      </c>
      <c r="C81" s="122" t="str">
        <f t="shared" si="82"/>
        <v>FF03002700042E</v>
      </c>
      <c r="D81" s="60" t="s">
        <v>91</v>
      </c>
      <c r="E81" s="60" t="s">
        <v>16</v>
      </c>
      <c r="F81" s="60" t="s">
        <v>60</v>
      </c>
      <c r="G81" s="60" t="s">
        <v>16</v>
      </c>
      <c r="H81" s="60" t="s">
        <v>67</v>
      </c>
      <c r="I81" s="12" t="str">
        <f t="shared" si="89"/>
        <v>2E</v>
      </c>
      <c r="J81" s="12"/>
      <c r="K81" s="12"/>
      <c r="L81" s="12"/>
      <c r="M81" s="12"/>
      <c r="N81" s="12"/>
      <c r="O81" s="12"/>
      <c r="P81" s="12"/>
      <c r="Q81" s="13">
        <f t="shared" si="83"/>
        <v>3</v>
      </c>
      <c r="R81" s="13">
        <f t="shared" si="84"/>
        <v>0</v>
      </c>
      <c r="S81" s="13">
        <f t="shared" si="85"/>
        <v>39</v>
      </c>
      <c r="T81" s="13">
        <f t="shared" si="86"/>
        <v>0</v>
      </c>
      <c r="U81" s="13">
        <f t="shared" si="90"/>
        <v>4</v>
      </c>
      <c r="V81" s="13">
        <f t="shared" si="91"/>
        <v>46</v>
      </c>
      <c r="W81" s="13" t="str">
        <f t="shared" si="92"/>
        <v>2E</v>
      </c>
      <c r="X81" s="13">
        <f t="shared" si="93"/>
        <v>89</v>
      </c>
      <c r="Y81" s="13" t="str">
        <f t="shared" si="94"/>
        <v>59</v>
      </c>
      <c r="Z81" s="119"/>
      <c r="AA81" s="119"/>
      <c r="AB81" s="119"/>
      <c r="AC81" s="119"/>
      <c r="AD81" s="119"/>
      <c r="AE81" s="119"/>
      <c r="AF81" s="119"/>
      <c r="AG81" s="119"/>
      <c r="AH81" s="119"/>
      <c r="AJ81" s="64" t="s">
        <v>1650</v>
      </c>
      <c r="AK81" s="64" t="s">
        <v>1670</v>
      </c>
    </row>
    <row r="82" spans="2:37" ht="16.5" customHeight="1">
      <c r="B82" s="122" t="s">
        <v>1651</v>
      </c>
      <c r="C82" s="122" t="str">
        <f t="shared" si="82"/>
        <v>FF03004F000052</v>
      </c>
      <c r="D82" s="60" t="s">
        <v>91</v>
      </c>
      <c r="E82" s="60" t="s">
        <v>16</v>
      </c>
      <c r="F82" s="60" t="s">
        <v>70</v>
      </c>
      <c r="G82" s="60" t="s">
        <v>16</v>
      </c>
      <c r="H82" s="60" t="s">
        <v>16</v>
      </c>
      <c r="I82" s="12" t="str">
        <f t="shared" si="89"/>
        <v>52</v>
      </c>
      <c r="J82" s="12"/>
      <c r="K82" s="12"/>
      <c r="L82" s="12"/>
      <c r="M82" s="12"/>
      <c r="N82" s="12"/>
      <c r="O82" s="12"/>
      <c r="P82" s="12"/>
      <c r="Q82" s="13">
        <f t="shared" si="83"/>
        <v>3</v>
      </c>
      <c r="R82" s="13">
        <f t="shared" si="84"/>
        <v>0</v>
      </c>
      <c r="S82" s="13">
        <f t="shared" si="85"/>
        <v>79</v>
      </c>
      <c r="T82" s="13">
        <f t="shared" si="86"/>
        <v>0</v>
      </c>
      <c r="U82" s="13">
        <f t="shared" si="90"/>
        <v>0</v>
      </c>
      <c r="V82" s="13">
        <f t="shared" si="91"/>
        <v>82</v>
      </c>
      <c r="W82" s="13" t="str">
        <f t="shared" si="92"/>
        <v>52</v>
      </c>
      <c r="X82" s="13">
        <f t="shared" si="93"/>
        <v>161</v>
      </c>
      <c r="Y82" s="13" t="str">
        <f t="shared" si="94"/>
        <v>A1</v>
      </c>
      <c r="Z82" s="119"/>
      <c r="AA82" s="119"/>
      <c r="AB82" s="119"/>
      <c r="AC82" s="119"/>
      <c r="AD82" s="119"/>
      <c r="AE82" s="119"/>
      <c r="AF82" s="119"/>
      <c r="AG82" s="119"/>
      <c r="AH82" s="119"/>
      <c r="AJ82" s="64" t="s">
        <v>1651</v>
      </c>
      <c r="AK82" s="64" t="s">
        <v>1671</v>
      </c>
    </row>
    <row r="83" spans="2:37" ht="28.5" customHeight="1">
      <c r="B83" s="122" t="s">
        <v>1652</v>
      </c>
      <c r="C83" s="122" t="str">
        <f t="shared" si="82"/>
        <v>FF03004F400092</v>
      </c>
      <c r="D83" s="60" t="s">
        <v>91</v>
      </c>
      <c r="E83" s="60" t="s">
        <v>16</v>
      </c>
      <c r="F83" s="60" t="s">
        <v>70</v>
      </c>
      <c r="G83" s="60" t="s">
        <v>1503</v>
      </c>
      <c r="H83" s="60" t="s">
        <v>16</v>
      </c>
      <c r="I83" s="12" t="str">
        <f t="shared" si="89"/>
        <v>92</v>
      </c>
      <c r="J83" s="12"/>
      <c r="K83" s="12"/>
      <c r="L83" s="12"/>
      <c r="M83" s="12"/>
      <c r="N83" s="12"/>
      <c r="O83" s="12"/>
      <c r="P83" s="12"/>
      <c r="Q83" s="13">
        <f t="shared" si="83"/>
        <v>3</v>
      </c>
      <c r="R83" s="13">
        <f t="shared" si="84"/>
        <v>0</v>
      </c>
      <c r="S83" s="13">
        <f t="shared" si="85"/>
        <v>79</v>
      </c>
      <c r="T83" s="13">
        <f t="shared" si="86"/>
        <v>64</v>
      </c>
      <c r="U83" s="13">
        <f t="shared" si="90"/>
        <v>0</v>
      </c>
      <c r="V83" s="13">
        <f t="shared" si="91"/>
        <v>146</v>
      </c>
      <c r="W83" s="13" t="str">
        <f t="shared" si="92"/>
        <v>92</v>
      </c>
      <c r="X83" s="13">
        <f t="shared" si="93"/>
        <v>289</v>
      </c>
      <c r="Y83" s="13" t="str">
        <f t="shared" si="94"/>
        <v>21</v>
      </c>
      <c r="Z83" s="119"/>
      <c r="AA83" s="119"/>
      <c r="AB83" s="119"/>
      <c r="AC83" s="119"/>
      <c r="AD83" s="119"/>
      <c r="AE83" s="119"/>
      <c r="AF83" s="119"/>
      <c r="AG83" s="119"/>
      <c r="AH83" s="119"/>
      <c r="AJ83" s="64" t="s">
        <v>1652</v>
      </c>
      <c r="AK83" s="64" t="s">
        <v>1672</v>
      </c>
    </row>
    <row r="84" spans="2:37" ht="16.5" customHeight="1">
      <c r="B84" s="122" t="s">
        <v>1653</v>
      </c>
      <c r="C84" s="122" t="str">
        <f t="shared" si="82"/>
        <v>FF03004FFFFF50</v>
      </c>
      <c r="D84" s="60" t="s">
        <v>91</v>
      </c>
      <c r="E84" s="60" t="s">
        <v>16</v>
      </c>
      <c r="F84" s="60" t="s">
        <v>70</v>
      </c>
      <c r="G84" s="60" t="s">
        <v>9</v>
      </c>
      <c r="H84" s="60" t="s">
        <v>9</v>
      </c>
      <c r="I84" s="12" t="str">
        <f t="shared" si="89"/>
        <v>50</v>
      </c>
      <c r="J84" s="12"/>
      <c r="K84" s="12"/>
      <c r="L84" s="12"/>
      <c r="M84" s="12"/>
      <c r="N84" s="12"/>
      <c r="O84" s="12"/>
      <c r="P84" s="12"/>
      <c r="Q84" s="13">
        <f t="shared" si="83"/>
        <v>3</v>
      </c>
      <c r="R84" s="13">
        <f t="shared" si="84"/>
        <v>0</v>
      </c>
      <c r="S84" s="13">
        <f t="shared" si="85"/>
        <v>79</v>
      </c>
      <c r="T84" s="13">
        <f t="shared" si="86"/>
        <v>255</v>
      </c>
      <c r="U84" s="13">
        <f t="shared" si="90"/>
        <v>255</v>
      </c>
      <c r="V84" s="13">
        <f t="shared" si="91"/>
        <v>592</v>
      </c>
      <c r="W84" s="13" t="str">
        <f t="shared" si="92"/>
        <v>50</v>
      </c>
      <c r="X84" s="13">
        <f t="shared" si="93"/>
        <v>1181</v>
      </c>
      <c r="Y84" s="13" t="str">
        <f t="shared" si="94"/>
        <v>9D</v>
      </c>
      <c r="Z84" s="119"/>
      <c r="AA84" s="119"/>
      <c r="AB84" s="119"/>
      <c r="AC84" s="119"/>
      <c r="AD84" s="119"/>
      <c r="AE84" s="119"/>
      <c r="AF84" s="119"/>
      <c r="AG84" s="119"/>
      <c r="AH84" s="119"/>
      <c r="AJ84" s="64" t="s">
        <v>1653</v>
      </c>
      <c r="AK84" s="64" t="s">
        <v>1673</v>
      </c>
    </row>
    <row r="85" spans="2:37" ht="16.5" customHeight="1">
      <c r="B85" s="122" t="s">
        <v>1654</v>
      </c>
      <c r="C85" s="122" t="str">
        <f t="shared" si="82"/>
        <v>FF030055000058</v>
      </c>
      <c r="D85" s="60" t="s">
        <v>91</v>
      </c>
      <c r="E85" s="60" t="s">
        <v>16</v>
      </c>
      <c r="F85" s="60" t="s">
        <v>74</v>
      </c>
      <c r="G85" s="60" t="s">
        <v>16</v>
      </c>
      <c r="H85" s="60" t="s">
        <v>16</v>
      </c>
      <c r="I85" s="12" t="str">
        <f t="shared" si="89"/>
        <v>58</v>
      </c>
      <c r="J85" s="12"/>
      <c r="K85" s="12"/>
      <c r="L85" s="12"/>
      <c r="M85" s="12"/>
      <c r="N85" s="12"/>
      <c r="O85" s="12"/>
      <c r="P85" s="12"/>
      <c r="Q85" s="13">
        <f t="shared" si="83"/>
        <v>3</v>
      </c>
      <c r="R85" s="13">
        <f t="shared" si="84"/>
        <v>0</v>
      </c>
      <c r="S85" s="13">
        <f t="shared" si="85"/>
        <v>85</v>
      </c>
      <c r="T85" s="13">
        <f t="shared" si="86"/>
        <v>0</v>
      </c>
      <c r="U85" s="13">
        <f t="shared" si="90"/>
        <v>0</v>
      </c>
      <c r="V85" s="13">
        <f t="shared" si="91"/>
        <v>88</v>
      </c>
      <c r="W85" s="13" t="str">
        <f t="shared" si="92"/>
        <v>58</v>
      </c>
      <c r="X85" s="13">
        <f t="shared" si="93"/>
        <v>173</v>
      </c>
      <c r="Y85" s="13" t="str">
        <f>REPT("0",2-LEN(RIGHT(DEC2HEX(X85), 2)))&amp;RIGHT(DEC2HEX(X85), 2)</f>
        <v>AD</v>
      </c>
      <c r="Z85" s="119"/>
      <c r="AA85" s="119"/>
      <c r="AB85" s="119"/>
      <c r="AC85" s="119"/>
      <c r="AD85" s="119"/>
      <c r="AE85" s="119"/>
      <c r="AF85" s="119"/>
      <c r="AG85" s="119"/>
      <c r="AH85" s="119"/>
      <c r="AJ85" s="64" t="s">
        <v>1654</v>
      </c>
      <c r="AK85" s="64" t="s">
        <v>1674</v>
      </c>
    </row>
    <row r="86" spans="2:37" ht="16.5" customHeight="1">
      <c r="B86" s="122" t="s">
        <v>1655</v>
      </c>
      <c r="C86" s="122" t="str">
        <f t="shared" si="82"/>
        <v>FF03014F000053</v>
      </c>
      <c r="D86" s="60" t="s">
        <v>91</v>
      </c>
      <c r="E86" s="60" t="s">
        <v>24</v>
      </c>
      <c r="F86" s="60" t="s">
        <v>70</v>
      </c>
      <c r="G86" s="60" t="s">
        <v>16</v>
      </c>
      <c r="H86" s="60" t="s">
        <v>16</v>
      </c>
      <c r="I86" s="12" t="str">
        <f t="shared" si="89"/>
        <v>53</v>
      </c>
      <c r="J86" s="12"/>
      <c r="K86" s="12"/>
      <c r="L86" s="12"/>
      <c r="M86" s="12"/>
      <c r="N86" s="12"/>
      <c r="O86" s="12"/>
      <c r="P86" s="12"/>
      <c r="Q86" s="13">
        <f t="shared" si="83"/>
        <v>3</v>
      </c>
      <c r="R86" s="13">
        <f t="shared" si="84"/>
        <v>1</v>
      </c>
      <c r="S86" s="13">
        <f t="shared" si="85"/>
        <v>79</v>
      </c>
      <c r="T86" s="13">
        <f t="shared" si="86"/>
        <v>0</v>
      </c>
      <c r="U86" s="13">
        <f t="shared" si="90"/>
        <v>0</v>
      </c>
      <c r="V86" s="13">
        <f t="shared" si="91"/>
        <v>83</v>
      </c>
      <c r="W86" s="13" t="str">
        <f t="shared" si="92"/>
        <v>53</v>
      </c>
      <c r="X86" s="13">
        <f t="shared" si="93"/>
        <v>163</v>
      </c>
      <c r="Y86" s="13" t="str">
        <f t="shared" ref="Y86:Y103" si="95">REPT("0",2-LEN(RIGHT(DEC2HEX(X86), 2)))&amp;RIGHT(DEC2HEX(X86), 2)</f>
        <v>A3</v>
      </c>
      <c r="Z86" s="119"/>
      <c r="AA86" s="119"/>
      <c r="AB86" s="119"/>
      <c r="AC86" s="119"/>
      <c r="AD86" s="119"/>
      <c r="AE86" s="119"/>
      <c r="AF86" s="119"/>
      <c r="AG86" s="119"/>
      <c r="AH86" s="119"/>
      <c r="AJ86" s="64" t="s">
        <v>1655</v>
      </c>
      <c r="AK86" s="64" t="s">
        <v>1675</v>
      </c>
    </row>
    <row r="87" spans="2:37" ht="32.25" customHeight="1">
      <c r="B87" s="122" t="s">
        <v>1656</v>
      </c>
      <c r="C87" s="122" t="str">
        <f t="shared" si="82"/>
        <v>FF03014F100063</v>
      </c>
      <c r="D87" s="60" t="s">
        <v>91</v>
      </c>
      <c r="E87" s="60" t="s">
        <v>24</v>
      </c>
      <c r="F87" s="60" t="s">
        <v>70</v>
      </c>
      <c r="G87" s="60" t="s">
        <v>109</v>
      </c>
      <c r="H87" s="60" t="s">
        <v>16</v>
      </c>
      <c r="I87" s="12" t="str">
        <f t="shared" si="89"/>
        <v>63</v>
      </c>
      <c r="J87" s="12"/>
      <c r="K87" s="12"/>
      <c r="L87" s="12"/>
      <c r="M87" s="12"/>
      <c r="N87" s="12"/>
      <c r="O87" s="12"/>
      <c r="P87" s="12"/>
      <c r="Q87" s="13">
        <f t="shared" si="83"/>
        <v>3</v>
      </c>
      <c r="R87" s="13">
        <f t="shared" si="84"/>
        <v>1</v>
      </c>
      <c r="S87" s="13">
        <f t="shared" si="85"/>
        <v>79</v>
      </c>
      <c r="T87" s="13">
        <f t="shared" si="86"/>
        <v>16</v>
      </c>
      <c r="U87" s="13">
        <f t="shared" si="90"/>
        <v>0</v>
      </c>
      <c r="V87" s="13">
        <f t="shared" si="91"/>
        <v>99</v>
      </c>
      <c r="W87" s="13" t="str">
        <f t="shared" si="92"/>
        <v>63</v>
      </c>
      <c r="X87" s="13">
        <f t="shared" si="93"/>
        <v>195</v>
      </c>
      <c r="Y87" s="13" t="str">
        <f t="shared" si="95"/>
        <v>C3</v>
      </c>
      <c r="Z87" s="119"/>
      <c r="AA87" s="119"/>
      <c r="AB87" s="119"/>
      <c r="AC87" s="119"/>
      <c r="AD87" s="119"/>
      <c r="AE87" s="119"/>
      <c r="AF87" s="119"/>
      <c r="AG87" s="119"/>
      <c r="AH87" s="119"/>
      <c r="AJ87" s="64" t="s">
        <v>1656</v>
      </c>
      <c r="AK87" s="64" t="s">
        <v>1676</v>
      </c>
    </row>
    <row r="88" spans="2:37" ht="30" customHeight="1">
      <c r="B88" s="122" t="s">
        <v>1657</v>
      </c>
      <c r="C88" s="122" t="str">
        <f t="shared" si="82"/>
        <v>FF03014F8000D3</v>
      </c>
      <c r="D88" s="60" t="s">
        <v>91</v>
      </c>
      <c r="E88" s="60" t="s">
        <v>24</v>
      </c>
      <c r="F88" s="60" t="s">
        <v>70</v>
      </c>
      <c r="G88" s="60" t="s">
        <v>43</v>
      </c>
      <c r="H88" s="60" t="s">
        <v>16</v>
      </c>
      <c r="I88" s="12" t="str">
        <f t="shared" si="89"/>
        <v>D3</v>
      </c>
      <c r="J88" s="12"/>
      <c r="K88" s="12"/>
      <c r="L88" s="12"/>
      <c r="M88" s="12"/>
      <c r="N88" s="12"/>
      <c r="O88" s="12"/>
      <c r="P88" s="12"/>
      <c r="Q88" s="13">
        <f t="shared" si="83"/>
        <v>3</v>
      </c>
      <c r="R88" s="13">
        <f t="shared" si="84"/>
        <v>1</v>
      </c>
      <c r="S88" s="13">
        <f t="shared" si="85"/>
        <v>79</v>
      </c>
      <c r="T88" s="13">
        <f t="shared" si="86"/>
        <v>128</v>
      </c>
      <c r="U88" s="13">
        <f t="shared" si="90"/>
        <v>0</v>
      </c>
      <c r="V88" s="13">
        <f t="shared" si="91"/>
        <v>211</v>
      </c>
      <c r="W88" s="13" t="str">
        <f t="shared" si="92"/>
        <v>D3</v>
      </c>
      <c r="X88" s="13">
        <f t="shared" si="93"/>
        <v>419</v>
      </c>
      <c r="Y88" s="13" t="str">
        <f t="shared" si="95"/>
        <v>A3</v>
      </c>
      <c r="Z88" s="119"/>
      <c r="AA88" s="119"/>
      <c r="AB88" s="119"/>
      <c r="AC88" s="119"/>
      <c r="AD88" s="119"/>
      <c r="AE88" s="119"/>
      <c r="AF88" s="119"/>
      <c r="AG88" s="119"/>
      <c r="AH88" s="119"/>
      <c r="AJ88" s="64" t="s">
        <v>1657</v>
      </c>
      <c r="AK88" s="64" t="s">
        <v>1677</v>
      </c>
    </row>
    <row r="89" spans="2:37" ht="16.5" customHeight="1">
      <c r="B89" s="122" t="s">
        <v>1658</v>
      </c>
      <c r="C89" s="122" t="str">
        <f t="shared" si="82"/>
        <v>FF03014FFFFF51</v>
      </c>
      <c r="D89" s="60" t="s">
        <v>91</v>
      </c>
      <c r="E89" s="60" t="s">
        <v>24</v>
      </c>
      <c r="F89" s="60" t="s">
        <v>70</v>
      </c>
      <c r="G89" s="60" t="s">
        <v>9</v>
      </c>
      <c r="H89" s="60" t="s">
        <v>9</v>
      </c>
      <c r="I89" s="12" t="str">
        <f t="shared" si="89"/>
        <v>51</v>
      </c>
      <c r="J89" s="12"/>
      <c r="K89" s="12"/>
      <c r="L89" s="12"/>
      <c r="M89" s="12"/>
      <c r="N89" s="12"/>
      <c r="O89" s="12"/>
      <c r="P89" s="12"/>
      <c r="Q89" s="13">
        <f t="shared" si="83"/>
        <v>3</v>
      </c>
      <c r="R89" s="13">
        <f t="shared" si="84"/>
        <v>1</v>
      </c>
      <c r="S89" s="13">
        <f t="shared" si="85"/>
        <v>79</v>
      </c>
      <c r="T89" s="13">
        <f t="shared" si="86"/>
        <v>255</v>
      </c>
      <c r="U89" s="13">
        <f t="shared" si="90"/>
        <v>255</v>
      </c>
      <c r="V89" s="13">
        <f t="shared" si="91"/>
        <v>593</v>
      </c>
      <c r="W89" s="13" t="str">
        <f t="shared" si="92"/>
        <v>51</v>
      </c>
      <c r="X89" s="13">
        <f t="shared" si="93"/>
        <v>1183</v>
      </c>
      <c r="Y89" s="13" t="str">
        <f t="shared" si="95"/>
        <v>9F</v>
      </c>
      <c r="Z89" s="119"/>
      <c r="AA89" s="119"/>
      <c r="AB89" s="119"/>
      <c r="AC89" s="119"/>
      <c r="AD89" s="119"/>
      <c r="AE89" s="119"/>
      <c r="AF89" s="119"/>
      <c r="AG89" s="119"/>
      <c r="AH89" s="119"/>
      <c r="AJ89" s="64" t="s">
        <v>1658</v>
      </c>
      <c r="AK89" s="64" t="s">
        <v>1678</v>
      </c>
    </row>
    <row r="90" spans="2:37" ht="16.5" customHeight="1">
      <c r="B90" s="122" t="s">
        <v>1659</v>
      </c>
      <c r="C90" s="122" t="str">
        <f t="shared" si="82"/>
        <v>FF030155000059</v>
      </c>
      <c r="D90" s="60" t="s">
        <v>91</v>
      </c>
      <c r="E90" s="60" t="s">
        <v>24</v>
      </c>
      <c r="F90" s="60" t="s">
        <v>74</v>
      </c>
      <c r="G90" s="60" t="s">
        <v>16</v>
      </c>
      <c r="H90" s="60" t="s">
        <v>16</v>
      </c>
      <c r="I90" s="12" t="str">
        <f t="shared" si="89"/>
        <v>59</v>
      </c>
      <c r="J90" s="12"/>
      <c r="K90" s="12"/>
      <c r="L90" s="12"/>
      <c r="M90" s="12"/>
      <c r="N90" s="12"/>
      <c r="O90" s="12"/>
      <c r="P90" s="12"/>
      <c r="Q90" s="13">
        <f t="shared" si="83"/>
        <v>3</v>
      </c>
      <c r="R90" s="13">
        <f t="shared" si="84"/>
        <v>1</v>
      </c>
      <c r="S90" s="13">
        <f t="shared" si="85"/>
        <v>85</v>
      </c>
      <c r="T90" s="13">
        <f t="shared" si="86"/>
        <v>0</v>
      </c>
      <c r="U90" s="13">
        <f t="shared" si="90"/>
        <v>0</v>
      </c>
      <c r="V90" s="13">
        <f t="shared" si="91"/>
        <v>89</v>
      </c>
      <c r="W90" s="13" t="str">
        <f t="shared" si="92"/>
        <v>59</v>
      </c>
      <c r="X90" s="13">
        <f t="shared" si="93"/>
        <v>175</v>
      </c>
      <c r="Y90" s="13" t="str">
        <f t="shared" si="95"/>
        <v>AF</v>
      </c>
      <c r="Z90" s="119"/>
      <c r="AA90" s="119"/>
      <c r="AB90" s="119"/>
      <c r="AC90" s="119"/>
      <c r="AD90" s="119"/>
      <c r="AE90" s="119"/>
      <c r="AF90" s="119"/>
      <c r="AG90" s="119"/>
      <c r="AH90" s="119"/>
      <c r="AJ90" s="64" t="s">
        <v>1659</v>
      </c>
      <c r="AK90" s="64" t="s">
        <v>1679</v>
      </c>
    </row>
    <row r="91" spans="2:37" ht="16.5" customHeight="1">
      <c r="B91" s="122" t="s">
        <v>1660</v>
      </c>
      <c r="C91" s="122" t="str">
        <f t="shared" si="82"/>
        <v>FF03002B00002E</v>
      </c>
      <c r="D91" s="60" t="s">
        <v>91</v>
      </c>
      <c r="E91" s="60" t="s">
        <v>16</v>
      </c>
      <c r="F91" s="60" t="s">
        <v>104</v>
      </c>
      <c r="G91" s="60" t="s">
        <v>16</v>
      </c>
      <c r="H91" s="60" t="s">
        <v>16</v>
      </c>
      <c r="I91" s="12" t="str">
        <f t="shared" si="89"/>
        <v>2E</v>
      </c>
      <c r="J91" s="12"/>
      <c r="K91" s="12"/>
      <c r="L91" s="12"/>
      <c r="M91" s="12"/>
      <c r="N91" s="12"/>
      <c r="O91" s="12"/>
      <c r="P91" s="12"/>
      <c r="Q91" s="13">
        <f t="shared" si="83"/>
        <v>3</v>
      </c>
      <c r="R91" s="13">
        <f t="shared" si="84"/>
        <v>0</v>
      </c>
      <c r="S91" s="13">
        <f t="shared" si="85"/>
        <v>43</v>
      </c>
      <c r="T91" s="13">
        <f t="shared" si="86"/>
        <v>0</v>
      </c>
      <c r="U91" s="13">
        <f t="shared" si="90"/>
        <v>0</v>
      </c>
      <c r="V91" s="13">
        <f t="shared" si="91"/>
        <v>46</v>
      </c>
      <c r="W91" s="13" t="str">
        <f t="shared" si="92"/>
        <v>2E</v>
      </c>
      <c r="X91" s="13">
        <f t="shared" si="93"/>
        <v>89</v>
      </c>
      <c r="Y91" s="13" t="str">
        <f t="shared" si="95"/>
        <v>59</v>
      </c>
      <c r="Z91" s="119"/>
      <c r="AA91" s="119"/>
      <c r="AB91" s="119"/>
      <c r="AC91" s="119"/>
      <c r="AD91" s="119"/>
      <c r="AE91" s="119"/>
      <c r="AF91" s="119"/>
      <c r="AG91" s="119"/>
      <c r="AH91" s="119"/>
      <c r="AJ91" s="64" t="s">
        <v>1660</v>
      </c>
      <c r="AK91" s="64" t="s">
        <v>1680</v>
      </c>
    </row>
    <row r="92" spans="2:37" ht="16.5" customHeight="1">
      <c r="B92" s="122" t="s">
        <v>1661</v>
      </c>
      <c r="C92" s="122" t="str">
        <f t="shared" si="82"/>
        <v>FF03002B00012F</v>
      </c>
      <c r="D92" s="60" t="s">
        <v>91</v>
      </c>
      <c r="E92" s="60" t="s">
        <v>16</v>
      </c>
      <c r="F92" s="60" t="s">
        <v>104</v>
      </c>
      <c r="G92" s="60" t="s">
        <v>16</v>
      </c>
      <c r="H92" s="60" t="s">
        <v>24</v>
      </c>
      <c r="I92" s="12" t="str">
        <f t="shared" si="89"/>
        <v>2F</v>
      </c>
      <c r="J92" s="12"/>
      <c r="K92" s="12"/>
      <c r="L92" s="12"/>
      <c r="M92" s="12"/>
      <c r="N92" s="12"/>
      <c r="O92" s="12"/>
      <c r="P92" s="12"/>
      <c r="Q92" s="13">
        <f t="shared" si="83"/>
        <v>3</v>
      </c>
      <c r="R92" s="13">
        <f t="shared" si="84"/>
        <v>0</v>
      </c>
      <c r="S92" s="13">
        <f t="shared" si="85"/>
        <v>43</v>
      </c>
      <c r="T92" s="13">
        <f t="shared" si="86"/>
        <v>0</v>
      </c>
      <c r="U92" s="13">
        <f t="shared" si="90"/>
        <v>1</v>
      </c>
      <c r="V92" s="13">
        <f t="shared" si="91"/>
        <v>47</v>
      </c>
      <c r="W92" s="13" t="str">
        <f t="shared" si="92"/>
        <v>2F</v>
      </c>
      <c r="X92" s="13">
        <f t="shared" si="93"/>
        <v>91</v>
      </c>
      <c r="Y92" s="13" t="str">
        <f t="shared" si="95"/>
        <v>5B</v>
      </c>
      <c r="Z92" s="119"/>
      <c r="AA92" s="119"/>
      <c r="AB92" s="119"/>
      <c r="AC92" s="119"/>
      <c r="AD92" s="119"/>
      <c r="AE92" s="119"/>
      <c r="AF92" s="119"/>
      <c r="AG92" s="119"/>
      <c r="AH92" s="119"/>
      <c r="AJ92" s="64" t="s">
        <v>1661</v>
      </c>
      <c r="AK92" s="64" t="s">
        <v>1681</v>
      </c>
    </row>
    <row r="93" spans="2:37" ht="16.5" customHeight="1">
      <c r="B93" s="122" t="s">
        <v>1662</v>
      </c>
      <c r="C93" s="122" t="str">
        <f t="shared" si="82"/>
        <v>FF03000F000012</v>
      </c>
      <c r="D93" s="60" t="s">
        <v>91</v>
      </c>
      <c r="E93" s="60" t="s">
        <v>16</v>
      </c>
      <c r="F93" s="60" t="s">
        <v>78</v>
      </c>
      <c r="G93" s="60" t="s">
        <v>16</v>
      </c>
      <c r="H93" s="60" t="s">
        <v>16</v>
      </c>
      <c r="I93" s="12" t="str">
        <f t="shared" si="89"/>
        <v>12</v>
      </c>
      <c r="J93" s="12"/>
      <c r="K93" s="12"/>
      <c r="L93" s="12"/>
      <c r="M93" s="12"/>
      <c r="N93" s="12"/>
      <c r="O93" s="12"/>
      <c r="P93" s="12"/>
      <c r="Q93" s="13">
        <f t="shared" si="83"/>
        <v>3</v>
      </c>
      <c r="R93" s="13">
        <f t="shared" si="84"/>
        <v>0</v>
      </c>
      <c r="S93" s="13">
        <f t="shared" si="85"/>
        <v>15</v>
      </c>
      <c r="T93" s="13">
        <f t="shared" si="86"/>
        <v>0</v>
      </c>
      <c r="U93" s="13">
        <f t="shared" si="90"/>
        <v>0</v>
      </c>
      <c r="V93" s="13">
        <f t="shared" si="91"/>
        <v>18</v>
      </c>
      <c r="W93" s="13" t="str">
        <f t="shared" si="92"/>
        <v>12</v>
      </c>
      <c r="X93" s="13">
        <f t="shared" si="93"/>
        <v>33</v>
      </c>
      <c r="Y93" s="13" t="str">
        <f t="shared" si="95"/>
        <v>21</v>
      </c>
      <c r="Z93" s="119"/>
      <c r="AA93" s="119"/>
      <c r="AB93" s="119"/>
      <c r="AC93" s="119"/>
      <c r="AD93" s="119"/>
      <c r="AE93" s="119"/>
      <c r="AF93" s="119"/>
      <c r="AG93" s="119"/>
      <c r="AH93" s="119"/>
      <c r="AJ93" s="64" t="s">
        <v>1662</v>
      </c>
      <c r="AK93" s="64" t="s">
        <v>1682</v>
      </c>
    </row>
    <row r="94" spans="2:37" ht="16.5" customHeight="1">
      <c r="B94" s="122" t="s">
        <v>1663</v>
      </c>
      <c r="C94" s="122" t="str">
        <f t="shared" si="82"/>
        <v>FF03002900002C</v>
      </c>
      <c r="D94" s="60" t="s">
        <v>91</v>
      </c>
      <c r="E94" s="60" t="s">
        <v>16</v>
      </c>
      <c r="F94" s="60" t="s">
        <v>79</v>
      </c>
      <c r="G94" s="60" t="s">
        <v>16</v>
      </c>
      <c r="H94" s="60" t="s">
        <v>16</v>
      </c>
      <c r="I94" s="12" t="str">
        <f t="shared" si="89"/>
        <v>2C</v>
      </c>
      <c r="J94" s="12"/>
      <c r="K94" s="12"/>
      <c r="L94" s="12"/>
      <c r="M94" s="12"/>
      <c r="N94" s="12"/>
      <c r="O94" s="12"/>
      <c r="P94" s="12"/>
      <c r="Q94" s="13">
        <f t="shared" si="83"/>
        <v>3</v>
      </c>
      <c r="R94" s="13">
        <f t="shared" si="84"/>
        <v>0</v>
      </c>
      <c r="S94" s="13">
        <f t="shared" si="85"/>
        <v>41</v>
      </c>
      <c r="T94" s="13">
        <f t="shared" si="86"/>
        <v>0</v>
      </c>
      <c r="U94" s="13">
        <f t="shared" si="90"/>
        <v>0</v>
      </c>
      <c r="V94" s="13">
        <f t="shared" si="91"/>
        <v>44</v>
      </c>
      <c r="W94" s="13" t="str">
        <f t="shared" si="92"/>
        <v>2C</v>
      </c>
      <c r="X94" s="13">
        <f t="shared" si="93"/>
        <v>85</v>
      </c>
      <c r="Y94" s="13" t="str">
        <f t="shared" si="95"/>
        <v>55</v>
      </c>
      <c r="Z94" s="119"/>
      <c r="AA94" s="119"/>
      <c r="AB94" s="119"/>
      <c r="AC94" s="119"/>
      <c r="AD94" s="119"/>
      <c r="AE94" s="119"/>
      <c r="AF94" s="119"/>
      <c r="AG94" s="119"/>
      <c r="AH94" s="119"/>
      <c r="AJ94" s="64" t="s">
        <v>1663</v>
      </c>
      <c r="AK94" s="64" t="s">
        <v>1683</v>
      </c>
    </row>
    <row r="95" spans="2:37" ht="16.5" customHeight="1">
      <c r="B95" s="122" t="s">
        <v>1734</v>
      </c>
      <c r="C95" s="122" t="str">
        <f t="shared" si="82"/>
        <v>FF018100000082</v>
      </c>
      <c r="D95" s="60" t="s">
        <v>24</v>
      </c>
      <c r="E95" s="60" t="s">
        <v>1726</v>
      </c>
      <c r="F95" s="60" t="s">
        <v>16</v>
      </c>
      <c r="G95" s="60" t="s">
        <v>16</v>
      </c>
      <c r="H95" s="60" t="s">
        <v>16</v>
      </c>
      <c r="I95" s="12" t="str">
        <f t="shared" si="89"/>
        <v>82</v>
      </c>
      <c r="J95" s="12"/>
      <c r="K95" s="12"/>
      <c r="L95" s="12"/>
      <c r="M95" s="12"/>
      <c r="N95" s="12"/>
      <c r="O95" s="12"/>
      <c r="P95" s="12"/>
      <c r="Q95" s="13">
        <f t="shared" si="83"/>
        <v>1</v>
      </c>
      <c r="R95" s="13">
        <f t="shared" si="84"/>
        <v>129</v>
      </c>
      <c r="S95" s="13">
        <f t="shared" si="85"/>
        <v>0</v>
      </c>
      <c r="T95" s="13">
        <f t="shared" si="86"/>
        <v>0</v>
      </c>
      <c r="U95" s="13">
        <f t="shared" si="90"/>
        <v>0</v>
      </c>
      <c r="V95" s="13">
        <f t="shared" si="91"/>
        <v>130</v>
      </c>
      <c r="W95" s="13" t="str">
        <f t="shared" si="92"/>
        <v>82</v>
      </c>
      <c r="X95" s="13">
        <f t="shared" si="93"/>
        <v>259</v>
      </c>
      <c r="Y95" s="13" t="str">
        <f t="shared" si="95"/>
        <v>03</v>
      </c>
      <c r="Z95" s="119"/>
      <c r="AA95" s="119"/>
      <c r="AB95" s="119"/>
      <c r="AC95" s="119"/>
      <c r="AD95" s="119"/>
      <c r="AE95" s="119"/>
      <c r="AF95" s="119"/>
      <c r="AG95" s="119"/>
      <c r="AH95" s="119"/>
      <c r="AJ95" s="64"/>
      <c r="AK95" s="64" t="s">
        <v>2148</v>
      </c>
    </row>
    <row r="96" spans="2:37" ht="16.5" customHeight="1">
      <c r="B96" s="122" t="s">
        <v>1727</v>
      </c>
      <c r="C96" s="122" t="str">
        <f t="shared" si="82"/>
        <v>FF018001000082</v>
      </c>
      <c r="D96" s="60" t="s">
        <v>24</v>
      </c>
      <c r="E96" s="60" t="s">
        <v>43</v>
      </c>
      <c r="F96" s="60" t="s">
        <v>24</v>
      </c>
      <c r="G96" s="60" t="s">
        <v>16</v>
      </c>
      <c r="H96" s="60" t="s">
        <v>16</v>
      </c>
      <c r="I96" s="12" t="str">
        <f t="shared" si="89"/>
        <v>82</v>
      </c>
      <c r="J96" s="12"/>
      <c r="K96" s="12"/>
      <c r="L96" s="12"/>
      <c r="M96" s="12"/>
      <c r="N96" s="12"/>
      <c r="O96" s="12"/>
      <c r="P96" s="12"/>
      <c r="Q96" s="13">
        <f t="shared" si="83"/>
        <v>1</v>
      </c>
      <c r="R96" s="13">
        <f t="shared" si="84"/>
        <v>128</v>
      </c>
      <c r="S96" s="13">
        <f t="shared" si="85"/>
        <v>1</v>
      </c>
      <c r="T96" s="13">
        <f t="shared" si="86"/>
        <v>0</v>
      </c>
      <c r="U96" s="13">
        <f t="shared" si="90"/>
        <v>0</v>
      </c>
      <c r="V96" s="13">
        <f t="shared" si="91"/>
        <v>130</v>
      </c>
      <c r="W96" s="13" t="str">
        <f t="shared" si="92"/>
        <v>82</v>
      </c>
      <c r="X96" s="13">
        <f t="shared" si="93"/>
        <v>259</v>
      </c>
      <c r="Y96" s="13" t="str">
        <f t="shared" si="95"/>
        <v>03</v>
      </c>
      <c r="Z96" s="119"/>
      <c r="AA96" s="119"/>
      <c r="AB96" s="119"/>
      <c r="AC96" s="119"/>
      <c r="AD96" s="119"/>
      <c r="AE96" s="119"/>
      <c r="AF96" s="119"/>
      <c r="AG96" s="119"/>
      <c r="AH96" s="119"/>
      <c r="AJ96" s="64"/>
      <c r="AK96" s="64" t="s">
        <v>2149</v>
      </c>
    </row>
    <row r="97" spans="2:37" ht="16.5" customHeight="1">
      <c r="B97" s="122" t="s">
        <v>1728</v>
      </c>
      <c r="C97" s="122" t="str">
        <f t="shared" si="82"/>
        <v>FF018002000487</v>
      </c>
      <c r="D97" s="60" t="s">
        <v>24</v>
      </c>
      <c r="E97" s="60" t="s">
        <v>43</v>
      </c>
      <c r="F97" s="60" t="s">
        <v>17</v>
      </c>
      <c r="G97" s="60" t="s">
        <v>16</v>
      </c>
      <c r="H97" s="60" t="s">
        <v>67</v>
      </c>
      <c r="I97" s="12" t="str">
        <f t="shared" si="89"/>
        <v>87</v>
      </c>
      <c r="J97" s="12"/>
      <c r="K97" s="12"/>
      <c r="L97" s="12"/>
      <c r="M97" s="12"/>
      <c r="N97" s="12"/>
      <c r="O97" s="12"/>
      <c r="P97" s="12"/>
      <c r="Q97" s="13">
        <f t="shared" si="83"/>
        <v>1</v>
      </c>
      <c r="R97" s="13">
        <f t="shared" si="84"/>
        <v>128</v>
      </c>
      <c r="S97" s="13">
        <f t="shared" si="85"/>
        <v>2</v>
      </c>
      <c r="T97" s="13">
        <f t="shared" si="86"/>
        <v>0</v>
      </c>
      <c r="U97" s="13">
        <f t="shared" si="90"/>
        <v>4</v>
      </c>
      <c r="V97" s="13">
        <f t="shared" si="91"/>
        <v>135</v>
      </c>
      <c r="W97" s="13" t="str">
        <f t="shared" si="92"/>
        <v>87</v>
      </c>
      <c r="X97" s="13">
        <f t="shared" si="93"/>
        <v>269</v>
      </c>
      <c r="Y97" s="13" t="str">
        <f t="shared" si="95"/>
        <v>0D</v>
      </c>
      <c r="Z97" s="119"/>
      <c r="AA97" s="119"/>
      <c r="AB97" s="119"/>
      <c r="AC97" s="119"/>
      <c r="AD97" s="119"/>
      <c r="AE97" s="119"/>
      <c r="AF97" s="119"/>
      <c r="AG97" s="119"/>
      <c r="AH97" s="119"/>
      <c r="AJ97" s="64"/>
      <c r="AK97" s="64" t="s">
        <v>2150</v>
      </c>
    </row>
    <row r="98" spans="2:37" ht="16.5" customHeight="1">
      <c r="B98" s="122" t="s">
        <v>1729</v>
      </c>
      <c r="C98" s="122" t="str">
        <f t="shared" si="82"/>
        <v>FF018002000083</v>
      </c>
      <c r="D98" s="60" t="s">
        <v>24</v>
      </c>
      <c r="E98" s="60" t="s">
        <v>43</v>
      </c>
      <c r="F98" s="60" t="s">
        <v>17</v>
      </c>
      <c r="G98" s="60" t="s">
        <v>16</v>
      </c>
      <c r="H98" s="60" t="s">
        <v>16</v>
      </c>
      <c r="I98" s="12" t="str">
        <f t="shared" si="89"/>
        <v>83</v>
      </c>
      <c r="J98" s="12"/>
      <c r="K98" s="12"/>
      <c r="L98" s="12"/>
      <c r="M98" s="12"/>
      <c r="N98" s="12"/>
      <c r="O98" s="12"/>
      <c r="P98" s="12"/>
      <c r="Q98" s="13">
        <f t="shared" si="83"/>
        <v>1</v>
      </c>
      <c r="R98" s="13">
        <f t="shared" si="84"/>
        <v>128</v>
      </c>
      <c r="S98" s="13">
        <f t="shared" si="85"/>
        <v>2</v>
      </c>
      <c r="T98" s="13">
        <f t="shared" si="86"/>
        <v>0</v>
      </c>
      <c r="U98" s="13">
        <f t="shared" si="90"/>
        <v>0</v>
      </c>
      <c r="V98" s="13">
        <f t="shared" si="91"/>
        <v>131</v>
      </c>
      <c r="W98" s="13" t="str">
        <f t="shared" si="92"/>
        <v>83</v>
      </c>
      <c r="X98" s="13">
        <f t="shared" si="93"/>
        <v>261</v>
      </c>
      <c r="Y98" s="13" t="str">
        <f t="shared" si="95"/>
        <v>05</v>
      </c>
      <c r="Z98" s="119"/>
      <c r="AA98" s="119"/>
      <c r="AB98" s="119"/>
      <c r="AC98" s="119"/>
      <c r="AD98" s="119"/>
      <c r="AE98" s="119"/>
      <c r="AF98" s="119"/>
      <c r="AG98" s="119"/>
      <c r="AH98" s="119"/>
      <c r="AJ98" s="64"/>
      <c r="AK98" s="64" t="s">
        <v>2151</v>
      </c>
    </row>
    <row r="99" spans="2:37" ht="16.5" customHeight="1">
      <c r="B99" s="122" t="s">
        <v>1730</v>
      </c>
      <c r="C99" s="122" t="str">
        <f t="shared" si="82"/>
        <v>FF018003000488</v>
      </c>
      <c r="D99" s="60" t="s">
        <v>24</v>
      </c>
      <c r="E99" s="60" t="s">
        <v>43</v>
      </c>
      <c r="F99" s="60" t="s">
        <v>91</v>
      </c>
      <c r="G99" s="60" t="s">
        <v>16</v>
      </c>
      <c r="H99" s="60" t="s">
        <v>67</v>
      </c>
      <c r="I99" s="12" t="str">
        <f t="shared" si="89"/>
        <v>88</v>
      </c>
      <c r="J99" s="12"/>
      <c r="K99" s="12"/>
      <c r="L99" s="12"/>
      <c r="M99" s="12"/>
      <c r="N99" s="12"/>
      <c r="O99" s="12"/>
      <c r="P99" s="12"/>
      <c r="Q99" s="13">
        <f t="shared" si="83"/>
        <v>1</v>
      </c>
      <c r="R99" s="13">
        <f t="shared" si="84"/>
        <v>128</v>
      </c>
      <c r="S99" s="13">
        <f t="shared" si="85"/>
        <v>3</v>
      </c>
      <c r="T99" s="13">
        <f t="shared" si="86"/>
        <v>0</v>
      </c>
      <c r="U99" s="13">
        <f t="shared" si="90"/>
        <v>4</v>
      </c>
      <c r="V99" s="13">
        <f t="shared" si="91"/>
        <v>136</v>
      </c>
      <c r="W99" s="13" t="str">
        <f t="shared" si="92"/>
        <v>88</v>
      </c>
      <c r="X99" s="13">
        <f t="shared" si="93"/>
        <v>271</v>
      </c>
      <c r="Y99" s="13" t="str">
        <f t="shared" si="95"/>
        <v>0F</v>
      </c>
      <c r="Z99" s="119"/>
      <c r="AA99" s="119"/>
      <c r="AB99" s="119"/>
      <c r="AC99" s="119"/>
      <c r="AD99" s="119"/>
      <c r="AE99" s="119"/>
      <c r="AF99" s="119"/>
      <c r="AG99" s="119"/>
      <c r="AH99" s="119"/>
      <c r="AJ99" s="64"/>
      <c r="AK99" s="64" t="s">
        <v>2152</v>
      </c>
    </row>
    <row r="100" spans="2:37" ht="16.5" customHeight="1">
      <c r="B100" s="122" t="s">
        <v>1731</v>
      </c>
      <c r="C100" s="122" t="str">
        <f t="shared" si="82"/>
        <v>FF018003000084</v>
      </c>
      <c r="D100" s="60" t="s">
        <v>24</v>
      </c>
      <c r="E100" s="60" t="s">
        <v>43</v>
      </c>
      <c r="F100" s="60" t="s">
        <v>91</v>
      </c>
      <c r="G100" s="60" t="s">
        <v>16</v>
      </c>
      <c r="H100" s="60" t="s">
        <v>16</v>
      </c>
      <c r="I100" s="12" t="str">
        <f t="shared" si="89"/>
        <v>84</v>
      </c>
      <c r="J100" s="12"/>
      <c r="K100" s="12"/>
      <c r="L100" s="12"/>
      <c r="M100" s="12"/>
      <c r="N100" s="12"/>
      <c r="O100" s="12"/>
      <c r="P100" s="12"/>
      <c r="Q100" s="13">
        <f t="shared" si="83"/>
        <v>1</v>
      </c>
      <c r="R100" s="13">
        <f t="shared" si="84"/>
        <v>128</v>
      </c>
      <c r="S100" s="13">
        <f t="shared" si="85"/>
        <v>3</v>
      </c>
      <c r="T100" s="13">
        <f t="shared" si="86"/>
        <v>0</v>
      </c>
      <c r="U100" s="13">
        <f t="shared" si="90"/>
        <v>0</v>
      </c>
      <c r="V100" s="13">
        <f t="shared" si="91"/>
        <v>132</v>
      </c>
      <c r="W100" s="13" t="str">
        <f t="shared" si="92"/>
        <v>84</v>
      </c>
      <c r="X100" s="13">
        <f t="shared" si="93"/>
        <v>263</v>
      </c>
      <c r="Y100" s="13" t="str">
        <f t="shared" si="95"/>
        <v>07</v>
      </c>
      <c r="Z100" s="119"/>
      <c r="AA100" s="119"/>
      <c r="AB100" s="119"/>
      <c r="AC100" s="119"/>
      <c r="AD100" s="119"/>
      <c r="AE100" s="119"/>
      <c r="AF100" s="119"/>
      <c r="AG100" s="119"/>
      <c r="AH100" s="119"/>
      <c r="AJ100" s="64"/>
      <c r="AK100" s="64" t="s">
        <v>2153</v>
      </c>
    </row>
    <row r="101" spans="2:37" ht="25.5">
      <c r="B101" s="122" t="s">
        <v>1732</v>
      </c>
      <c r="C101" s="122" t="str">
        <f t="shared" si="82"/>
        <v>FF018005000086</v>
      </c>
      <c r="D101" s="60" t="s">
        <v>24</v>
      </c>
      <c r="E101" s="60" t="s">
        <v>43</v>
      </c>
      <c r="F101" s="60" t="s">
        <v>92</v>
      </c>
      <c r="G101" s="60" t="s">
        <v>16</v>
      </c>
      <c r="H101" s="60" t="s">
        <v>16</v>
      </c>
      <c r="I101" s="12" t="str">
        <f t="shared" si="89"/>
        <v>86</v>
      </c>
      <c r="J101" s="12"/>
      <c r="K101" s="12"/>
      <c r="L101" s="12"/>
      <c r="M101" s="12"/>
      <c r="N101" s="12"/>
      <c r="O101" s="12"/>
      <c r="P101" s="12"/>
      <c r="Q101" s="13">
        <f t="shared" si="83"/>
        <v>1</v>
      </c>
      <c r="R101" s="13">
        <f t="shared" si="84"/>
        <v>128</v>
      </c>
      <c r="S101" s="13">
        <f t="shared" si="85"/>
        <v>5</v>
      </c>
      <c r="T101" s="13">
        <f t="shared" si="86"/>
        <v>0</v>
      </c>
      <c r="U101" s="13">
        <f t="shared" si="90"/>
        <v>0</v>
      </c>
      <c r="V101" s="13">
        <f t="shared" si="91"/>
        <v>134</v>
      </c>
      <c r="W101" s="13" t="str">
        <f t="shared" si="92"/>
        <v>86</v>
      </c>
      <c r="X101" s="13">
        <f t="shared" si="93"/>
        <v>267</v>
      </c>
      <c r="Y101" s="13" t="str">
        <f t="shared" si="95"/>
        <v>0B</v>
      </c>
      <c r="Z101" s="119"/>
      <c r="AA101" s="119"/>
      <c r="AB101" s="119"/>
      <c r="AC101" s="119"/>
      <c r="AD101" s="119"/>
      <c r="AE101" s="119"/>
      <c r="AF101" s="119"/>
      <c r="AG101" s="119"/>
      <c r="AH101" s="119"/>
      <c r="AJ101" s="64"/>
      <c r="AK101" s="64" t="s">
        <v>2154</v>
      </c>
    </row>
    <row r="102" spans="2:37" ht="25.5">
      <c r="B102" s="122" t="s">
        <v>1733</v>
      </c>
      <c r="C102" s="122" t="str">
        <f t="shared" si="82"/>
        <v>FF018005000187</v>
      </c>
      <c r="D102" s="60" t="s">
        <v>24</v>
      </c>
      <c r="E102" s="60" t="s">
        <v>43</v>
      </c>
      <c r="F102" s="60" t="s">
        <v>92</v>
      </c>
      <c r="G102" s="60" t="s">
        <v>16</v>
      </c>
      <c r="H102" s="60" t="s">
        <v>24</v>
      </c>
      <c r="I102" s="12" t="str">
        <f t="shared" si="89"/>
        <v>87</v>
      </c>
      <c r="J102" s="12"/>
      <c r="K102" s="12"/>
      <c r="L102" s="12"/>
      <c r="M102" s="12"/>
      <c r="N102" s="12"/>
      <c r="O102" s="12"/>
      <c r="P102" s="12"/>
      <c r="Q102" s="13">
        <f t="shared" si="83"/>
        <v>1</v>
      </c>
      <c r="R102" s="13">
        <f t="shared" si="84"/>
        <v>128</v>
      </c>
      <c r="S102" s="13">
        <f t="shared" si="85"/>
        <v>5</v>
      </c>
      <c r="T102" s="13">
        <f t="shared" si="86"/>
        <v>0</v>
      </c>
      <c r="U102" s="13">
        <f t="shared" si="90"/>
        <v>1</v>
      </c>
      <c r="V102" s="13">
        <f t="shared" si="91"/>
        <v>135</v>
      </c>
      <c r="W102" s="13" t="str">
        <f t="shared" si="92"/>
        <v>87</v>
      </c>
      <c r="X102" s="13">
        <f t="shared" si="93"/>
        <v>269</v>
      </c>
      <c r="Y102" s="13" t="str">
        <f t="shared" si="95"/>
        <v>0D</v>
      </c>
      <c r="Z102" s="119"/>
      <c r="AA102" s="119"/>
      <c r="AB102" s="119"/>
      <c r="AC102" s="119"/>
      <c r="AD102" s="119"/>
      <c r="AE102" s="119"/>
      <c r="AF102" s="119"/>
      <c r="AG102" s="119"/>
      <c r="AH102" s="119"/>
      <c r="AJ102" s="64"/>
      <c r="AK102" s="64" t="s">
        <v>2155</v>
      </c>
    </row>
    <row r="103" spans="2:37" ht="16.5" customHeight="1">
      <c r="B103" s="122" t="s">
        <v>1735</v>
      </c>
      <c r="C103" s="122" t="str">
        <f t="shared" si="82"/>
        <v>FF019100000092</v>
      </c>
      <c r="D103" s="60" t="s">
        <v>24</v>
      </c>
      <c r="E103" s="60" t="s">
        <v>1736</v>
      </c>
      <c r="F103" s="60" t="s">
        <v>16</v>
      </c>
      <c r="G103" s="60" t="s">
        <v>16</v>
      </c>
      <c r="H103" s="60" t="s">
        <v>16</v>
      </c>
      <c r="I103" s="12" t="str">
        <f t="shared" si="89"/>
        <v>92</v>
      </c>
      <c r="J103" s="12"/>
      <c r="K103" s="12"/>
      <c r="L103" s="12"/>
      <c r="M103" s="12"/>
      <c r="N103" s="12"/>
      <c r="O103" s="12"/>
      <c r="P103" s="12"/>
      <c r="Q103" s="13">
        <f t="shared" si="83"/>
        <v>1</v>
      </c>
      <c r="R103" s="13">
        <f t="shared" si="84"/>
        <v>145</v>
      </c>
      <c r="S103" s="13">
        <f t="shared" si="85"/>
        <v>0</v>
      </c>
      <c r="T103" s="13">
        <f t="shared" si="86"/>
        <v>0</v>
      </c>
      <c r="U103" s="13">
        <f t="shared" si="90"/>
        <v>0</v>
      </c>
      <c r="V103" s="13">
        <f t="shared" si="91"/>
        <v>146</v>
      </c>
      <c r="W103" s="13" t="str">
        <f t="shared" si="92"/>
        <v>92</v>
      </c>
      <c r="X103" s="13">
        <f t="shared" si="93"/>
        <v>291</v>
      </c>
      <c r="Y103" s="13" t="str">
        <f t="shared" si="95"/>
        <v>23</v>
      </c>
      <c r="Z103" s="119"/>
      <c r="AA103" s="119"/>
      <c r="AB103" s="119"/>
      <c r="AC103" s="119"/>
      <c r="AD103" s="119"/>
      <c r="AE103" s="119"/>
      <c r="AF103" s="119"/>
      <c r="AG103" s="119"/>
      <c r="AH103" s="119"/>
      <c r="AJ103" s="64"/>
      <c r="AK103" s="64" t="s">
        <v>2156</v>
      </c>
    </row>
    <row r="104" spans="2:37" ht="16.5" customHeight="1">
      <c r="B104" s="122" t="s">
        <v>1741</v>
      </c>
      <c r="C104" s="122" t="str">
        <f t="shared" si="82"/>
        <v>FF019001000092</v>
      </c>
      <c r="D104" s="60" t="s">
        <v>24</v>
      </c>
      <c r="E104" s="60" t="s">
        <v>1740</v>
      </c>
      <c r="F104" s="60" t="s">
        <v>24</v>
      </c>
      <c r="G104" s="60" t="s">
        <v>16</v>
      </c>
      <c r="H104" s="60" t="s">
        <v>16</v>
      </c>
      <c r="I104" s="12" t="str">
        <f t="shared" si="89"/>
        <v>92</v>
      </c>
      <c r="J104" s="12"/>
      <c r="K104" s="12"/>
      <c r="L104" s="12"/>
      <c r="M104" s="12"/>
      <c r="N104" s="12"/>
      <c r="O104" s="12"/>
      <c r="P104" s="12"/>
      <c r="Q104" s="13">
        <f t="shared" si="83"/>
        <v>1</v>
      </c>
      <c r="R104" s="13">
        <f t="shared" si="84"/>
        <v>144</v>
      </c>
      <c r="S104" s="13">
        <f t="shared" si="85"/>
        <v>1</v>
      </c>
      <c r="T104" s="13">
        <f t="shared" si="86"/>
        <v>0</v>
      </c>
      <c r="U104" s="13">
        <f t="shared" si="90"/>
        <v>0</v>
      </c>
      <c r="V104" s="13">
        <f t="shared" ref="V104:V121" si="96">SUM(Q104:U104)</f>
        <v>146</v>
      </c>
      <c r="W104" s="13" t="str">
        <f t="shared" ref="W104:W121" si="97">REPT("0",2-LEN(RIGHT(DEC2HEX(V104), 2)))&amp;RIGHT(DEC2HEX(V104), 2)</f>
        <v>92</v>
      </c>
      <c r="X104" s="13">
        <f t="shared" ref="X104:X121" si="98">SUM(R104:W104)</f>
        <v>291</v>
      </c>
      <c r="Y104" s="13" t="str">
        <f t="shared" ref="Y104:Y121" si="99">REPT("0",2-LEN(RIGHT(DEC2HEX(X104), 2)))&amp;RIGHT(DEC2HEX(X104), 2)</f>
        <v>23</v>
      </c>
      <c r="Z104" s="119"/>
      <c r="AA104" s="119"/>
      <c r="AB104" s="119"/>
      <c r="AC104" s="119"/>
      <c r="AD104" s="119"/>
      <c r="AE104" s="119"/>
      <c r="AF104" s="119"/>
      <c r="AG104" s="119"/>
      <c r="AH104" s="119"/>
      <c r="AJ104" s="64"/>
      <c r="AK104" s="64" t="s">
        <v>2157</v>
      </c>
    </row>
    <row r="105" spans="2:37" ht="16.5" customHeight="1">
      <c r="B105" s="122" t="s">
        <v>1742</v>
      </c>
      <c r="C105" s="122" t="str">
        <f t="shared" si="82"/>
        <v>FF019001000193</v>
      </c>
      <c r="D105" s="60" t="s">
        <v>24</v>
      </c>
      <c r="E105" s="60" t="s">
        <v>1740</v>
      </c>
      <c r="F105" s="60" t="s">
        <v>24</v>
      </c>
      <c r="G105" s="60" t="s">
        <v>16</v>
      </c>
      <c r="H105" s="60" t="s">
        <v>24</v>
      </c>
      <c r="I105" s="12" t="str">
        <f t="shared" ref="I105" si="100">W105</f>
        <v>93</v>
      </c>
      <c r="J105" s="12"/>
      <c r="K105" s="12"/>
      <c r="L105" s="12"/>
      <c r="M105" s="12"/>
      <c r="N105" s="12"/>
      <c r="O105" s="12"/>
      <c r="P105" s="12"/>
      <c r="Q105" s="13">
        <f t="shared" si="83"/>
        <v>1</v>
      </c>
      <c r="R105" s="13">
        <f t="shared" si="84"/>
        <v>144</v>
      </c>
      <c r="S105" s="13">
        <f t="shared" si="85"/>
        <v>1</v>
      </c>
      <c r="T105" s="13">
        <f t="shared" si="86"/>
        <v>0</v>
      </c>
      <c r="U105" s="13">
        <f t="shared" si="90"/>
        <v>1</v>
      </c>
      <c r="V105" s="13">
        <f t="shared" ref="V105" si="101">SUM(Q105:U105)</f>
        <v>147</v>
      </c>
      <c r="W105" s="13" t="str">
        <f t="shared" ref="W105" si="102">REPT("0",2-LEN(RIGHT(DEC2HEX(V105), 2)))&amp;RIGHT(DEC2HEX(V105), 2)</f>
        <v>93</v>
      </c>
      <c r="X105" s="13">
        <f t="shared" ref="X105" si="103">SUM(R105:W105)</f>
        <v>293</v>
      </c>
      <c r="Y105" s="13" t="str">
        <f t="shared" ref="Y105" si="104">REPT("0",2-LEN(RIGHT(DEC2HEX(X105), 2)))&amp;RIGHT(DEC2HEX(X105), 2)</f>
        <v>25</v>
      </c>
      <c r="Z105" s="119"/>
      <c r="AA105" s="119"/>
      <c r="AB105" s="119"/>
      <c r="AC105" s="119"/>
      <c r="AD105" s="119"/>
      <c r="AE105" s="119"/>
      <c r="AF105" s="119"/>
      <c r="AG105" s="119"/>
      <c r="AH105" s="119"/>
      <c r="AJ105" s="64"/>
      <c r="AK105" s="64" t="s">
        <v>2158</v>
      </c>
    </row>
    <row r="106" spans="2:37" ht="16.5" customHeight="1">
      <c r="B106" s="122" t="s">
        <v>1737</v>
      </c>
      <c r="C106" s="122" t="str">
        <f t="shared" si="82"/>
        <v>FF019002000093</v>
      </c>
      <c r="D106" s="60" t="s">
        <v>24</v>
      </c>
      <c r="E106" s="60" t="s">
        <v>1740</v>
      </c>
      <c r="F106" s="60" t="s">
        <v>17</v>
      </c>
      <c r="G106" s="60" t="s">
        <v>16</v>
      </c>
      <c r="H106" s="60" t="s">
        <v>16</v>
      </c>
      <c r="I106" s="12" t="str">
        <f t="shared" si="89"/>
        <v>93</v>
      </c>
      <c r="J106" s="12"/>
      <c r="K106" s="12"/>
      <c r="L106" s="12"/>
      <c r="M106" s="12"/>
      <c r="N106" s="12"/>
      <c r="O106" s="12"/>
      <c r="P106" s="12"/>
      <c r="Q106" s="13">
        <f t="shared" si="83"/>
        <v>1</v>
      </c>
      <c r="R106" s="13">
        <f t="shared" si="84"/>
        <v>144</v>
      </c>
      <c r="S106" s="13">
        <f t="shared" si="85"/>
        <v>2</v>
      </c>
      <c r="T106" s="13">
        <f t="shared" si="86"/>
        <v>0</v>
      </c>
      <c r="U106" s="13">
        <f t="shared" si="90"/>
        <v>0</v>
      </c>
      <c r="V106" s="13">
        <f t="shared" si="96"/>
        <v>147</v>
      </c>
      <c r="W106" s="13" t="str">
        <f t="shared" si="97"/>
        <v>93</v>
      </c>
      <c r="X106" s="13">
        <f t="shared" si="98"/>
        <v>293</v>
      </c>
      <c r="Y106" s="13" t="str">
        <f t="shared" si="99"/>
        <v>25</v>
      </c>
      <c r="Z106" s="119"/>
      <c r="AA106" s="119"/>
      <c r="AB106" s="119"/>
      <c r="AC106" s="119"/>
      <c r="AD106" s="119"/>
      <c r="AE106" s="119"/>
      <c r="AF106" s="119"/>
      <c r="AG106" s="119"/>
      <c r="AH106" s="119"/>
      <c r="AJ106" s="64"/>
      <c r="AK106" s="64" t="s">
        <v>2159</v>
      </c>
    </row>
    <row r="107" spans="2:37" ht="16.5" customHeight="1">
      <c r="B107" s="122" t="s">
        <v>1743</v>
      </c>
      <c r="C107" s="122" t="str">
        <f t="shared" ref="C107:C140" si="105">"FF"&amp;D107&amp;E107&amp;""&amp;F107&amp;G107&amp;H107&amp;I107</f>
        <v>FF019003000094</v>
      </c>
      <c r="D107" s="60" t="s">
        <v>24</v>
      </c>
      <c r="E107" s="60" t="s">
        <v>1740</v>
      </c>
      <c r="F107" s="60" t="s">
        <v>91</v>
      </c>
      <c r="G107" s="60" t="s">
        <v>16</v>
      </c>
      <c r="H107" s="60" t="s">
        <v>16</v>
      </c>
      <c r="I107" s="12" t="str">
        <f t="shared" si="89"/>
        <v>94</v>
      </c>
      <c r="J107" s="12"/>
      <c r="K107" s="12"/>
      <c r="L107" s="12"/>
      <c r="M107" s="12"/>
      <c r="N107" s="12"/>
      <c r="O107" s="12"/>
      <c r="P107" s="12"/>
      <c r="Q107" s="13">
        <f t="shared" si="83"/>
        <v>1</v>
      </c>
      <c r="R107" s="13">
        <f t="shared" si="84"/>
        <v>144</v>
      </c>
      <c r="S107" s="13">
        <f t="shared" si="85"/>
        <v>3</v>
      </c>
      <c r="T107" s="13">
        <f t="shared" si="86"/>
        <v>0</v>
      </c>
      <c r="U107" s="13">
        <f t="shared" si="90"/>
        <v>0</v>
      </c>
      <c r="V107" s="13">
        <f t="shared" si="96"/>
        <v>148</v>
      </c>
      <c r="W107" s="13" t="str">
        <f t="shared" si="97"/>
        <v>94</v>
      </c>
      <c r="X107" s="13">
        <f t="shared" si="98"/>
        <v>295</v>
      </c>
      <c r="Y107" s="13" t="str">
        <f t="shared" si="99"/>
        <v>27</v>
      </c>
      <c r="Z107" s="119"/>
      <c r="AA107" s="119"/>
      <c r="AB107" s="119"/>
      <c r="AC107" s="119"/>
      <c r="AD107" s="119"/>
      <c r="AE107" s="119"/>
      <c r="AF107" s="119"/>
      <c r="AG107" s="119"/>
      <c r="AH107" s="119"/>
      <c r="AJ107" s="64"/>
      <c r="AK107" s="64" t="s">
        <v>2160</v>
      </c>
    </row>
    <row r="108" spans="2:37" ht="16.5" customHeight="1">
      <c r="B108" s="122" t="s">
        <v>1744</v>
      </c>
      <c r="C108" s="122" t="str">
        <f t="shared" si="105"/>
        <v>FF019003000195</v>
      </c>
      <c r="D108" s="60" t="s">
        <v>24</v>
      </c>
      <c r="E108" s="60" t="s">
        <v>1740</v>
      </c>
      <c r="F108" s="60" t="s">
        <v>91</v>
      </c>
      <c r="G108" s="60" t="s">
        <v>16</v>
      </c>
      <c r="H108" s="60" t="s">
        <v>24</v>
      </c>
      <c r="I108" s="12" t="str">
        <f t="shared" ref="I108" si="106">W108</f>
        <v>95</v>
      </c>
      <c r="J108" s="12"/>
      <c r="K108" s="12"/>
      <c r="L108" s="12"/>
      <c r="M108" s="12"/>
      <c r="N108" s="12"/>
      <c r="O108" s="12"/>
      <c r="P108" s="12"/>
      <c r="Q108" s="13">
        <f t="shared" si="83"/>
        <v>1</v>
      </c>
      <c r="R108" s="13">
        <f t="shared" si="84"/>
        <v>144</v>
      </c>
      <c r="S108" s="13">
        <f t="shared" si="85"/>
        <v>3</v>
      </c>
      <c r="T108" s="13">
        <f t="shared" si="86"/>
        <v>0</v>
      </c>
      <c r="U108" s="13">
        <f t="shared" si="90"/>
        <v>1</v>
      </c>
      <c r="V108" s="13">
        <f t="shared" ref="V108" si="107">SUM(Q108:U108)</f>
        <v>149</v>
      </c>
      <c r="W108" s="13" t="str">
        <f t="shared" ref="W108" si="108">REPT("0",2-LEN(RIGHT(DEC2HEX(V108), 2)))&amp;RIGHT(DEC2HEX(V108), 2)</f>
        <v>95</v>
      </c>
      <c r="X108" s="13">
        <f t="shared" ref="X108" si="109">SUM(R108:W108)</f>
        <v>297</v>
      </c>
      <c r="Y108" s="13" t="str">
        <f t="shared" ref="Y108" si="110">REPT("0",2-LEN(RIGHT(DEC2HEX(X108), 2)))&amp;RIGHT(DEC2HEX(X108), 2)</f>
        <v>29</v>
      </c>
      <c r="Z108" s="119"/>
      <c r="AA108" s="119"/>
      <c r="AB108" s="119"/>
      <c r="AC108" s="119"/>
      <c r="AD108" s="119"/>
      <c r="AE108" s="119"/>
      <c r="AF108" s="119"/>
      <c r="AG108" s="119"/>
      <c r="AH108" s="119"/>
      <c r="AJ108" s="64"/>
      <c r="AK108" s="64" t="s">
        <v>2161</v>
      </c>
    </row>
    <row r="109" spans="2:37" ht="16.5" customHeight="1">
      <c r="B109" s="122" t="s">
        <v>1738</v>
      </c>
      <c r="C109" s="122" t="str">
        <f t="shared" si="105"/>
        <v>FF019004000095</v>
      </c>
      <c r="D109" s="60" t="s">
        <v>24</v>
      </c>
      <c r="E109" s="60" t="s">
        <v>1740</v>
      </c>
      <c r="F109" s="60" t="s">
        <v>67</v>
      </c>
      <c r="G109" s="60" t="s">
        <v>16</v>
      </c>
      <c r="H109" s="60" t="s">
        <v>16</v>
      </c>
      <c r="I109" s="12" t="str">
        <f t="shared" si="89"/>
        <v>95</v>
      </c>
      <c r="J109" s="12"/>
      <c r="K109" s="12"/>
      <c r="L109" s="12"/>
      <c r="M109" s="12"/>
      <c r="N109" s="12"/>
      <c r="O109" s="12"/>
      <c r="P109" s="12"/>
      <c r="Q109" s="13">
        <f t="shared" si="83"/>
        <v>1</v>
      </c>
      <c r="R109" s="13">
        <f t="shared" si="84"/>
        <v>144</v>
      </c>
      <c r="S109" s="13">
        <f t="shared" si="85"/>
        <v>4</v>
      </c>
      <c r="T109" s="13">
        <f t="shared" si="86"/>
        <v>0</v>
      </c>
      <c r="U109" s="13">
        <f t="shared" si="90"/>
        <v>0</v>
      </c>
      <c r="V109" s="13">
        <f t="shared" si="96"/>
        <v>149</v>
      </c>
      <c r="W109" s="13" t="str">
        <f t="shared" si="97"/>
        <v>95</v>
      </c>
      <c r="X109" s="13">
        <f t="shared" si="98"/>
        <v>297</v>
      </c>
      <c r="Y109" s="13" t="str">
        <f t="shared" si="99"/>
        <v>29</v>
      </c>
      <c r="Z109" s="119"/>
      <c r="AA109" s="119"/>
      <c r="AB109" s="119"/>
      <c r="AC109" s="119"/>
      <c r="AD109" s="119"/>
      <c r="AE109" s="119"/>
      <c r="AF109" s="119"/>
      <c r="AG109" s="119"/>
      <c r="AH109" s="119"/>
      <c r="AJ109" s="64"/>
      <c r="AK109" s="64" t="s">
        <v>2162</v>
      </c>
    </row>
    <row r="110" spans="2:37" ht="16.5" customHeight="1">
      <c r="B110" s="122" t="s">
        <v>1745</v>
      </c>
      <c r="C110" s="122" t="str">
        <f t="shared" si="105"/>
        <v>FF019005000096</v>
      </c>
      <c r="D110" s="60" t="s">
        <v>24</v>
      </c>
      <c r="E110" s="60" t="s">
        <v>1740</v>
      </c>
      <c r="F110" s="60" t="s">
        <v>92</v>
      </c>
      <c r="G110" s="60" t="s">
        <v>16</v>
      </c>
      <c r="H110" s="60" t="s">
        <v>16</v>
      </c>
      <c r="I110" s="12" t="str">
        <f t="shared" si="89"/>
        <v>96</v>
      </c>
      <c r="J110" s="12"/>
      <c r="K110" s="12"/>
      <c r="L110" s="12"/>
      <c r="M110" s="12"/>
      <c r="N110" s="12"/>
      <c r="O110" s="12"/>
      <c r="P110" s="12"/>
      <c r="Q110" s="13">
        <f t="shared" si="83"/>
        <v>1</v>
      </c>
      <c r="R110" s="13">
        <f t="shared" si="84"/>
        <v>144</v>
      </c>
      <c r="S110" s="13">
        <f t="shared" si="85"/>
        <v>5</v>
      </c>
      <c r="T110" s="13">
        <f t="shared" si="86"/>
        <v>0</v>
      </c>
      <c r="U110" s="13">
        <f t="shared" si="90"/>
        <v>0</v>
      </c>
      <c r="V110" s="13">
        <f t="shared" si="96"/>
        <v>150</v>
      </c>
      <c r="W110" s="13" t="str">
        <f t="shared" si="97"/>
        <v>96</v>
      </c>
      <c r="X110" s="13">
        <f t="shared" si="98"/>
        <v>299</v>
      </c>
      <c r="Y110" s="13" t="str">
        <f t="shared" si="99"/>
        <v>2B</v>
      </c>
      <c r="Z110" s="119"/>
      <c r="AA110" s="119"/>
      <c r="AB110" s="119"/>
      <c r="AC110" s="119"/>
      <c r="AD110" s="119"/>
      <c r="AE110" s="119"/>
      <c r="AF110" s="119"/>
      <c r="AH110" s="119"/>
      <c r="AJ110" s="64"/>
      <c r="AK110" s="64" t="s">
        <v>2163</v>
      </c>
    </row>
    <row r="111" spans="2:37" ht="16.5" customHeight="1">
      <c r="B111" s="122" t="s">
        <v>1746</v>
      </c>
      <c r="C111" s="122" t="str">
        <f t="shared" si="105"/>
        <v>FF019005000197</v>
      </c>
      <c r="D111" s="60" t="s">
        <v>24</v>
      </c>
      <c r="E111" s="60" t="s">
        <v>1740</v>
      </c>
      <c r="F111" s="60" t="s">
        <v>92</v>
      </c>
      <c r="G111" s="60" t="s">
        <v>16</v>
      </c>
      <c r="H111" s="60" t="s">
        <v>24</v>
      </c>
      <c r="I111" s="12" t="str">
        <f t="shared" ref="I111" si="111">W111</f>
        <v>97</v>
      </c>
      <c r="J111" s="12"/>
      <c r="K111" s="12"/>
      <c r="L111" s="12"/>
      <c r="M111" s="12"/>
      <c r="N111" s="12"/>
      <c r="O111" s="12"/>
      <c r="P111" s="12"/>
      <c r="Q111" s="13">
        <f t="shared" si="83"/>
        <v>1</v>
      </c>
      <c r="R111" s="13">
        <f t="shared" si="84"/>
        <v>144</v>
      </c>
      <c r="S111" s="13">
        <f t="shared" si="85"/>
        <v>5</v>
      </c>
      <c r="T111" s="13">
        <f t="shared" si="86"/>
        <v>0</v>
      </c>
      <c r="U111" s="13">
        <f t="shared" si="90"/>
        <v>1</v>
      </c>
      <c r="V111" s="13">
        <f t="shared" ref="V111" si="112">SUM(Q111:U111)</f>
        <v>151</v>
      </c>
      <c r="W111" s="13" t="str">
        <f t="shared" ref="W111" si="113">REPT("0",2-LEN(RIGHT(DEC2HEX(V111), 2)))&amp;RIGHT(DEC2HEX(V111), 2)</f>
        <v>97</v>
      </c>
      <c r="X111" s="13">
        <f t="shared" ref="X111" si="114">SUM(R111:W111)</f>
        <v>301</v>
      </c>
      <c r="Y111" s="13" t="str">
        <f t="shared" ref="Y111" si="115">REPT("0",2-LEN(RIGHT(DEC2HEX(X111), 2)))&amp;RIGHT(DEC2HEX(X111), 2)</f>
        <v>2D</v>
      </c>
      <c r="Z111" s="119"/>
      <c r="AA111" s="119"/>
      <c r="AB111" s="119"/>
      <c r="AC111" s="119"/>
      <c r="AD111" s="119"/>
      <c r="AE111" s="119"/>
      <c r="AF111" s="119"/>
      <c r="AG111" s="119"/>
      <c r="AH111" s="119"/>
      <c r="AJ111" s="64"/>
      <c r="AK111" s="64" t="s">
        <v>2164</v>
      </c>
    </row>
    <row r="112" spans="2:37" ht="16.5" customHeight="1">
      <c r="B112" s="122" t="s">
        <v>1739</v>
      </c>
      <c r="C112" s="122" t="str">
        <f t="shared" si="105"/>
        <v>FF019006000097</v>
      </c>
      <c r="D112" s="60" t="s">
        <v>24</v>
      </c>
      <c r="E112" s="60" t="s">
        <v>1740</v>
      </c>
      <c r="F112" s="60" t="s">
        <v>100</v>
      </c>
      <c r="G112" s="60" t="s">
        <v>16</v>
      </c>
      <c r="H112" s="60" t="s">
        <v>16</v>
      </c>
      <c r="I112" s="12" t="str">
        <f t="shared" si="89"/>
        <v>97</v>
      </c>
      <c r="J112" s="12"/>
      <c r="K112" s="12"/>
      <c r="L112" s="12"/>
      <c r="M112" s="12"/>
      <c r="N112" s="12"/>
      <c r="O112" s="12"/>
      <c r="P112" s="12"/>
      <c r="Q112" s="13">
        <f t="shared" si="83"/>
        <v>1</v>
      </c>
      <c r="R112" s="13">
        <f t="shared" si="84"/>
        <v>144</v>
      </c>
      <c r="S112" s="13">
        <f t="shared" si="85"/>
        <v>6</v>
      </c>
      <c r="T112" s="13">
        <f t="shared" si="86"/>
        <v>0</v>
      </c>
      <c r="U112" s="13">
        <f t="shared" si="90"/>
        <v>0</v>
      </c>
      <c r="V112" s="13">
        <f t="shared" si="96"/>
        <v>151</v>
      </c>
      <c r="W112" s="13" t="str">
        <f t="shared" si="97"/>
        <v>97</v>
      </c>
      <c r="X112" s="13">
        <f t="shared" si="98"/>
        <v>301</v>
      </c>
      <c r="Y112" s="13" t="str">
        <f t="shared" si="99"/>
        <v>2D</v>
      </c>
      <c r="Z112" s="119"/>
      <c r="AA112" s="119"/>
      <c r="AB112" s="119"/>
      <c r="AC112" s="119"/>
      <c r="AD112" s="119"/>
      <c r="AE112" s="119"/>
      <c r="AF112" s="119"/>
      <c r="AG112" s="119"/>
      <c r="AH112" s="119"/>
      <c r="AJ112" s="64"/>
      <c r="AK112" s="64" t="s">
        <v>2165</v>
      </c>
    </row>
    <row r="113" spans="2:37" ht="16.5" customHeight="1">
      <c r="B113" s="122" t="s">
        <v>1747</v>
      </c>
      <c r="C113" s="122" t="str">
        <f t="shared" si="105"/>
        <v>FF01A1100000B2</v>
      </c>
      <c r="D113" s="60" t="s">
        <v>24</v>
      </c>
      <c r="E113" s="60" t="s">
        <v>80</v>
      </c>
      <c r="F113" s="60" t="s">
        <v>109</v>
      </c>
      <c r="G113" s="60" t="s">
        <v>16</v>
      </c>
      <c r="H113" s="60" t="s">
        <v>16</v>
      </c>
      <c r="I113" s="12" t="str">
        <f t="shared" si="89"/>
        <v>B2</v>
      </c>
      <c r="J113" s="12"/>
      <c r="K113" s="12"/>
      <c r="L113" s="12"/>
      <c r="M113" s="12"/>
      <c r="N113" s="12"/>
      <c r="O113" s="12"/>
      <c r="P113" s="12"/>
      <c r="Q113" s="13">
        <f t="shared" si="83"/>
        <v>1</v>
      </c>
      <c r="R113" s="13">
        <f t="shared" si="84"/>
        <v>161</v>
      </c>
      <c r="S113" s="13">
        <f t="shared" si="85"/>
        <v>16</v>
      </c>
      <c r="T113" s="13">
        <f t="shared" si="86"/>
        <v>0</v>
      </c>
      <c r="U113" s="13">
        <f t="shared" si="90"/>
        <v>0</v>
      </c>
      <c r="V113" s="13">
        <f t="shared" si="96"/>
        <v>178</v>
      </c>
      <c r="W113" s="13" t="str">
        <f t="shared" si="97"/>
        <v>B2</v>
      </c>
      <c r="X113" s="13">
        <f t="shared" si="98"/>
        <v>355</v>
      </c>
      <c r="Y113" s="13" t="str">
        <f t="shared" si="99"/>
        <v>63</v>
      </c>
      <c r="Z113" s="119"/>
      <c r="AA113" s="119"/>
      <c r="AB113" s="119"/>
      <c r="AC113" s="119"/>
      <c r="AD113" s="119"/>
      <c r="AE113" s="119"/>
      <c r="AF113" s="119"/>
      <c r="AG113" s="119"/>
      <c r="AH113" s="119"/>
      <c r="AJ113" s="64"/>
      <c r="AK113" s="64" t="s">
        <v>193</v>
      </c>
    </row>
    <row r="114" spans="2:37" ht="17.25">
      <c r="B114" s="122" t="s">
        <v>1748</v>
      </c>
      <c r="C114" s="122" t="str">
        <f t="shared" si="105"/>
        <v>FF01A0110000B2</v>
      </c>
      <c r="D114" s="60" t="s">
        <v>24</v>
      </c>
      <c r="E114" s="60" t="s">
        <v>23</v>
      </c>
      <c r="F114" s="60" t="s">
        <v>110</v>
      </c>
      <c r="G114" s="60" t="s">
        <v>16</v>
      </c>
      <c r="H114" s="60" t="s">
        <v>16</v>
      </c>
      <c r="I114" s="12" t="str">
        <f t="shared" si="89"/>
        <v>B2</v>
      </c>
      <c r="J114" s="12"/>
      <c r="K114" s="12"/>
      <c r="L114" s="12"/>
      <c r="M114" s="12"/>
      <c r="N114" s="12"/>
      <c r="O114" s="12"/>
      <c r="P114" s="12"/>
      <c r="Q114" s="13">
        <f t="shared" si="83"/>
        <v>1</v>
      </c>
      <c r="R114" s="13">
        <f t="shared" si="84"/>
        <v>160</v>
      </c>
      <c r="S114" s="13">
        <f t="shared" si="85"/>
        <v>17</v>
      </c>
      <c r="T114" s="13">
        <f t="shared" si="86"/>
        <v>0</v>
      </c>
      <c r="U114" s="13">
        <f t="shared" si="90"/>
        <v>0</v>
      </c>
      <c r="V114" s="13">
        <f t="shared" si="96"/>
        <v>178</v>
      </c>
      <c r="W114" s="13" t="str">
        <f t="shared" si="97"/>
        <v>B2</v>
      </c>
      <c r="X114" s="13">
        <f t="shared" si="98"/>
        <v>355</v>
      </c>
      <c r="Y114" s="13" t="str">
        <f t="shared" si="99"/>
        <v>63</v>
      </c>
      <c r="Z114" s="119"/>
      <c r="AA114" s="119"/>
      <c r="AB114" s="119"/>
      <c r="AC114" s="119"/>
      <c r="AD114" s="119"/>
      <c r="AE114" s="119"/>
      <c r="AF114" s="119"/>
      <c r="AG114" s="119"/>
      <c r="AH114" s="119"/>
      <c r="AJ114" s="64"/>
      <c r="AK114" s="64" t="s">
        <v>194</v>
      </c>
    </row>
    <row r="115" spans="2:37" ht="16.5" customHeight="1">
      <c r="B115" s="122" t="s">
        <v>1749</v>
      </c>
      <c r="C115" s="122" t="str">
        <f t="shared" si="105"/>
        <v>FF01A0120000B3</v>
      </c>
      <c r="D115" s="60" t="s">
        <v>24</v>
      </c>
      <c r="E115" s="60" t="s">
        <v>23</v>
      </c>
      <c r="F115" s="60" t="s">
        <v>111</v>
      </c>
      <c r="G115" s="60" t="s">
        <v>16</v>
      </c>
      <c r="H115" s="60" t="s">
        <v>16</v>
      </c>
      <c r="I115" s="12" t="str">
        <f t="shared" si="89"/>
        <v>B3</v>
      </c>
      <c r="J115" s="12"/>
      <c r="K115" s="12"/>
      <c r="L115" s="12"/>
      <c r="M115" s="12"/>
      <c r="N115" s="12"/>
      <c r="O115" s="12"/>
      <c r="P115" s="12"/>
      <c r="Q115" s="13">
        <f t="shared" si="83"/>
        <v>1</v>
      </c>
      <c r="R115" s="13">
        <f t="shared" si="84"/>
        <v>160</v>
      </c>
      <c r="S115" s="13">
        <f t="shared" si="85"/>
        <v>18</v>
      </c>
      <c r="T115" s="13">
        <f t="shared" si="86"/>
        <v>0</v>
      </c>
      <c r="U115" s="13">
        <f t="shared" si="90"/>
        <v>0</v>
      </c>
      <c r="V115" s="13">
        <f t="shared" si="96"/>
        <v>179</v>
      </c>
      <c r="W115" s="13" t="str">
        <f t="shared" si="97"/>
        <v>B3</v>
      </c>
      <c r="X115" s="13">
        <f t="shared" si="98"/>
        <v>357</v>
      </c>
      <c r="Y115" s="13" t="str">
        <f t="shared" si="99"/>
        <v>65</v>
      </c>
      <c r="Z115" s="119"/>
      <c r="AA115" s="119"/>
      <c r="AB115" s="119"/>
      <c r="AC115" s="119"/>
      <c r="AD115" s="119"/>
      <c r="AE115" s="119"/>
      <c r="AF115" s="119"/>
      <c r="AG115" s="119"/>
      <c r="AH115" s="119"/>
      <c r="AJ115" s="64"/>
      <c r="AK115" s="64" t="s">
        <v>195</v>
      </c>
    </row>
    <row r="116" spans="2:37" ht="16.5" customHeight="1">
      <c r="B116" s="122" t="s">
        <v>1750</v>
      </c>
      <c r="C116" s="122" t="str">
        <f t="shared" si="105"/>
        <v>FF01A0120001B4</v>
      </c>
      <c r="D116" s="60" t="s">
        <v>24</v>
      </c>
      <c r="E116" s="60" t="s">
        <v>23</v>
      </c>
      <c r="F116" s="60" t="s">
        <v>111</v>
      </c>
      <c r="G116" s="60" t="s">
        <v>16</v>
      </c>
      <c r="H116" s="60" t="s">
        <v>24</v>
      </c>
      <c r="I116" s="12" t="str">
        <f t="shared" si="89"/>
        <v>B4</v>
      </c>
      <c r="J116" s="12"/>
      <c r="K116" s="12"/>
      <c r="L116" s="12"/>
      <c r="M116" s="12"/>
      <c r="N116" s="12"/>
      <c r="O116" s="12"/>
      <c r="P116" s="12"/>
      <c r="Q116" s="13">
        <f t="shared" si="83"/>
        <v>1</v>
      </c>
      <c r="R116" s="13">
        <f t="shared" si="84"/>
        <v>160</v>
      </c>
      <c r="S116" s="13">
        <f t="shared" si="85"/>
        <v>18</v>
      </c>
      <c r="T116" s="13">
        <f t="shared" si="86"/>
        <v>0</v>
      </c>
      <c r="U116" s="13">
        <f t="shared" si="90"/>
        <v>1</v>
      </c>
      <c r="V116" s="13">
        <f t="shared" si="96"/>
        <v>180</v>
      </c>
      <c r="W116" s="13" t="str">
        <f t="shared" si="97"/>
        <v>B4</v>
      </c>
      <c r="X116" s="13">
        <f t="shared" si="98"/>
        <v>359</v>
      </c>
      <c r="Y116" s="13" t="str">
        <f t="shared" si="99"/>
        <v>67</v>
      </c>
      <c r="Z116" s="119"/>
      <c r="AA116" s="119"/>
      <c r="AB116" s="119"/>
      <c r="AC116" s="119"/>
      <c r="AD116" s="119"/>
      <c r="AE116" s="119"/>
      <c r="AF116" s="119"/>
      <c r="AG116" s="119"/>
      <c r="AH116" s="119"/>
      <c r="AJ116" s="64"/>
      <c r="AK116" s="64" t="s">
        <v>2166</v>
      </c>
    </row>
    <row r="117" spans="2:37" ht="16.5" customHeight="1">
      <c r="B117" s="122" t="s">
        <v>1753</v>
      </c>
      <c r="C117" s="122" t="str">
        <f t="shared" si="105"/>
        <v>FF01A01305DC95</v>
      </c>
      <c r="D117" s="60" t="s">
        <v>24</v>
      </c>
      <c r="E117" s="60" t="s">
        <v>23</v>
      </c>
      <c r="F117" s="60" t="s">
        <v>116</v>
      </c>
      <c r="G117" s="60" t="s">
        <v>92</v>
      </c>
      <c r="H117" s="60" t="s">
        <v>1694</v>
      </c>
      <c r="I117" s="12" t="str">
        <f t="shared" si="89"/>
        <v>95</v>
      </c>
      <c r="J117" s="12"/>
      <c r="K117" s="12"/>
      <c r="L117" s="12"/>
      <c r="M117" s="12"/>
      <c r="N117" s="12"/>
      <c r="O117" s="12"/>
      <c r="P117" s="12"/>
      <c r="Q117" s="13">
        <f t="shared" si="83"/>
        <v>1</v>
      </c>
      <c r="R117" s="13">
        <f t="shared" si="84"/>
        <v>160</v>
      </c>
      <c r="S117" s="13">
        <f t="shared" si="85"/>
        <v>19</v>
      </c>
      <c r="T117" s="13">
        <f t="shared" si="86"/>
        <v>5</v>
      </c>
      <c r="U117" s="13">
        <f t="shared" si="90"/>
        <v>220</v>
      </c>
      <c r="V117" s="13">
        <f t="shared" si="96"/>
        <v>405</v>
      </c>
      <c r="W117" s="13" t="str">
        <f t="shared" si="97"/>
        <v>95</v>
      </c>
      <c r="X117" s="13">
        <f t="shared" si="98"/>
        <v>809</v>
      </c>
      <c r="Y117" s="13" t="str">
        <f t="shared" si="99"/>
        <v>29</v>
      </c>
      <c r="Z117" s="119"/>
      <c r="AA117" s="119"/>
      <c r="AB117" s="119"/>
      <c r="AC117" s="119"/>
      <c r="AD117" s="119"/>
      <c r="AE117" s="119"/>
      <c r="AF117" s="119"/>
      <c r="AG117" s="119">
        <v>1500</v>
      </c>
      <c r="AH117" s="119" t="str">
        <f>DEC2HEX(AG117)</f>
        <v>5DC</v>
      </c>
      <c r="AJ117" s="64"/>
      <c r="AK117" s="64" t="s">
        <v>2167</v>
      </c>
    </row>
    <row r="118" spans="2:37" ht="16.5" customHeight="1">
      <c r="B118" s="122" t="s">
        <v>1754</v>
      </c>
      <c r="C118" s="122" t="str">
        <f t="shared" si="105"/>
        <v>FF01A0130BB877</v>
      </c>
      <c r="D118" s="60" t="s">
        <v>24</v>
      </c>
      <c r="E118" s="60" t="s">
        <v>23</v>
      </c>
      <c r="F118" s="60" t="s">
        <v>116</v>
      </c>
      <c r="G118" s="60" t="s">
        <v>1713</v>
      </c>
      <c r="H118" s="60" t="s">
        <v>1363</v>
      </c>
      <c r="I118" s="12" t="str">
        <f t="shared" ref="I118:I119" si="116">W118</f>
        <v>77</v>
      </c>
      <c r="J118" s="12"/>
      <c r="K118" s="12"/>
      <c r="L118" s="12"/>
      <c r="M118" s="12"/>
      <c r="N118" s="12"/>
      <c r="O118" s="12"/>
      <c r="P118" s="12"/>
      <c r="Q118" s="13">
        <f t="shared" si="83"/>
        <v>1</v>
      </c>
      <c r="R118" s="13">
        <f t="shared" si="84"/>
        <v>160</v>
      </c>
      <c r="S118" s="13">
        <f t="shared" si="85"/>
        <v>19</v>
      </c>
      <c r="T118" s="13">
        <f t="shared" si="86"/>
        <v>11</v>
      </c>
      <c r="U118" s="13">
        <f t="shared" si="90"/>
        <v>184</v>
      </c>
      <c r="V118" s="13">
        <f t="shared" ref="V118:V119" si="117">SUM(Q118:U118)</f>
        <v>375</v>
      </c>
      <c r="W118" s="13" t="str">
        <f t="shared" ref="W118:W119" si="118">REPT("0",2-LEN(RIGHT(DEC2HEX(V118), 2)))&amp;RIGHT(DEC2HEX(V118), 2)</f>
        <v>77</v>
      </c>
      <c r="X118" s="13">
        <f t="shared" ref="X118:X119" si="119">SUM(R118:W118)</f>
        <v>749</v>
      </c>
      <c r="Y118" s="13" t="str">
        <f t="shared" ref="Y118:Y119" si="120">REPT("0",2-LEN(RIGHT(DEC2HEX(X118), 2)))&amp;RIGHT(DEC2HEX(X118), 2)</f>
        <v>ED</v>
      </c>
      <c r="Z118" s="119"/>
      <c r="AA118" s="119"/>
      <c r="AB118" s="119"/>
      <c r="AC118" s="119"/>
      <c r="AD118" s="119"/>
      <c r="AE118" s="119"/>
      <c r="AF118" s="119"/>
      <c r="AG118" s="119">
        <v>3000</v>
      </c>
      <c r="AH118" s="119" t="str">
        <f>DEC2HEX(AG118)</f>
        <v>BB8</v>
      </c>
      <c r="AJ118" s="64"/>
      <c r="AK118" s="64" t="s">
        <v>2168</v>
      </c>
    </row>
    <row r="119" spans="2:37" ht="16.5" customHeight="1">
      <c r="B119" s="122" t="s">
        <v>1755</v>
      </c>
      <c r="C119" s="122" t="str">
        <f t="shared" si="105"/>
        <v>FF01A013119459</v>
      </c>
      <c r="D119" s="60" t="s">
        <v>24</v>
      </c>
      <c r="E119" s="60" t="s">
        <v>23</v>
      </c>
      <c r="F119" s="60" t="s">
        <v>116</v>
      </c>
      <c r="G119" s="60" t="s">
        <v>110</v>
      </c>
      <c r="H119" s="60" t="s">
        <v>175</v>
      </c>
      <c r="I119" s="12" t="str">
        <f t="shared" si="116"/>
        <v>59</v>
      </c>
      <c r="J119" s="12"/>
      <c r="K119" s="12"/>
      <c r="L119" s="12"/>
      <c r="M119" s="12"/>
      <c r="N119" s="12"/>
      <c r="O119" s="12"/>
      <c r="P119" s="12"/>
      <c r="Q119" s="13">
        <f t="shared" si="83"/>
        <v>1</v>
      </c>
      <c r="R119" s="13">
        <f t="shared" si="84"/>
        <v>160</v>
      </c>
      <c r="S119" s="13">
        <f t="shared" si="85"/>
        <v>19</v>
      </c>
      <c r="T119" s="13">
        <f t="shared" si="86"/>
        <v>17</v>
      </c>
      <c r="U119" s="13">
        <f t="shared" si="90"/>
        <v>148</v>
      </c>
      <c r="V119" s="13">
        <f t="shared" si="117"/>
        <v>345</v>
      </c>
      <c r="W119" s="13" t="str">
        <f t="shared" si="118"/>
        <v>59</v>
      </c>
      <c r="X119" s="13">
        <f t="shared" si="119"/>
        <v>689</v>
      </c>
      <c r="Y119" s="13" t="str">
        <f t="shared" si="120"/>
        <v>B1</v>
      </c>
      <c r="Z119" s="119"/>
      <c r="AA119" s="119"/>
      <c r="AB119" s="119"/>
      <c r="AC119" s="119"/>
      <c r="AD119" s="119"/>
      <c r="AE119" s="119"/>
      <c r="AF119" s="119"/>
      <c r="AG119" s="119">
        <v>4500</v>
      </c>
      <c r="AH119" s="119" t="str">
        <f>DEC2HEX(AG119)</f>
        <v>1194</v>
      </c>
      <c r="AJ119" s="64"/>
      <c r="AK119" s="64" t="s">
        <v>2169</v>
      </c>
    </row>
    <row r="120" spans="2:37" ht="16.5" customHeight="1">
      <c r="B120" s="122" t="s">
        <v>1751</v>
      </c>
      <c r="C120" s="122" t="str">
        <f t="shared" si="105"/>
        <v>FF01A01317703B</v>
      </c>
      <c r="D120" s="60" t="s">
        <v>24</v>
      </c>
      <c r="E120" s="60" t="s">
        <v>23</v>
      </c>
      <c r="F120" s="60" t="s">
        <v>116</v>
      </c>
      <c r="G120" s="60" t="s">
        <v>131</v>
      </c>
      <c r="H120" s="60" t="s">
        <v>1722</v>
      </c>
      <c r="I120" s="12" t="str">
        <f t="shared" ref="I120" si="121">W120</f>
        <v>3B</v>
      </c>
      <c r="J120" s="12"/>
      <c r="K120" s="12"/>
      <c r="L120" s="12"/>
      <c r="M120" s="12"/>
      <c r="N120" s="12"/>
      <c r="O120" s="12"/>
      <c r="P120" s="12"/>
      <c r="Q120" s="13">
        <f t="shared" si="83"/>
        <v>1</v>
      </c>
      <c r="R120" s="13">
        <f t="shared" si="84"/>
        <v>160</v>
      </c>
      <c r="S120" s="13">
        <f t="shared" si="85"/>
        <v>19</v>
      </c>
      <c r="T120" s="13">
        <f t="shared" si="86"/>
        <v>23</v>
      </c>
      <c r="U120" s="13">
        <f t="shared" si="90"/>
        <v>112</v>
      </c>
      <c r="V120" s="13">
        <f t="shared" ref="V120" si="122">SUM(Q120:U120)</f>
        <v>315</v>
      </c>
      <c r="W120" s="13" t="str">
        <f t="shared" ref="W120" si="123">REPT("0",2-LEN(RIGHT(DEC2HEX(V120), 2)))&amp;RIGHT(DEC2HEX(V120), 2)</f>
        <v>3B</v>
      </c>
      <c r="X120" s="13">
        <f t="shared" ref="X120" si="124">SUM(R120:W120)</f>
        <v>629</v>
      </c>
      <c r="Y120" s="13" t="str">
        <f t="shared" ref="Y120" si="125">REPT("0",2-LEN(RIGHT(DEC2HEX(X120), 2)))&amp;RIGHT(DEC2HEX(X120), 2)</f>
        <v>75</v>
      </c>
      <c r="Z120" s="119"/>
      <c r="AA120" s="119"/>
      <c r="AB120" s="119"/>
      <c r="AC120" s="119"/>
      <c r="AD120" s="119"/>
      <c r="AE120" s="119"/>
      <c r="AF120" s="119"/>
      <c r="AG120" s="119">
        <v>6000</v>
      </c>
      <c r="AH120" s="119" t="str">
        <f>DEC2HEX(AG120)</f>
        <v>1770</v>
      </c>
      <c r="AJ120" s="64"/>
      <c r="AK120" s="64" t="s">
        <v>2170</v>
      </c>
    </row>
    <row r="121" spans="2:37" ht="16.5" customHeight="1">
      <c r="B121" s="122" t="s">
        <v>1756</v>
      </c>
      <c r="C121" s="122" t="str">
        <f t="shared" si="105"/>
        <v>FF01A014F92AD8</v>
      </c>
      <c r="D121" s="60" t="s">
        <v>24</v>
      </c>
      <c r="E121" s="60" t="s">
        <v>23</v>
      </c>
      <c r="F121" s="60" t="s">
        <v>62</v>
      </c>
      <c r="G121" s="60" t="s">
        <v>1759</v>
      </c>
      <c r="H121" s="60" t="s">
        <v>173</v>
      </c>
      <c r="I121" s="12" t="str">
        <f t="shared" si="89"/>
        <v>D8</v>
      </c>
      <c r="J121" s="12"/>
      <c r="K121" s="12"/>
      <c r="L121" s="12"/>
      <c r="M121" s="12"/>
      <c r="N121" s="12"/>
      <c r="O121" s="12"/>
      <c r="P121" s="12"/>
      <c r="Q121" s="13">
        <f t="shared" si="83"/>
        <v>1</v>
      </c>
      <c r="R121" s="13">
        <f t="shared" si="84"/>
        <v>160</v>
      </c>
      <c r="S121" s="13">
        <f t="shared" si="85"/>
        <v>20</v>
      </c>
      <c r="T121" s="13">
        <f t="shared" si="86"/>
        <v>249</v>
      </c>
      <c r="U121" s="13">
        <f t="shared" si="90"/>
        <v>42</v>
      </c>
      <c r="V121" s="13">
        <f t="shared" si="96"/>
        <v>472</v>
      </c>
      <c r="W121" s="13" t="str">
        <f t="shared" si="97"/>
        <v>D8</v>
      </c>
      <c r="X121" s="13">
        <f t="shared" si="98"/>
        <v>943</v>
      </c>
      <c r="Y121" s="13" t="str">
        <f t="shared" si="99"/>
        <v>AF</v>
      </c>
      <c r="Z121" s="119"/>
      <c r="AA121" s="119"/>
      <c r="AB121" s="119"/>
      <c r="AC121" s="119"/>
      <c r="AD121" s="119"/>
      <c r="AE121" s="119"/>
      <c r="AF121" s="119"/>
      <c r="AG121" s="119">
        <v>-1750</v>
      </c>
      <c r="AH121" s="119"/>
      <c r="AI121" s="119" t="str">
        <f>TEXT(DEC2HEX(65536 + AG121), "0000")</f>
        <v>F92A</v>
      </c>
      <c r="AJ121" s="64"/>
      <c r="AK121" s="64" t="s">
        <v>2171</v>
      </c>
    </row>
    <row r="122" spans="2:37" ht="16.5" customHeight="1">
      <c r="B122" s="122" t="s">
        <v>1757</v>
      </c>
      <c r="C122" s="122" t="str">
        <f t="shared" si="105"/>
        <v>FF01A014F254FB</v>
      </c>
      <c r="D122" s="60" t="s">
        <v>24</v>
      </c>
      <c r="E122" s="60" t="s">
        <v>23</v>
      </c>
      <c r="F122" s="60" t="s">
        <v>62</v>
      </c>
      <c r="G122" s="60" t="s">
        <v>1760</v>
      </c>
      <c r="H122" s="60" t="s">
        <v>1386</v>
      </c>
      <c r="I122" s="12" t="str">
        <f t="shared" ref="I122:I124" si="126">W122</f>
        <v>FB</v>
      </c>
      <c r="J122" s="12"/>
      <c r="K122" s="12"/>
      <c r="L122" s="12"/>
      <c r="M122" s="12"/>
      <c r="N122" s="12"/>
      <c r="O122" s="12"/>
      <c r="P122" s="12"/>
      <c r="Q122" s="13">
        <f t="shared" si="83"/>
        <v>1</v>
      </c>
      <c r="R122" s="13">
        <f t="shared" si="84"/>
        <v>160</v>
      </c>
      <c r="S122" s="13">
        <f t="shared" si="85"/>
        <v>20</v>
      </c>
      <c r="T122" s="13">
        <f t="shared" si="86"/>
        <v>242</v>
      </c>
      <c r="U122" s="13">
        <f t="shared" si="90"/>
        <v>84</v>
      </c>
      <c r="V122" s="13">
        <f t="shared" ref="V122:V124" si="127">SUM(Q122:U122)</f>
        <v>507</v>
      </c>
      <c r="W122" s="13" t="str">
        <f t="shared" ref="W122:W124" si="128">REPT("0",2-LEN(RIGHT(DEC2HEX(V122), 2)))&amp;RIGHT(DEC2HEX(V122), 2)</f>
        <v>FB</v>
      </c>
      <c r="X122" s="13">
        <f t="shared" ref="X122:X124" si="129">SUM(R122:W122)</f>
        <v>1013</v>
      </c>
      <c r="Y122" s="13" t="str">
        <f t="shared" ref="Y122:Y124" si="130">REPT("0",2-LEN(RIGHT(DEC2HEX(X122), 2)))&amp;RIGHT(DEC2HEX(X122), 2)</f>
        <v>F5</v>
      </c>
      <c r="Z122" s="119"/>
      <c r="AA122" s="119"/>
      <c r="AB122" s="119"/>
      <c r="AC122" s="119"/>
      <c r="AD122" s="119"/>
      <c r="AE122" s="119"/>
      <c r="AF122" s="119"/>
      <c r="AG122" s="119">
        <v>-3500</v>
      </c>
      <c r="AH122" s="119"/>
      <c r="AI122" s="119" t="str">
        <f>TEXT(DEC2HEX(65536 + AG122), "0000")</f>
        <v>F254</v>
      </c>
      <c r="AJ122" s="64"/>
      <c r="AK122" s="64" t="s">
        <v>2172</v>
      </c>
    </row>
    <row r="123" spans="2:37" ht="16.5" customHeight="1">
      <c r="B123" s="122" t="s">
        <v>1758</v>
      </c>
      <c r="C123" s="122" t="str">
        <f t="shared" si="105"/>
        <v>FF01A014EB7E1E</v>
      </c>
      <c r="D123" s="60" t="s">
        <v>24</v>
      </c>
      <c r="E123" s="60" t="s">
        <v>23</v>
      </c>
      <c r="F123" s="60" t="s">
        <v>62</v>
      </c>
      <c r="G123" s="60" t="s">
        <v>1761</v>
      </c>
      <c r="H123" s="60" t="s">
        <v>1762</v>
      </c>
      <c r="I123" s="12" t="str">
        <f t="shared" si="126"/>
        <v>1E</v>
      </c>
      <c r="J123" s="12"/>
      <c r="K123" s="12"/>
      <c r="L123" s="12"/>
      <c r="M123" s="12"/>
      <c r="N123" s="12"/>
      <c r="O123" s="12"/>
      <c r="P123" s="12"/>
      <c r="Q123" s="13">
        <f t="shared" si="83"/>
        <v>1</v>
      </c>
      <c r="R123" s="13">
        <f t="shared" si="84"/>
        <v>160</v>
      </c>
      <c r="S123" s="13">
        <f t="shared" si="85"/>
        <v>20</v>
      </c>
      <c r="T123" s="13">
        <f t="shared" si="86"/>
        <v>235</v>
      </c>
      <c r="U123" s="13">
        <f t="shared" si="90"/>
        <v>126</v>
      </c>
      <c r="V123" s="13">
        <f t="shared" si="127"/>
        <v>542</v>
      </c>
      <c r="W123" s="13" t="str">
        <f t="shared" si="128"/>
        <v>1E</v>
      </c>
      <c r="X123" s="13">
        <f t="shared" si="129"/>
        <v>1083</v>
      </c>
      <c r="Y123" s="13" t="str">
        <f t="shared" si="130"/>
        <v>3B</v>
      </c>
      <c r="Z123" s="119"/>
      <c r="AA123" s="119"/>
      <c r="AB123" s="119"/>
      <c r="AC123" s="119"/>
      <c r="AD123" s="119"/>
      <c r="AE123" s="119"/>
      <c r="AF123" s="119"/>
      <c r="AG123" s="119">
        <v>-5250</v>
      </c>
      <c r="AH123" s="119"/>
      <c r="AI123" s="119" t="str">
        <f>TEXT(DEC2HEX(65536 + AG123), "0000")</f>
        <v>EB7E</v>
      </c>
      <c r="AJ123" s="64"/>
      <c r="AK123" s="64" t="s">
        <v>2173</v>
      </c>
    </row>
    <row r="124" spans="2:37" ht="16.5" customHeight="1">
      <c r="B124" s="122" t="s">
        <v>1752</v>
      </c>
      <c r="C124" s="122" t="str">
        <f t="shared" si="105"/>
        <v>FF01A014E4A841</v>
      </c>
      <c r="D124" s="60" t="s">
        <v>24</v>
      </c>
      <c r="E124" s="60" t="s">
        <v>23</v>
      </c>
      <c r="F124" s="60" t="s">
        <v>62</v>
      </c>
      <c r="G124" s="60" t="s">
        <v>1724</v>
      </c>
      <c r="H124" s="60" t="s">
        <v>1725</v>
      </c>
      <c r="I124" s="12" t="str">
        <f t="shared" si="126"/>
        <v>41</v>
      </c>
      <c r="J124" s="12"/>
      <c r="K124" s="12"/>
      <c r="L124" s="12"/>
      <c r="M124" s="12"/>
      <c r="N124" s="12"/>
      <c r="O124" s="12"/>
      <c r="P124" s="12"/>
      <c r="Q124" s="13">
        <f t="shared" si="83"/>
        <v>1</v>
      </c>
      <c r="R124" s="13">
        <f t="shared" si="84"/>
        <v>160</v>
      </c>
      <c r="S124" s="13">
        <f t="shared" si="85"/>
        <v>20</v>
      </c>
      <c r="T124" s="13">
        <f t="shared" si="86"/>
        <v>228</v>
      </c>
      <c r="U124" s="13">
        <f t="shared" si="90"/>
        <v>168</v>
      </c>
      <c r="V124" s="13">
        <f t="shared" si="127"/>
        <v>577</v>
      </c>
      <c r="W124" s="13" t="str">
        <f t="shared" si="128"/>
        <v>41</v>
      </c>
      <c r="X124" s="13">
        <f t="shared" si="129"/>
        <v>1153</v>
      </c>
      <c r="Y124" s="13" t="str">
        <f t="shared" si="130"/>
        <v>81</v>
      </c>
      <c r="Z124" s="119"/>
      <c r="AA124" s="119"/>
      <c r="AB124" s="119"/>
      <c r="AC124" s="119"/>
      <c r="AD124" s="119"/>
      <c r="AE124" s="119"/>
      <c r="AF124" s="119"/>
      <c r="AG124" s="119">
        <v>-7000</v>
      </c>
      <c r="AH124" s="119"/>
      <c r="AI124" s="119" t="str">
        <f>TEXT(DEC2HEX(65536 + AG124), "0000")</f>
        <v>E4A8</v>
      </c>
      <c r="AJ124" s="64"/>
      <c r="AK124" s="64" t="s">
        <v>2174</v>
      </c>
    </row>
    <row r="125" spans="2:37" ht="16.5" customHeight="1">
      <c r="B125" s="122" t="s">
        <v>1763</v>
      </c>
      <c r="C125" s="122" t="str">
        <f t="shared" si="105"/>
        <v>FF01A1200000C2</v>
      </c>
      <c r="D125" s="60" t="s">
        <v>24</v>
      </c>
      <c r="E125" s="60" t="s">
        <v>80</v>
      </c>
      <c r="F125" s="60" t="s">
        <v>133</v>
      </c>
      <c r="G125" s="60" t="s">
        <v>16</v>
      </c>
      <c r="H125" s="60" t="s">
        <v>16</v>
      </c>
      <c r="I125" s="12" t="str">
        <f t="shared" ref="I125:I130" si="131">W125</f>
        <v>C2</v>
      </c>
      <c r="J125" s="12"/>
      <c r="K125" s="12"/>
      <c r="L125" s="12"/>
      <c r="M125" s="12"/>
      <c r="N125" s="12"/>
      <c r="O125" s="12"/>
      <c r="P125" s="12"/>
      <c r="Q125" s="13">
        <f t="shared" si="83"/>
        <v>1</v>
      </c>
      <c r="R125" s="13">
        <f t="shared" si="84"/>
        <v>161</v>
      </c>
      <c r="S125" s="13">
        <f t="shared" si="85"/>
        <v>32</v>
      </c>
      <c r="T125" s="13">
        <f t="shared" si="86"/>
        <v>0</v>
      </c>
      <c r="U125" s="13">
        <f t="shared" si="90"/>
        <v>0</v>
      </c>
      <c r="V125" s="13">
        <f t="shared" ref="V125:V130" si="132">SUM(Q125:U125)</f>
        <v>194</v>
      </c>
      <c r="W125" s="13" t="str">
        <f t="shared" ref="W125:W130" si="133">REPT("0",2-LEN(RIGHT(DEC2HEX(V125), 2)))&amp;RIGHT(DEC2HEX(V125), 2)</f>
        <v>C2</v>
      </c>
      <c r="X125" s="13">
        <f t="shared" ref="X125:X130" si="134">SUM(R125:W125)</f>
        <v>387</v>
      </c>
      <c r="Y125" s="13" t="str">
        <f t="shared" ref="Y125:Y130" si="135">REPT("0",2-LEN(RIGHT(DEC2HEX(X125), 2)))&amp;RIGHT(DEC2HEX(X125), 2)</f>
        <v>83</v>
      </c>
      <c r="Z125" s="119"/>
      <c r="AA125" s="119"/>
      <c r="AB125" s="119"/>
      <c r="AC125" s="119"/>
      <c r="AD125" s="119"/>
      <c r="AE125" s="119"/>
      <c r="AF125" s="119"/>
      <c r="AG125" s="119"/>
      <c r="AH125" s="119"/>
      <c r="AJ125" s="64"/>
      <c r="AK125" s="64" t="s">
        <v>227</v>
      </c>
    </row>
    <row r="126" spans="2:37" ht="16.5" customHeight="1">
      <c r="B126" s="122" t="s">
        <v>1765</v>
      </c>
      <c r="C126" s="122" t="str">
        <f t="shared" si="105"/>
        <v>FF01A0210000C2</v>
      </c>
      <c r="D126" s="60" t="s">
        <v>24</v>
      </c>
      <c r="E126" s="60" t="s">
        <v>23</v>
      </c>
      <c r="F126" s="60" t="s">
        <v>18</v>
      </c>
      <c r="G126" s="60" t="s">
        <v>16</v>
      </c>
      <c r="H126" s="60" t="s">
        <v>16</v>
      </c>
      <c r="I126" s="12" t="str">
        <f t="shared" si="131"/>
        <v>C2</v>
      </c>
      <c r="J126" s="12"/>
      <c r="K126" s="12"/>
      <c r="L126" s="12"/>
      <c r="M126" s="12"/>
      <c r="N126" s="12"/>
      <c r="O126" s="12"/>
      <c r="P126" s="12"/>
      <c r="Q126" s="13">
        <f t="shared" si="83"/>
        <v>1</v>
      </c>
      <c r="R126" s="13">
        <f t="shared" si="84"/>
        <v>160</v>
      </c>
      <c r="S126" s="13">
        <f t="shared" si="85"/>
        <v>33</v>
      </c>
      <c r="T126" s="13">
        <f t="shared" si="86"/>
        <v>0</v>
      </c>
      <c r="U126" s="13">
        <f t="shared" si="90"/>
        <v>0</v>
      </c>
      <c r="V126" s="13">
        <f t="shared" si="132"/>
        <v>194</v>
      </c>
      <c r="W126" s="13" t="str">
        <f t="shared" si="133"/>
        <v>C2</v>
      </c>
      <c r="X126" s="13">
        <f t="shared" si="134"/>
        <v>387</v>
      </c>
      <c r="Y126" s="13" t="str">
        <f t="shared" si="135"/>
        <v>83</v>
      </c>
      <c r="Z126" s="119"/>
      <c r="AA126" s="119"/>
      <c r="AB126" s="119"/>
      <c r="AC126" s="119"/>
      <c r="AD126" s="119"/>
      <c r="AE126" s="119"/>
      <c r="AF126" s="119"/>
      <c r="AG126" s="119"/>
      <c r="AH126" s="119"/>
      <c r="AJ126" s="64"/>
      <c r="AK126" s="64" t="s">
        <v>228</v>
      </c>
    </row>
    <row r="127" spans="2:37" ht="16.5" customHeight="1">
      <c r="B127" s="122" t="s">
        <v>1764</v>
      </c>
      <c r="C127" s="122" t="str">
        <f t="shared" si="105"/>
        <v>FF01A0210001C3</v>
      </c>
      <c r="D127" s="60" t="s">
        <v>24</v>
      </c>
      <c r="E127" s="60" t="s">
        <v>23</v>
      </c>
      <c r="F127" s="60" t="s">
        <v>18</v>
      </c>
      <c r="G127" s="60" t="s">
        <v>16</v>
      </c>
      <c r="H127" s="60" t="s">
        <v>24</v>
      </c>
      <c r="I127" s="12" t="str">
        <f t="shared" si="131"/>
        <v>C3</v>
      </c>
      <c r="J127" s="12"/>
      <c r="K127" s="12"/>
      <c r="L127" s="12"/>
      <c r="M127" s="12"/>
      <c r="N127" s="12"/>
      <c r="O127" s="12"/>
      <c r="P127" s="12"/>
      <c r="Q127" s="13">
        <f t="shared" si="83"/>
        <v>1</v>
      </c>
      <c r="R127" s="13">
        <f t="shared" si="84"/>
        <v>160</v>
      </c>
      <c r="S127" s="13">
        <f t="shared" si="85"/>
        <v>33</v>
      </c>
      <c r="T127" s="13">
        <f t="shared" si="86"/>
        <v>0</v>
      </c>
      <c r="U127" s="13">
        <f t="shared" si="90"/>
        <v>1</v>
      </c>
      <c r="V127" s="13">
        <f t="shared" si="132"/>
        <v>195</v>
      </c>
      <c r="W127" s="13" t="str">
        <f t="shared" si="133"/>
        <v>C3</v>
      </c>
      <c r="X127" s="13">
        <f t="shared" si="134"/>
        <v>389</v>
      </c>
      <c r="Y127" s="13" t="str">
        <f t="shared" si="135"/>
        <v>85</v>
      </c>
      <c r="Z127" s="119"/>
      <c r="AA127" s="119"/>
      <c r="AB127" s="119"/>
      <c r="AC127" s="119"/>
      <c r="AD127" s="119"/>
      <c r="AE127" s="119"/>
      <c r="AF127" s="119"/>
      <c r="AG127" s="119"/>
      <c r="AH127" s="119"/>
      <c r="AJ127" s="64"/>
      <c r="AK127" s="64" t="s">
        <v>229</v>
      </c>
    </row>
    <row r="128" spans="2:37" ht="16.5" customHeight="1">
      <c r="B128" s="122" t="s">
        <v>2067</v>
      </c>
      <c r="C128" s="122" t="str">
        <f t="shared" ref="C128:C129" si="136">"FF"&amp;D128&amp;E128&amp;""&amp;F128&amp;G128&amp;H128&amp;I128</f>
        <v>FF03A0210000C4</v>
      </c>
      <c r="D128" s="60" t="s">
        <v>91</v>
      </c>
      <c r="E128" s="60" t="s">
        <v>23</v>
      </c>
      <c r="F128" s="60" t="s">
        <v>18</v>
      </c>
      <c r="G128" s="60" t="s">
        <v>16</v>
      </c>
      <c r="H128" s="60" t="s">
        <v>16</v>
      </c>
      <c r="I128" s="12" t="str">
        <f t="shared" ref="I128:I129" si="137">W128</f>
        <v>C4</v>
      </c>
      <c r="J128" s="12"/>
      <c r="K128" s="12"/>
      <c r="L128" s="12"/>
      <c r="M128" s="12"/>
      <c r="N128" s="12"/>
      <c r="O128" s="12"/>
      <c r="P128" s="12"/>
      <c r="Q128" s="13">
        <f t="shared" ref="Q128:Q129" si="138">HEX2DEC(D128)</f>
        <v>3</v>
      </c>
      <c r="R128" s="13">
        <f t="shared" ref="R128:R129" si="139">HEX2DEC(E128)</f>
        <v>160</v>
      </c>
      <c r="S128" s="13">
        <f t="shared" ref="S128:S129" si="140">HEX2DEC(F128)</f>
        <v>33</v>
      </c>
      <c r="T128" s="13">
        <f t="shared" ref="T128:T129" si="141">HEX2DEC(G128)</f>
        <v>0</v>
      </c>
      <c r="U128" s="13">
        <f t="shared" ref="U128:U129" si="142">HEX2DEC(H128)</f>
        <v>0</v>
      </c>
      <c r="V128" s="13">
        <f t="shared" ref="V128:V129" si="143">SUM(Q128:U128)</f>
        <v>196</v>
      </c>
      <c r="W128" s="13" t="str">
        <f t="shared" ref="W128:W129" si="144">REPT("0",2-LEN(RIGHT(DEC2HEX(V128), 2)))&amp;RIGHT(DEC2HEX(V128), 2)</f>
        <v>C4</v>
      </c>
      <c r="X128" s="13">
        <f t="shared" ref="X128:X129" si="145">SUM(R128:W128)</f>
        <v>389</v>
      </c>
      <c r="Y128" s="13" t="str">
        <f t="shared" ref="Y128:Y129" si="146">REPT("0",2-LEN(RIGHT(DEC2HEX(X128), 2)))&amp;RIGHT(DEC2HEX(X128), 2)</f>
        <v>85</v>
      </c>
      <c r="Z128" s="119"/>
      <c r="AA128" s="119"/>
      <c r="AB128" s="119"/>
      <c r="AC128" s="119"/>
      <c r="AD128" s="119"/>
      <c r="AE128" s="119"/>
      <c r="AF128" s="119"/>
      <c r="AG128" s="119"/>
      <c r="AH128" s="119"/>
      <c r="AJ128" s="64"/>
      <c r="AK128" s="64" t="s">
        <v>2175</v>
      </c>
    </row>
    <row r="129" spans="2:37" ht="16.5" customHeight="1">
      <c r="B129" s="122" t="s">
        <v>2068</v>
      </c>
      <c r="C129" s="122" t="str">
        <f t="shared" si="136"/>
        <v>FF03A0210001C5</v>
      </c>
      <c r="D129" s="60" t="s">
        <v>91</v>
      </c>
      <c r="E129" s="60" t="s">
        <v>23</v>
      </c>
      <c r="F129" s="60" t="s">
        <v>18</v>
      </c>
      <c r="G129" s="60" t="s">
        <v>16</v>
      </c>
      <c r="H129" s="60" t="s">
        <v>24</v>
      </c>
      <c r="I129" s="12" t="str">
        <f t="shared" si="137"/>
        <v>C5</v>
      </c>
      <c r="J129" s="12"/>
      <c r="K129" s="12"/>
      <c r="L129" s="12"/>
      <c r="M129" s="12"/>
      <c r="N129" s="12"/>
      <c r="O129" s="12"/>
      <c r="P129" s="12"/>
      <c r="Q129" s="13">
        <f t="shared" si="138"/>
        <v>3</v>
      </c>
      <c r="R129" s="13">
        <f t="shared" si="139"/>
        <v>160</v>
      </c>
      <c r="S129" s="13">
        <f t="shared" si="140"/>
        <v>33</v>
      </c>
      <c r="T129" s="13">
        <f t="shared" si="141"/>
        <v>0</v>
      </c>
      <c r="U129" s="13">
        <f t="shared" si="142"/>
        <v>1</v>
      </c>
      <c r="V129" s="13">
        <f t="shared" si="143"/>
        <v>197</v>
      </c>
      <c r="W129" s="13" t="str">
        <f t="shared" si="144"/>
        <v>C5</v>
      </c>
      <c r="X129" s="13">
        <f t="shared" si="145"/>
        <v>391</v>
      </c>
      <c r="Y129" s="13" t="str">
        <f t="shared" si="146"/>
        <v>87</v>
      </c>
      <c r="Z129" s="119"/>
      <c r="AA129" s="119"/>
      <c r="AB129" s="119"/>
      <c r="AC129" s="119"/>
      <c r="AD129" s="119"/>
      <c r="AE129" s="119"/>
      <c r="AF129" s="119"/>
      <c r="AG129" s="119"/>
      <c r="AH129" s="119"/>
      <c r="AJ129" s="64"/>
      <c r="AK129" s="64" t="s">
        <v>2176</v>
      </c>
    </row>
    <row r="130" spans="2:37" ht="15" customHeight="1">
      <c r="B130" s="122" t="s">
        <v>1766</v>
      </c>
      <c r="C130" s="122" t="str">
        <f t="shared" si="105"/>
        <v>FF01A0220000C3</v>
      </c>
      <c r="D130" s="60" t="s">
        <v>24</v>
      </c>
      <c r="E130" s="60" t="s">
        <v>23</v>
      </c>
      <c r="F130" s="60" t="s">
        <v>49</v>
      </c>
      <c r="G130" s="60" t="s">
        <v>16</v>
      </c>
      <c r="H130" s="60" t="s">
        <v>16</v>
      </c>
      <c r="I130" s="12" t="str">
        <f t="shared" si="131"/>
        <v>C3</v>
      </c>
      <c r="J130" s="12"/>
      <c r="K130" s="12"/>
      <c r="L130" s="12"/>
      <c r="M130" s="12"/>
      <c r="N130" s="12"/>
      <c r="O130" s="12"/>
      <c r="P130" s="12"/>
      <c r="Q130" s="13">
        <f t="shared" si="83"/>
        <v>1</v>
      </c>
      <c r="R130" s="13">
        <f t="shared" si="84"/>
        <v>160</v>
      </c>
      <c r="S130" s="13">
        <f t="shared" si="85"/>
        <v>34</v>
      </c>
      <c r="T130" s="13">
        <f t="shared" si="86"/>
        <v>0</v>
      </c>
      <c r="U130" s="13">
        <f t="shared" si="90"/>
        <v>0</v>
      </c>
      <c r="V130" s="13">
        <f t="shared" si="132"/>
        <v>195</v>
      </c>
      <c r="W130" s="13" t="str">
        <f t="shared" si="133"/>
        <v>C3</v>
      </c>
      <c r="X130" s="13">
        <f t="shared" si="134"/>
        <v>389</v>
      </c>
      <c r="Y130" s="13" t="str">
        <f t="shared" si="135"/>
        <v>85</v>
      </c>
      <c r="Z130" s="119"/>
      <c r="AA130" s="119"/>
      <c r="AB130" s="119"/>
      <c r="AC130" s="119"/>
      <c r="AD130" s="119"/>
      <c r="AE130" s="119"/>
      <c r="AF130" s="119"/>
      <c r="AG130" s="119"/>
      <c r="AH130" s="119"/>
      <c r="AJ130" s="64"/>
      <c r="AK130" s="64" t="s">
        <v>230</v>
      </c>
    </row>
    <row r="131" spans="2:37" ht="16.5" customHeight="1">
      <c r="B131" s="122" t="s">
        <v>1767</v>
      </c>
      <c r="C131" s="122" t="str">
        <f t="shared" si="105"/>
        <v>FF01A0220001C4</v>
      </c>
      <c r="D131" s="60" t="s">
        <v>24</v>
      </c>
      <c r="E131" s="60" t="s">
        <v>23</v>
      </c>
      <c r="F131" s="60" t="s">
        <v>49</v>
      </c>
      <c r="G131" s="60" t="s">
        <v>16</v>
      </c>
      <c r="H131" s="60" t="s">
        <v>24</v>
      </c>
      <c r="I131" s="12" t="str">
        <f t="shared" ref="I131:I140" si="147">W131</f>
        <v>C4</v>
      </c>
      <c r="J131" s="12"/>
      <c r="K131" s="12"/>
      <c r="L131" s="12"/>
      <c r="M131" s="12"/>
      <c r="N131" s="12"/>
      <c r="O131" s="12"/>
      <c r="P131" s="12"/>
      <c r="Q131" s="13">
        <f t="shared" si="83"/>
        <v>1</v>
      </c>
      <c r="R131" s="13">
        <f t="shared" si="84"/>
        <v>160</v>
      </c>
      <c r="S131" s="13">
        <f t="shared" si="85"/>
        <v>34</v>
      </c>
      <c r="T131" s="13">
        <f t="shared" si="86"/>
        <v>0</v>
      </c>
      <c r="U131" s="13">
        <f t="shared" si="90"/>
        <v>1</v>
      </c>
      <c r="V131" s="13">
        <f t="shared" ref="V131:V140" si="148">SUM(Q131:U131)</f>
        <v>196</v>
      </c>
      <c r="W131" s="13" t="str">
        <f t="shared" ref="W131:W140" si="149">REPT("0",2-LEN(RIGHT(DEC2HEX(V131), 2)))&amp;RIGHT(DEC2HEX(V131), 2)</f>
        <v>C4</v>
      </c>
      <c r="X131" s="13">
        <f t="shared" ref="X131:X140" si="150">SUM(R131:W131)</f>
        <v>391</v>
      </c>
      <c r="Y131" s="13" t="str">
        <f t="shared" ref="Y131:Y140" si="151">REPT("0",2-LEN(RIGHT(DEC2HEX(X131), 2)))&amp;RIGHT(DEC2HEX(X131), 2)</f>
        <v>87</v>
      </c>
      <c r="Z131" s="119"/>
      <c r="AA131" s="119"/>
      <c r="AB131" s="119"/>
      <c r="AC131" s="119"/>
      <c r="AD131" s="119"/>
      <c r="AE131" s="119"/>
      <c r="AF131" s="119"/>
      <c r="AG131" s="119"/>
      <c r="AH131" s="119"/>
      <c r="AJ131" s="64"/>
      <c r="AK131" s="64" t="s">
        <v>231</v>
      </c>
    </row>
    <row r="132" spans="2:37" ht="16.5" customHeight="1">
      <c r="B132" s="122" t="s">
        <v>2074</v>
      </c>
      <c r="C132" s="122" t="str">
        <f t="shared" si="105"/>
        <v>FF02A0230000C5</v>
      </c>
      <c r="D132" s="60" t="s">
        <v>17</v>
      </c>
      <c r="E132" s="60" t="s">
        <v>23</v>
      </c>
      <c r="F132" s="60" t="s">
        <v>1692</v>
      </c>
      <c r="G132" s="60" t="s">
        <v>16</v>
      </c>
      <c r="H132" s="60" t="s">
        <v>16</v>
      </c>
      <c r="I132" s="12" t="str">
        <f t="shared" si="147"/>
        <v>C5</v>
      </c>
      <c r="J132" s="12"/>
      <c r="K132" s="12"/>
      <c r="L132" s="12"/>
      <c r="M132" s="12"/>
      <c r="N132" s="12"/>
      <c r="O132" s="12"/>
      <c r="P132" s="12"/>
      <c r="Q132" s="13">
        <f t="shared" si="83"/>
        <v>2</v>
      </c>
      <c r="R132" s="13">
        <f t="shared" si="84"/>
        <v>160</v>
      </c>
      <c r="S132" s="13">
        <f t="shared" si="85"/>
        <v>35</v>
      </c>
      <c r="T132" s="13">
        <f t="shared" si="86"/>
        <v>0</v>
      </c>
      <c r="U132" s="13">
        <f t="shared" si="90"/>
        <v>0</v>
      </c>
      <c r="V132" s="13">
        <f t="shared" si="148"/>
        <v>197</v>
      </c>
      <c r="W132" s="13" t="str">
        <f t="shared" si="149"/>
        <v>C5</v>
      </c>
      <c r="X132" s="13">
        <f t="shared" si="150"/>
        <v>392</v>
      </c>
      <c r="Y132" s="13" t="str">
        <f t="shared" si="151"/>
        <v>88</v>
      </c>
      <c r="Z132" s="119"/>
      <c r="AA132" s="119"/>
      <c r="AB132" s="119"/>
      <c r="AC132" s="119"/>
      <c r="AD132" s="119"/>
      <c r="AE132" s="119"/>
      <c r="AF132" s="119"/>
      <c r="AG132" s="119"/>
      <c r="AH132" s="119"/>
      <c r="AJ132" s="64"/>
      <c r="AK132" s="64" t="s">
        <v>2177</v>
      </c>
    </row>
    <row r="133" spans="2:37" ht="16.5" customHeight="1">
      <c r="B133" s="122" t="s">
        <v>2075</v>
      </c>
      <c r="C133" s="122" t="str">
        <f t="shared" si="105"/>
        <v>FF02A0230001C6</v>
      </c>
      <c r="D133" s="60" t="s">
        <v>17</v>
      </c>
      <c r="E133" s="60" t="s">
        <v>23</v>
      </c>
      <c r="F133" s="60" t="s">
        <v>1692</v>
      </c>
      <c r="G133" s="60" t="s">
        <v>16</v>
      </c>
      <c r="H133" s="60" t="s">
        <v>24</v>
      </c>
      <c r="I133" s="12" t="str">
        <f t="shared" si="147"/>
        <v>C6</v>
      </c>
      <c r="J133" s="12"/>
      <c r="K133" s="12"/>
      <c r="L133" s="12"/>
      <c r="M133" s="12"/>
      <c r="N133" s="12"/>
      <c r="O133" s="12"/>
      <c r="P133" s="12"/>
      <c r="Q133" s="13">
        <f t="shared" si="83"/>
        <v>2</v>
      </c>
      <c r="R133" s="13">
        <f t="shared" si="84"/>
        <v>160</v>
      </c>
      <c r="S133" s="13">
        <f t="shared" si="85"/>
        <v>35</v>
      </c>
      <c r="T133" s="13">
        <f t="shared" si="86"/>
        <v>0</v>
      </c>
      <c r="U133" s="13">
        <f t="shared" si="90"/>
        <v>1</v>
      </c>
      <c r="V133" s="13">
        <f t="shared" si="148"/>
        <v>198</v>
      </c>
      <c r="W133" s="13" t="str">
        <f t="shared" si="149"/>
        <v>C6</v>
      </c>
      <c r="X133" s="13">
        <f t="shared" si="150"/>
        <v>394</v>
      </c>
      <c r="Y133" s="13" t="str">
        <f t="shared" si="151"/>
        <v>8A</v>
      </c>
      <c r="Z133" s="119"/>
      <c r="AA133" s="119"/>
      <c r="AB133" s="119"/>
      <c r="AC133" s="119"/>
      <c r="AD133" s="119"/>
      <c r="AE133" s="119"/>
      <c r="AF133" s="119"/>
      <c r="AG133" s="119"/>
      <c r="AH133" s="119"/>
      <c r="AJ133" s="64"/>
      <c r="AK133" s="64" t="s">
        <v>2178</v>
      </c>
    </row>
    <row r="134" spans="2:37" ht="16.5" customHeight="1">
      <c r="B134" s="122" t="s">
        <v>2069</v>
      </c>
      <c r="C134" s="122" t="str">
        <f t="shared" si="105"/>
        <v>FF02A0240000C6</v>
      </c>
      <c r="D134" s="60" t="s">
        <v>17</v>
      </c>
      <c r="E134" s="60" t="s">
        <v>23</v>
      </c>
      <c r="F134" s="60" t="s">
        <v>1768</v>
      </c>
      <c r="G134" s="60" t="s">
        <v>16</v>
      </c>
      <c r="H134" s="60" t="s">
        <v>16</v>
      </c>
      <c r="I134" s="12" t="str">
        <f t="shared" si="147"/>
        <v>C6</v>
      </c>
      <c r="J134" s="12"/>
      <c r="K134" s="12"/>
      <c r="L134" s="12"/>
      <c r="M134" s="12"/>
      <c r="N134" s="12"/>
      <c r="O134" s="12"/>
      <c r="P134" s="12"/>
      <c r="Q134" s="13">
        <f t="shared" si="83"/>
        <v>2</v>
      </c>
      <c r="R134" s="13">
        <f t="shared" si="84"/>
        <v>160</v>
      </c>
      <c r="S134" s="13">
        <f t="shared" si="85"/>
        <v>36</v>
      </c>
      <c r="T134" s="13">
        <f t="shared" si="86"/>
        <v>0</v>
      </c>
      <c r="U134" s="13">
        <f t="shared" si="90"/>
        <v>0</v>
      </c>
      <c r="V134" s="13">
        <f t="shared" si="148"/>
        <v>198</v>
      </c>
      <c r="W134" s="13" t="str">
        <f t="shared" si="149"/>
        <v>C6</v>
      </c>
      <c r="X134" s="13">
        <f t="shared" si="150"/>
        <v>394</v>
      </c>
      <c r="Y134" s="13" t="str">
        <f t="shared" si="151"/>
        <v>8A</v>
      </c>
      <c r="Z134" s="119"/>
      <c r="AA134" s="119"/>
      <c r="AB134" s="119"/>
      <c r="AC134" s="119"/>
      <c r="AD134" s="119"/>
      <c r="AE134" s="119"/>
      <c r="AF134" s="119"/>
      <c r="AG134" s="119"/>
      <c r="AH134" s="119"/>
      <c r="AJ134" s="64"/>
      <c r="AK134" s="64" t="s">
        <v>2179</v>
      </c>
    </row>
    <row r="135" spans="2:37" ht="16.5" customHeight="1">
      <c r="B135" s="122" t="s">
        <v>2070</v>
      </c>
      <c r="C135" s="122" t="str">
        <f t="shared" si="105"/>
        <v>FF02A0240001C7</v>
      </c>
      <c r="D135" s="60" t="s">
        <v>17</v>
      </c>
      <c r="E135" s="60" t="s">
        <v>23</v>
      </c>
      <c r="F135" s="60" t="s">
        <v>1768</v>
      </c>
      <c r="G135" s="60" t="s">
        <v>16</v>
      </c>
      <c r="H135" s="60" t="s">
        <v>24</v>
      </c>
      <c r="I135" s="12" t="str">
        <f t="shared" si="147"/>
        <v>C7</v>
      </c>
      <c r="J135" s="12"/>
      <c r="K135" s="12"/>
      <c r="L135" s="12"/>
      <c r="M135" s="12"/>
      <c r="N135" s="12"/>
      <c r="O135" s="12"/>
      <c r="P135" s="12"/>
      <c r="Q135" s="13">
        <f t="shared" si="83"/>
        <v>2</v>
      </c>
      <c r="R135" s="13">
        <f t="shared" si="84"/>
        <v>160</v>
      </c>
      <c r="S135" s="13">
        <f t="shared" si="85"/>
        <v>36</v>
      </c>
      <c r="T135" s="13">
        <f t="shared" si="86"/>
        <v>0</v>
      </c>
      <c r="U135" s="13">
        <f t="shared" si="90"/>
        <v>1</v>
      </c>
      <c r="V135" s="13">
        <f t="shared" si="148"/>
        <v>199</v>
      </c>
      <c r="W135" s="13" t="str">
        <f t="shared" si="149"/>
        <v>C7</v>
      </c>
      <c r="X135" s="13">
        <f t="shared" si="150"/>
        <v>396</v>
      </c>
      <c r="Y135" s="13" t="str">
        <f t="shared" si="151"/>
        <v>8C</v>
      </c>
      <c r="Z135" s="119"/>
      <c r="AA135" s="119"/>
      <c r="AB135" s="119"/>
      <c r="AC135" s="119"/>
      <c r="AD135" s="119"/>
      <c r="AE135" s="119"/>
      <c r="AF135" s="119"/>
      <c r="AG135" s="119"/>
      <c r="AH135" s="119"/>
      <c r="AJ135" s="64"/>
      <c r="AK135" s="64" t="s">
        <v>2180</v>
      </c>
    </row>
    <row r="136" spans="2:37" ht="16.5" customHeight="1">
      <c r="B136" s="122" t="s">
        <v>2071</v>
      </c>
      <c r="C136" s="122" t="str">
        <f t="shared" si="105"/>
        <v>FF02A0240002C8</v>
      </c>
      <c r="D136" s="60" t="s">
        <v>17</v>
      </c>
      <c r="E136" s="60" t="s">
        <v>23</v>
      </c>
      <c r="F136" s="60" t="s">
        <v>1768</v>
      </c>
      <c r="G136" s="60" t="s">
        <v>16</v>
      </c>
      <c r="H136" s="60" t="s">
        <v>17</v>
      </c>
      <c r="I136" s="12" t="str">
        <f t="shared" si="147"/>
        <v>C8</v>
      </c>
      <c r="J136" s="12"/>
      <c r="K136" s="12"/>
      <c r="L136" s="12"/>
      <c r="M136" s="12"/>
      <c r="N136" s="12"/>
      <c r="O136" s="12"/>
      <c r="P136" s="12"/>
      <c r="Q136" s="13">
        <f t="shared" si="83"/>
        <v>2</v>
      </c>
      <c r="R136" s="13">
        <f t="shared" si="84"/>
        <v>160</v>
      </c>
      <c r="S136" s="13">
        <f t="shared" si="85"/>
        <v>36</v>
      </c>
      <c r="T136" s="13">
        <f t="shared" si="86"/>
        <v>0</v>
      </c>
      <c r="U136" s="13">
        <f t="shared" si="90"/>
        <v>2</v>
      </c>
      <c r="V136" s="13">
        <f t="shared" si="148"/>
        <v>200</v>
      </c>
      <c r="W136" s="13" t="str">
        <f t="shared" si="149"/>
        <v>C8</v>
      </c>
      <c r="X136" s="13">
        <f t="shared" si="150"/>
        <v>398</v>
      </c>
      <c r="Y136" s="13" t="str">
        <f t="shared" si="151"/>
        <v>8E</v>
      </c>
      <c r="Z136" s="119"/>
      <c r="AA136" s="119"/>
      <c r="AB136" s="119"/>
      <c r="AC136" s="119"/>
      <c r="AD136" s="119"/>
      <c r="AE136" s="119"/>
      <c r="AF136" s="119"/>
      <c r="AG136" s="119"/>
      <c r="AH136" s="119"/>
      <c r="AJ136" s="64"/>
      <c r="AK136" s="64" t="s">
        <v>2181</v>
      </c>
    </row>
    <row r="137" spans="2:37" ht="16.5" customHeight="1">
      <c r="B137" s="122" t="s">
        <v>2072</v>
      </c>
      <c r="C137" s="122" t="str">
        <f t="shared" si="105"/>
        <v>FF02A0240003C9</v>
      </c>
      <c r="D137" s="60" t="s">
        <v>17</v>
      </c>
      <c r="E137" s="60" t="s">
        <v>23</v>
      </c>
      <c r="F137" s="60" t="s">
        <v>1768</v>
      </c>
      <c r="G137" s="60" t="s">
        <v>16</v>
      </c>
      <c r="H137" s="60" t="s">
        <v>91</v>
      </c>
      <c r="I137" s="12" t="str">
        <f t="shared" si="147"/>
        <v>C9</v>
      </c>
      <c r="J137" s="12"/>
      <c r="K137" s="12"/>
      <c r="L137" s="12"/>
      <c r="M137" s="12"/>
      <c r="N137" s="12"/>
      <c r="O137" s="12"/>
      <c r="P137" s="12"/>
      <c r="Q137" s="13">
        <f t="shared" si="83"/>
        <v>2</v>
      </c>
      <c r="R137" s="13">
        <f t="shared" si="84"/>
        <v>160</v>
      </c>
      <c r="S137" s="13">
        <f t="shared" si="85"/>
        <v>36</v>
      </c>
      <c r="T137" s="13">
        <f t="shared" si="86"/>
        <v>0</v>
      </c>
      <c r="U137" s="13">
        <f t="shared" si="90"/>
        <v>3</v>
      </c>
      <c r="V137" s="13">
        <f t="shared" si="148"/>
        <v>201</v>
      </c>
      <c r="W137" s="13" t="str">
        <f t="shared" si="149"/>
        <v>C9</v>
      </c>
      <c r="X137" s="13">
        <f t="shared" si="150"/>
        <v>400</v>
      </c>
      <c r="Y137" s="13" t="str">
        <f t="shared" si="151"/>
        <v>90</v>
      </c>
      <c r="Z137" s="119"/>
      <c r="AA137" s="119"/>
      <c r="AB137" s="119"/>
      <c r="AC137" s="119"/>
      <c r="AD137" s="119"/>
      <c r="AE137" s="119"/>
      <c r="AF137" s="119"/>
      <c r="AG137" s="119"/>
      <c r="AH137" s="119"/>
      <c r="AJ137" s="64"/>
      <c r="AK137" s="64" t="s">
        <v>2182</v>
      </c>
    </row>
    <row r="138" spans="2:37" ht="16.5" customHeight="1">
      <c r="B138" s="122" t="s">
        <v>2073</v>
      </c>
      <c r="C138" s="122" t="str">
        <f t="shared" si="105"/>
        <v>FF02A0240004CA</v>
      </c>
      <c r="D138" s="60" t="s">
        <v>17</v>
      </c>
      <c r="E138" s="60" t="s">
        <v>23</v>
      </c>
      <c r="F138" s="60" t="s">
        <v>1768</v>
      </c>
      <c r="G138" s="60" t="s">
        <v>16</v>
      </c>
      <c r="H138" s="60" t="s">
        <v>67</v>
      </c>
      <c r="I138" s="12" t="str">
        <f t="shared" si="147"/>
        <v>CA</v>
      </c>
      <c r="J138" s="12"/>
      <c r="K138" s="12"/>
      <c r="L138" s="12"/>
      <c r="M138" s="12"/>
      <c r="N138" s="12"/>
      <c r="O138" s="12"/>
      <c r="P138" s="12"/>
      <c r="Q138" s="13">
        <f t="shared" si="83"/>
        <v>2</v>
      </c>
      <c r="R138" s="13">
        <f t="shared" si="84"/>
        <v>160</v>
      </c>
      <c r="S138" s="13">
        <f t="shared" si="85"/>
        <v>36</v>
      </c>
      <c r="T138" s="13">
        <f t="shared" si="86"/>
        <v>0</v>
      </c>
      <c r="U138" s="13">
        <f t="shared" si="90"/>
        <v>4</v>
      </c>
      <c r="V138" s="13">
        <f t="shared" si="148"/>
        <v>202</v>
      </c>
      <c r="W138" s="13" t="str">
        <f t="shared" si="149"/>
        <v>CA</v>
      </c>
      <c r="X138" s="13">
        <f t="shared" si="150"/>
        <v>402</v>
      </c>
      <c r="Y138" s="13" t="str">
        <f t="shared" si="151"/>
        <v>92</v>
      </c>
      <c r="Z138" s="119"/>
      <c r="AA138" s="119"/>
      <c r="AB138" s="119"/>
      <c r="AC138" s="119"/>
      <c r="AD138" s="119"/>
      <c r="AE138" s="119"/>
      <c r="AF138" s="119"/>
      <c r="AG138" s="119"/>
      <c r="AH138" s="119"/>
      <c r="AJ138" s="64"/>
      <c r="AK138" s="64" t="s">
        <v>2183</v>
      </c>
    </row>
    <row r="139" spans="2:37" ht="16.5" customHeight="1">
      <c r="B139" s="122" t="s">
        <v>1200</v>
      </c>
      <c r="C139" s="122" t="str">
        <f t="shared" si="105"/>
        <v>FF02A0250000C7</v>
      </c>
      <c r="D139" s="60" t="s">
        <v>17</v>
      </c>
      <c r="E139" s="60" t="s">
        <v>23</v>
      </c>
      <c r="F139" s="60" t="s">
        <v>51</v>
      </c>
      <c r="G139" s="60" t="s">
        <v>16</v>
      </c>
      <c r="H139" s="60" t="s">
        <v>16</v>
      </c>
      <c r="I139" s="12" t="str">
        <f t="shared" si="147"/>
        <v>C7</v>
      </c>
      <c r="J139" s="12"/>
      <c r="K139" s="12"/>
      <c r="L139" s="12"/>
      <c r="M139" s="12"/>
      <c r="N139" s="12"/>
      <c r="O139" s="12"/>
      <c r="P139" s="12"/>
      <c r="Q139" s="13">
        <f t="shared" si="83"/>
        <v>2</v>
      </c>
      <c r="R139" s="13">
        <f t="shared" si="84"/>
        <v>160</v>
      </c>
      <c r="S139" s="13">
        <f t="shared" si="85"/>
        <v>37</v>
      </c>
      <c r="T139" s="13">
        <f t="shared" si="86"/>
        <v>0</v>
      </c>
      <c r="U139" s="13">
        <f t="shared" si="90"/>
        <v>0</v>
      </c>
      <c r="V139" s="13">
        <f t="shared" si="148"/>
        <v>199</v>
      </c>
      <c r="W139" s="13" t="str">
        <f t="shared" si="149"/>
        <v>C7</v>
      </c>
      <c r="X139" s="13">
        <f t="shared" si="150"/>
        <v>396</v>
      </c>
      <c r="Y139" s="13" t="str">
        <f t="shared" si="151"/>
        <v>8C</v>
      </c>
      <c r="Z139" s="119"/>
      <c r="AA139" s="119"/>
      <c r="AB139" s="119"/>
      <c r="AC139" s="119"/>
      <c r="AD139" s="119"/>
      <c r="AE139" s="119"/>
      <c r="AF139" s="119"/>
      <c r="AG139" s="119"/>
      <c r="AH139" s="119"/>
      <c r="AJ139" s="64"/>
      <c r="AK139" s="64" t="s">
        <v>236</v>
      </c>
    </row>
    <row r="140" spans="2:37" ht="16.5" customHeight="1">
      <c r="B140" s="122" t="s">
        <v>1199</v>
      </c>
      <c r="C140" s="122" t="str">
        <f t="shared" si="105"/>
        <v>FF02A0250001C8</v>
      </c>
      <c r="D140" s="60" t="s">
        <v>17</v>
      </c>
      <c r="E140" s="60" t="s">
        <v>23</v>
      </c>
      <c r="F140" s="60" t="s">
        <v>51</v>
      </c>
      <c r="G140" s="60" t="s">
        <v>16</v>
      </c>
      <c r="H140" s="60" t="s">
        <v>24</v>
      </c>
      <c r="I140" s="12" t="str">
        <f t="shared" si="147"/>
        <v>C8</v>
      </c>
      <c r="J140" s="12"/>
      <c r="K140" s="12"/>
      <c r="L140" s="12"/>
      <c r="M140" s="12"/>
      <c r="N140" s="12"/>
      <c r="O140" s="12"/>
      <c r="P140" s="12"/>
      <c r="Q140" s="13">
        <f t="shared" si="83"/>
        <v>2</v>
      </c>
      <c r="R140" s="13">
        <f t="shared" si="84"/>
        <v>160</v>
      </c>
      <c r="S140" s="13">
        <f t="shared" si="85"/>
        <v>37</v>
      </c>
      <c r="T140" s="13">
        <f t="shared" si="86"/>
        <v>0</v>
      </c>
      <c r="U140" s="13">
        <f t="shared" si="90"/>
        <v>1</v>
      </c>
      <c r="V140" s="13">
        <f t="shared" si="148"/>
        <v>200</v>
      </c>
      <c r="W140" s="13" t="str">
        <f t="shared" si="149"/>
        <v>C8</v>
      </c>
      <c r="X140" s="13">
        <f t="shared" si="150"/>
        <v>398</v>
      </c>
      <c r="Y140" s="13" t="str">
        <f t="shared" si="151"/>
        <v>8E</v>
      </c>
      <c r="Z140" s="119"/>
      <c r="AA140" s="119"/>
      <c r="AB140" s="119"/>
      <c r="AC140" s="119"/>
      <c r="AD140" s="119"/>
      <c r="AE140" s="119"/>
      <c r="AF140" s="119"/>
      <c r="AG140" s="119"/>
      <c r="AH140" s="119"/>
      <c r="AJ140" s="64"/>
      <c r="AK140" s="64" t="s">
        <v>237</v>
      </c>
    </row>
    <row r="141" spans="2:37" ht="16.5" customHeight="1">
      <c r="B141" s="122" t="s">
        <v>1769</v>
      </c>
      <c r="C141" s="122" t="str">
        <f t="shared" ref="C141:C187" si="152">"FF"&amp;D141&amp;E141&amp;""&amp;F141&amp;G141&amp;H141&amp;I141</f>
        <v>FF01A160000002</v>
      </c>
      <c r="D141" s="60" t="s">
        <v>24</v>
      </c>
      <c r="E141" s="60" t="s">
        <v>80</v>
      </c>
      <c r="F141" s="60" t="s">
        <v>1701</v>
      </c>
      <c r="G141" s="60" t="s">
        <v>16</v>
      </c>
      <c r="H141" s="60" t="s">
        <v>16</v>
      </c>
      <c r="I141" s="12" t="str">
        <f t="shared" ref="I141:I149" si="153">W141</f>
        <v>02</v>
      </c>
      <c r="J141" s="12"/>
      <c r="K141" s="12"/>
      <c r="L141" s="12"/>
      <c r="M141" s="12"/>
      <c r="N141" s="12"/>
      <c r="O141" s="12"/>
      <c r="P141" s="12"/>
      <c r="Q141" s="13">
        <f t="shared" ref="Q141:Q221" si="154">HEX2DEC(D141)</f>
        <v>1</v>
      </c>
      <c r="R141" s="13">
        <f t="shared" ref="R141:R221" si="155">HEX2DEC(E141)</f>
        <v>161</v>
      </c>
      <c r="S141" s="13">
        <f t="shared" ref="S141:S221" si="156">HEX2DEC(F141)</f>
        <v>96</v>
      </c>
      <c r="T141" s="13">
        <f t="shared" ref="T141:T221" si="157">HEX2DEC(G141)</f>
        <v>0</v>
      </c>
      <c r="U141" s="13">
        <f t="shared" si="90"/>
        <v>0</v>
      </c>
      <c r="V141" s="13">
        <f t="shared" ref="V141:V149" si="158">SUM(Q141:U141)</f>
        <v>258</v>
      </c>
      <c r="W141" s="13" t="str">
        <f t="shared" ref="W141:W149" si="159">REPT("0",2-LEN(RIGHT(DEC2HEX(V141), 2)))&amp;RIGHT(DEC2HEX(V141), 2)</f>
        <v>02</v>
      </c>
      <c r="X141" s="13">
        <f t="shared" ref="X141:X149" si="160">SUM(R141:W141)</f>
        <v>515</v>
      </c>
      <c r="Y141" s="13" t="str">
        <f t="shared" ref="Y141:Y149" si="161">REPT("0",2-LEN(RIGHT(DEC2HEX(X141), 2)))&amp;RIGHT(DEC2HEX(X141), 2)</f>
        <v>03</v>
      </c>
      <c r="Z141" s="119"/>
      <c r="AA141" s="119"/>
      <c r="AB141" s="119"/>
      <c r="AC141" s="119"/>
      <c r="AD141" s="119"/>
      <c r="AE141" s="119"/>
      <c r="AF141" s="119"/>
      <c r="AG141" s="119"/>
      <c r="AH141" s="119"/>
      <c r="AJ141" s="64"/>
      <c r="AK141" s="64" t="s">
        <v>2184</v>
      </c>
    </row>
    <row r="142" spans="2:37" ht="16.5" customHeight="1">
      <c r="B142" s="122" t="s">
        <v>1771</v>
      </c>
      <c r="C142" s="122" t="str">
        <f t="shared" si="152"/>
        <v>FF01A061000002</v>
      </c>
      <c r="D142" s="60" t="s">
        <v>24</v>
      </c>
      <c r="E142" s="60" t="s">
        <v>23</v>
      </c>
      <c r="F142" s="60" t="s">
        <v>1777</v>
      </c>
      <c r="G142" s="60" t="s">
        <v>16</v>
      </c>
      <c r="H142" s="60" t="s">
        <v>16</v>
      </c>
      <c r="I142" s="12" t="str">
        <f t="shared" si="153"/>
        <v>02</v>
      </c>
      <c r="J142" s="12"/>
      <c r="K142" s="12"/>
      <c r="L142" s="12"/>
      <c r="M142" s="12"/>
      <c r="N142" s="12"/>
      <c r="O142" s="12"/>
      <c r="P142" s="12"/>
      <c r="Q142" s="13">
        <f t="shared" si="154"/>
        <v>1</v>
      </c>
      <c r="R142" s="13">
        <f t="shared" si="155"/>
        <v>160</v>
      </c>
      <c r="S142" s="13">
        <f t="shared" si="156"/>
        <v>97</v>
      </c>
      <c r="T142" s="13">
        <f t="shared" si="157"/>
        <v>0</v>
      </c>
      <c r="U142" s="13">
        <f t="shared" ref="U142:U222" si="162">HEX2DEC(H142)</f>
        <v>0</v>
      </c>
      <c r="V142" s="13">
        <f t="shared" si="158"/>
        <v>258</v>
      </c>
      <c r="W142" s="13" t="str">
        <f t="shared" si="159"/>
        <v>02</v>
      </c>
      <c r="X142" s="13">
        <f t="shared" si="160"/>
        <v>515</v>
      </c>
      <c r="Y142" s="13" t="str">
        <f t="shared" si="161"/>
        <v>03</v>
      </c>
      <c r="Z142" s="119"/>
      <c r="AA142" s="119"/>
      <c r="AB142" s="119"/>
      <c r="AC142" s="119"/>
      <c r="AD142" s="119"/>
      <c r="AE142" s="119"/>
      <c r="AF142" s="119"/>
      <c r="AG142" s="119"/>
      <c r="AH142" s="119"/>
      <c r="AJ142" s="64"/>
      <c r="AK142" s="64" t="s">
        <v>2185</v>
      </c>
    </row>
    <row r="143" spans="2:37" ht="16.5" customHeight="1">
      <c r="B143" s="122" t="s">
        <v>1770</v>
      </c>
      <c r="C143" s="122" t="str">
        <f t="shared" si="152"/>
        <v>FF01A061000103</v>
      </c>
      <c r="D143" s="60" t="s">
        <v>24</v>
      </c>
      <c r="E143" s="60" t="s">
        <v>23</v>
      </c>
      <c r="F143" s="60" t="s">
        <v>1777</v>
      </c>
      <c r="G143" s="60" t="s">
        <v>16</v>
      </c>
      <c r="H143" s="60" t="s">
        <v>24</v>
      </c>
      <c r="I143" s="12" t="str">
        <f t="shared" si="153"/>
        <v>03</v>
      </c>
      <c r="J143" s="12"/>
      <c r="K143" s="12"/>
      <c r="L143" s="12"/>
      <c r="M143" s="12"/>
      <c r="N143" s="12"/>
      <c r="O143" s="12"/>
      <c r="P143" s="12"/>
      <c r="Q143" s="13">
        <f t="shared" si="154"/>
        <v>1</v>
      </c>
      <c r="R143" s="13">
        <f t="shared" si="155"/>
        <v>160</v>
      </c>
      <c r="S143" s="13">
        <f t="shared" si="156"/>
        <v>97</v>
      </c>
      <c r="T143" s="13">
        <f t="shared" si="157"/>
        <v>0</v>
      </c>
      <c r="U143" s="13">
        <f t="shared" si="162"/>
        <v>1</v>
      </c>
      <c r="V143" s="13">
        <f t="shared" si="158"/>
        <v>259</v>
      </c>
      <c r="W143" s="13" t="str">
        <f t="shared" si="159"/>
        <v>03</v>
      </c>
      <c r="X143" s="13">
        <f t="shared" si="160"/>
        <v>517</v>
      </c>
      <c r="Y143" s="13" t="str">
        <f t="shared" si="161"/>
        <v>05</v>
      </c>
      <c r="Z143" s="119"/>
      <c r="AA143" s="119"/>
      <c r="AB143" s="119"/>
      <c r="AC143" s="119"/>
      <c r="AD143" s="119"/>
      <c r="AE143" s="119"/>
      <c r="AF143" s="119"/>
      <c r="AG143" s="119"/>
      <c r="AH143" s="119"/>
      <c r="AJ143" s="64"/>
      <c r="AK143" s="64" t="s">
        <v>2186</v>
      </c>
    </row>
    <row r="144" spans="2:37" ht="16.5" customHeight="1">
      <c r="B144" s="122" t="s">
        <v>1772</v>
      </c>
      <c r="C144" s="122" t="str">
        <f t="shared" si="152"/>
        <v>FF01A062000003</v>
      </c>
      <c r="D144" s="60" t="s">
        <v>24</v>
      </c>
      <c r="E144" s="60" t="s">
        <v>23</v>
      </c>
      <c r="F144" s="60" t="s">
        <v>1778</v>
      </c>
      <c r="G144" s="60" t="s">
        <v>16</v>
      </c>
      <c r="H144" s="60" t="s">
        <v>16</v>
      </c>
      <c r="I144" s="12" t="str">
        <f t="shared" si="153"/>
        <v>03</v>
      </c>
      <c r="J144" s="12"/>
      <c r="K144" s="12"/>
      <c r="L144" s="12"/>
      <c r="M144" s="12"/>
      <c r="N144" s="12"/>
      <c r="O144" s="12"/>
      <c r="P144" s="12"/>
      <c r="Q144" s="13">
        <f t="shared" si="154"/>
        <v>1</v>
      </c>
      <c r="R144" s="13">
        <f t="shared" si="155"/>
        <v>160</v>
      </c>
      <c r="S144" s="13">
        <f t="shared" si="156"/>
        <v>98</v>
      </c>
      <c r="T144" s="13">
        <f t="shared" si="157"/>
        <v>0</v>
      </c>
      <c r="U144" s="13">
        <f t="shared" si="162"/>
        <v>0</v>
      </c>
      <c r="V144" s="13">
        <f t="shared" si="158"/>
        <v>259</v>
      </c>
      <c r="W144" s="13" t="str">
        <f t="shared" si="159"/>
        <v>03</v>
      </c>
      <c r="X144" s="13">
        <f t="shared" si="160"/>
        <v>517</v>
      </c>
      <c r="Y144" s="13" t="str">
        <f t="shared" si="161"/>
        <v>05</v>
      </c>
      <c r="Z144" s="119"/>
      <c r="AA144" s="119"/>
      <c r="AB144" s="119"/>
      <c r="AC144" s="119"/>
      <c r="AD144" s="119"/>
      <c r="AE144" s="119"/>
      <c r="AF144" s="119"/>
      <c r="AG144" s="119"/>
      <c r="AH144" s="119"/>
      <c r="AJ144" s="64"/>
      <c r="AK144" s="64" t="s">
        <v>2187</v>
      </c>
    </row>
    <row r="145" spans="2:37" ht="16.5" customHeight="1">
      <c r="B145" s="122" t="s">
        <v>2083</v>
      </c>
      <c r="C145" s="122" t="str">
        <f t="shared" si="152"/>
        <v>FF01A062000104</v>
      </c>
      <c r="D145" s="60" t="s">
        <v>24</v>
      </c>
      <c r="E145" s="60" t="s">
        <v>23</v>
      </c>
      <c r="F145" s="60" t="s">
        <v>1778</v>
      </c>
      <c r="G145" s="60" t="s">
        <v>16</v>
      </c>
      <c r="H145" s="60" t="s">
        <v>24</v>
      </c>
      <c r="I145" s="12" t="str">
        <f t="shared" si="153"/>
        <v>04</v>
      </c>
      <c r="J145" s="12"/>
      <c r="K145" s="12"/>
      <c r="L145" s="12"/>
      <c r="M145" s="12"/>
      <c r="N145" s="12"/>
      <c r="O145" s="12"/>
      <c r="P145" s="12"/>
      <c r="Q145" s="13">
        <f t="shared" si="154"/>
        <v>1</v>
      </c>
      <c r="R145" s="13">
        <f t="shared" si="155"/>
        <v>160</v>
      </c>
      <c r="S145" s="13">
        <f t="shared" si="156"/>
        <v>98</v>
      </c>
      <c r="T145" s="13">
        <f t="shared" si="157"/>
        <v>0</v>
      </c>
      <c r="U145" s="13">
        <f t="shared" si="162"/>
        <v>1</v>
      </c>
      <c r="V145" s="13">
        <f t="shared" si="158"/>
        <v>260</v>
      </c>
      <c r="W145" s="13" t="str">
        <f t="shared" si="159"/>
        <v>04</v>
      </c>
      <c r="X145" s="13">
        <f t="shared" si="160"/>
        <v>519</v>
      </c>
      <c r="Y145" s="13" t="str">
        <f t="shared" si="161"/>
        <v>07</v>
      </c>
      <c r="Z145" s="119"/>
      <c r="AA145" s="119"/>
      <c r="AB145" s="119"/>
      <c r="AC145" s="119"/>
      <c r="AD145" s="119"/>
      <c r="AE145" s="119"/>
      <c r="AF145" s="119"/>
      <c r="AG145" s="119"/>
      <c r="AH145" s="119"/>
      <c r="AJ145" s="64"/>
      <c r="AK145" s="64" t="s">
        <v>2188</v>
      </c>
    </row>
    <row r="146" spans="2:37" ht="16.5" customHeight="1">
      <c r="B146" s="122" t="s">
        <v>1773</v>
      </c>
      <c r="C146" s="122" t="str">
        <f t="shared" si="152"/>
        <v>FF01A063000004</v>
      </c>
      <c r="D146" s="60" t="s">
        <v>24</v>
      </c>
      <c r="E146" s="60" t="s">
        <v>23</v>
      </c>
      <c r="F146" s="60" t="s">
        <v>1779</v>
      </c>
      <c r="G146" s="60" t="s">
        <v>16</v>
      </c>
      <c r="H146" s="60" t="s">
        <v>16</v>
      </c>
      <c r="I146" s="12" t="str">
        <f t="shared" si="153"/>
        <v>04</v>
      </c>
      <c r="J146" s="12"/>
      <c r="K146" s="12"/>
      <c r="L146" s="12"/>
      <c r="M146" s="12"/>
      <c r="N146" s="12"/>
      <c r="O146" s="12"/>
      <c r="P146" s="12"/>
      <c r="Q146" s="13">
        <f t="shared" si="154"/>
        <v>1</v>
      </c>
      <c r="R146" s="13">
        <f t="shared" si="155"/>
        <v>160</v>
      </c>
      <c r="S146" s="13">
        <f t="shared" si="156"/>
        <v>99</v>
      </c>
      <c r="T146" s="13">
        <f t="shared" si="157"/>
        <v>0</v>
      </c>
      <c r="U146" s="13">
        <f t="shared" si="162"/>
        <v>0</v>
      </c>
      <c r="V146" s="13">
        <f t="shared" si="158"/>
        <v>260</v>
      </c>
      <c r="W146" s="13" t="str">
        <f t="shared" si="159"/>
        <v>04</v>
      </c>
      <c r="X146" s="13">
        <f t="shared" si="160"/>
        <v>519</v>
      </c>
      <c r="Y146" s="13" t="str">
        <f t="shared" si="161"/>
        <v>07</v>
      </c>
      <c r="Z146" s="119"/>
      <c r="AA146" s="119"/>
      <c r="AB146" s="119"/>
      <c r="AC146" s="119"/>
      <c r="AD146" s="119"/>
      <c r="AE146" s="119"/>
      <c r="AF146" s="119"/>
      <c r="AG146" s="119"/>
      <c r="AH146" s="119"/>
      <c r="AJ146" s="64"/>
      <c r="AK146" s="64" t="s">
        <v>2189</v>
      </c>
    </row>
    <row r="147" spans="2:37" ht="16.5" customHeight="1">
      <c r="B147" s="122" t="s">
        <v>1774</v>
      </c>
      <c r="C147" s="122" t="str">
        <f t="shared" si="152"/>
        <v>FF01A06300FF03</v>
      </c>
      <c r="D147" s="60" t="s">
        <v>24</v>
      </c>
      <c r="E147" s="60" t="s">
        <v>23</v>
      </c>
      <c r="F147" s="60" t="s">
        <v>1779</v>
      </c>
      <c r="G147" s="60" t="s">
        <v>16</v>
      </c>
      <c r="H147" s="60" t="s">
        <v>9</v>
      </c>
      <c r="I147" s="12" t="str">
        <f t="shared" si="153"/>
        <v>03</v>
      </c>
      <c r="J147" s="12"/>
      <c r="K147" s="12"/>
      <c r="L147" s="12"/>
      <c r="M147" s="12"/>
      <c r="N147" s="12"/>
      <c r="O147" s="12"/>
      <c r="P147" s="12"/>
      <c r="Q147" s="13">
        <f t="shared" si="154"/>
        <v>1</v>
      </c>
      <c r="R147" s="13">
        <f t="shared" si="155"/>
        <v>160</v>
      </c>
      <c r="S147" s="13">
        <f t="shared" si="156"/>
        <v>99</v>
      </c>
      <c r="T147" s="13">
        <f t="shared" si="157"/>
        <v>0</v>
      </c>
      <c r="U147" s="13">
        <f t="shared" si="162"/>
        <v>255</v>
      </c>
      <c r="V147" s="13">
        <f t="shared" si="158"/>
        <v>515</v>
      </c>
      <c r="W147" s="13" t="str">
        <f t="shared" si="159"/>
        <v>03</v>
      </c>
      <c r="X147" s="13">
        <f t="shared" si="160"/>
        <v>1029</v>
      </c>
      <c r="Y147" s="13" t="str">
        <f t="shared" si="161"/>
        <v>05</v>
      </c>
      <c r="Z147" s="119"/>
      <c r="AA147" s="119"/>
      <c r="AB147" s="119"/>
      <c r="AC147" s="119"/>
      <c r="AD147" s="119"/>
      <c r="AE147" s="119"/>
      <c r="AF147" s="119"/>
      <c r="AG147" s="119">
        <v>255</v>
      </c>
      <c r="AH147" s="119" t="str">
        <f>DEC2HEX(AG147)</f>
        <v>FF</v>
      </c>
      <c r="AJ147" s="64"/>
      <c r="AK147" s="64" t="s">
        <v>2190</v>
      </c>
    </row>
    <row r="148" spans="2:37" ht="16.5" customHeight="1">
      <c r="B148" s="122" t="s">
        <v>1775</v>
      </c>
      <c r="C148" s="122" t="str">
        <f t="shared" si="152"/>
        <v>FF01A064000005</v>
      </c>
      <c r="D148" s="60" t="s">
        <v>24</v>
      </c>
      <c r="E148" s="60" t="s">
        <v>23</v>
      </c>
      <c r="F148" s="60" t="s">
        <v>128</v>
      </c>
      <c r="G148" s="60" t="s">
        <v>16</v>
      </c>
      <c r="H148" s="60" t="s">
        <v>16</v>
      </c>
      <c r="I148" s="12" t="str">
        <f t="shared" si="153"/>
        <v>05</v>
      </c>
      <c r="J148" s="12"/>
      <c r="K148" s="12"/>
      <c r="L148" s="12"/>
      <c r="M148" s="12"/>
      <c r="N148" s="12"/>
      <c r="O148" s="12"/>
      <c r="P148" s="12"/>
      <c r="Q148" s="13">
        <f t="shared" si="154"/>
        <v>1</v>
      </c>
      <c r="R148" s="13">
        <f t="shared" si="155"/>
        <v>160</v>
      </c>
      <c r="S148" s="13">
        <f t="shared" si="156"/>
        <v>100</v>
      </c>
      <c r="T148" s="13">
        <f t="shared" si="157"/>
        <v>0</v>
      </c>
      <c r="U148" s="13">
        <f t="shared" si="162"/>
        <v>0</v>
      </c>
      <c r="V148" s="13">
        <f t="shared" si="158"/>
        <v>261</v>
      </c>
      <c r="W148" s="13" t="str">
        <f t="shared" si="159"/>
        <v>05</v>
      </c>
      <c r="X148" s="13">
        <f t="shared" si="160"/>
        <v>521</v>
      </c>
      <c r="Y148" s="13" t="str">
        <f t="shared" si="161"/>
        <v>09</v>
      </c>
      <c r="Z148" s="119"/>
      <c r="AA148" s="119"/>
      <c r="AB148" s="119"/>
      <c r="AC148" s="119"/>
      <c r="AD148" s="119"/>
      <c r="AE148" s="119"/>
      <c r="AF148" s="119"/>
      <c r="AG148" s="119"/>
      <c r="AH148" s="119"/>
      <c r="AJ148" s="64"/>
      <c r="AK148" s="64" t="s">
        <v>2191</v>
      </c>
    </row>
    <row r="149" spans="2:37" ht="16.5" customHeight="1">
      <c r="B149" s="122" t="s">
        <v>1776</v>
      </c>
      <c r="C149" s="122" t="str">
        <f t="shared" si="152"/>
        <v>FF01A064FFFF03</v>
      </c>
      <c r="D149" s="60" t="s">
        <v>24</v>
      </c>
      <c r="E149" s="60" t="s">
        <v>23</v>
      </c>
      <c r="F149" s="60" t="s">
        <v>128</v>
      </c>
      <c r="G149" s="60" t="s">
        <v>9</v>
      </c>
      <c r="H149" s="60" t="s">
        <v>9</v>
      </c>
      <c r="I149" s="12" t="str">
        <f t="shared" si="153"/>
        <v>03</v>
      </c>
      <c r="J149" s="12"/>
      <c r="K149" s="12"/>
      <c r="L149" s="12"/>
      <c r="M149" s="12"/>
      <c r="N149" s="12"/>
      <c r="O149" s="12"/>
      <c r="P149" s="12"/>
      <c r="Q149" s="13">
        <f t="shared" si="154"/>
        <v>1</v>
      </c>
      <c r="R149" s="13">
        <f t="shared" si="155"/>
        <v>160</v>
      </c>
      <c r="S149" s="13">
        <f t="shared" si="156"/>
        <v>100</v>
      </c>
      <c r="T149" s="13">
        <f t="shared" si="157"/>
        <v>255</v>
      </c>
      <c r="U149" s="13">
        <f t="shared" si="162"/>
        <v>255</v>
      </c>
      <c r="V149" s="13">
        <f t="shared" si="158"/>
        <v>771</v>
      </c>
      <c r="W149" s="13" t="str">
        <f t="shared" si="159"/>
        <v>03</v>
      </c>
      <c r="X149" s="13">
        <f t="shared" si="160"/>
        <v>1541</v>
      </c>
      <c r="Y149" s="13" t="str">
        <f t="shared" si="161"/>
        <v>05</v>
      </c>
      <c r="Z149" s="119"/>
      <c r="AA149" s="119"/>
      <c r="AB149" s="119"/>
      <c r="AC149" s="119"/>
      <c r="AD149" s="119"/>
      <c r="AE149" s="119"/>
      <c r="AF149" s="119"/>
      <c r="AG149" s="119">
        <v>65535</v>
      </c>
      <c r="AH149" s="119" t="str">
        <f>DEC2HEX(AG149)</f>
        <v>FFFF</v>
      </c>
      <c r="AJ149" s="64"/>
      <c r="AK149" s="64" t="s">
        <v>2192</v>
      </c>
    </row>
    <row r="150" spans="2:37" ht="16.5" customHeight="1">
      <c r="B150" s="122" t="s">
        <v>2077</v>
      </c>
      <c r="C150" s="122" t="str">
        <f t="shared" ref="C150:C158" si="163">"FF"&amp;D150&amp;E150&amp;""&amp;F150&amp;G150&amp;H150&amp;I150</f>
        <v>FF02A160000003</v>
      </c>
      <c r="D150" s="60" t="s">
        <v>17</v>
      </c>
      <c r="E150" s="60" t="s">
        <v>80</v>
      </c>
      <c r="F150" s="60" t="s">
        <v>1701</v>
      </c>
      <c r="G150" s="60" t="s">
        <v>16</v>
      </c>
      <c r="H150" s="60" t="s">
        <v>16</v>
      </c>
      <c r="I150" s="12" t="str">
        <f t="shared" ref="I150:I158" si="164">W150</f>
        <v>03</v>
      </c>
      <c r="J150" s="12"/>
      <c r="K150" s="12"/>
      <c r="L150" s="12"/>
      <c r="M150" s="12"/>
      <c r="N150" s="12"/>
      <c r="O150" s="12"/>
      <c r="P150" s="12"/>
      <c r="Q150" s="13">
        <f t="shared" ref="Q150:Q158" si="165">HEX2DEC(D150)</f>
        <v>2</v>
      </c>
      <c r="R150" s="13">
        <f t="shared" ref="R150:R158" si="166">HEX2DEC(E150)</f>
        <v>161</v>
      </c>
      <c r="S150" s="13">
        <f t="shared" ref="S150:S158" si="167">HEX2DEC(F150)</f>
        <v>96</v>
      </c>
      <c r="T150" s="13">
        <f t="shared" ref="T150:T158" si="168">HEX2DEC(G150)</f>
        <v>0</v>
      </c>
      <c r="U150" s="13">
        <f t="shared" si="162"/>
        <v>0</v>
      </c>
      <c r="V150" s="13">
        <f t="shared" ref="V150:V158" si="169">SUM(Q150:U150)</f>
        <v>259</v>
      </c>
      <c r="W150" s="13" t="str">
        <f t="shared" ref="W150:W158" si="170">REPT("0",2-LEN(RIGHT(DEC2HEX(V150), 2)))&amp;RIGHT(DEC2HEX(V150), 2)</f>
        <v>03</v>
      </c>
      <c r="X150" s="13">
        <f t="shared" ref="X150:X158" si="171">SUM(R150:W150)</f>
        <v>516</v>
      </c>
      <c r="Y150" s="13" t="str">
        <f t="shared" ref="Y150:Y158" si="172">REPT("0",2-LEN(RIGHT(DEC2HEX(X150), 2)))&amp;RIGHT(DEC2HEX(X150), 2)</f>
        <v>04</v>
      </c>
      <c r="Z150" s="119"/>
      <c r="AA150" s="119"/>
      <c r="AB150" s="119"/>
      <c r="AC150" s="119"/>
      <c r="AD150" s="119"/>
      <c r="AE150" s="119"/>
      <c r="AF150" s="119"/>
      <c r="AG150" s="119"/>
      <c r="AH150" s="119"/>
      <c r="AJ150" s="64"/>
      <c r="AK150" s="64" t="s">
        <v>2087</v>
      </c>
    </row>
    <row r="151" spans="2:37" ht="16.5" customHeight="1">
      <c r="B151" s="122" t="s">
        <v>2078</v>
      </c>
      <c r="C151" s="122" t="str">
        <f t="shared" si="163"/>
        <v>FF02A061000003</v>
      </c>
      <c r="D151" s="60" t="s">
        <v>17</v>
      </c>
      <c r="E151" s="60" t="s">
        <v>23</v>
      </c>
      <c r="F151" s="60" t="s">
        <v>1777</v>
      </c>
      <c r="G151" s="60" t="s">
        <v>16</v>
      </c>
      <c r="H151" s="60" t="s">
        <v>16</v>
      </c>
      <c r="I151" s="12" t="str">
        <f t="shared" si="164"/>
        <v>03</v>
      </c>
      <c r="J151" s="12"/>
      <c r="K151" s="12"/>
      <c r="L151" s="12"/>
      <c r="M151" s="12"/>
      <c r="N151" s="12"/>
      <c r="O151" s="12"/>
      <c r="P151" s="12"/>
      <c r="Q151" s="13">
        <f t="shared" si="165"/>
        <v>2</v>
      </c>
      <c r="R151" s="13">
        <f t="shared" si="166"/>
        <v>160</v>
      </c>
      <c r="S151" s="13">
        <f t="shared" si="167"/>
        <v>97</v>
      </c>
      <c r="T151" s="13">
        <f t="shared" si="168"/>
        <v>0</v>
      </c>
      <c r="U151" s="13">
        <f t="shared" ref="U151:U158" si="173">HEX2DEC(H151)</f>
        <v>0</v>
      </c>
      <c r="V151" s="13">
        <f t="shared" si="169"/>
        <v>259</v>
      </c>
      <c r="W151" s="13" t="str">
        <f t="shared" si="170"/>
        <v>03</v>
      </c>
      <c r="X151" s="13">
        <f t="shared" si="171"/>
        <v>516</v>
      </c>
      <c r="Y151" s="13" t="str">
        <f t="shared" si="172"/>
        <v>04</v>
      </c>
      <c r="Z151" s="119"/>
      <c r="AA151" s="119"/>
      <c r="AB151" s="119"/>
      <c r="AC151" s="119"/>
      <c r="AD151" s="119"/>
      <c r="AE151" s="119"/>
      <c r="AF151" s="119"/>
      <c r="AG151" s="119"/>
      <c r="AH151" s="119"/>
      <c r="AJ151" s="64"/>
      <c r="AK151" s="64" t="s">
        <v>2088</v>
      </c>
    </row>
    <row r="152" spans="2:37" ht="16.5" customHeight="1">
      <c r="B152" s="122" t="s">
        <v>2079</v>
      </c>
      <c r="C152" s="122" t="str">
        <f t="shared" si="163"/>
        <v>FF02A061000104</v>
      </c>
      <c r="D152" s="60" t="s">
        <v>17</v>
      </c>
      <c r="E152" s="60" t="s">
        <v>23</v>
      </c>
      <c r="F152" s="60" t="s">
        <v>1777</v>
      </c>
      <c r="G152" s="60" t="s">
        <v>16</v>
      </c>
      <c r="H152" s="60" t="s">
        <v>24</v>
      </c>
      <c r="I152" s="12" t="str">
        <f t="shared" si="164"/>
        <v>04</v>
      </c>
      <c r="J152" s="12"/>
      <c r="K152" s="12"/>
      <c r="L152" s="12"/>
      <c r="M152" s="12"/>
      <c r="N152" s="12"/>
      <c r="O152" s="12"/>
      <c r="P152" s="12"/>
      <c r="Q152" s="13">
        <f t="shared" si="165"/>
        <v>2</v>
      </c>
      <c r="R152" s="13">
        <f t="shared" si="166"/>
        <v>160</v>
      </c>
      <c r="S152" s="13">
        <f t="shared" si="167"/>
        <v>97</v>
      </c>
      <c r="T152" s="13">
        <f t="shared" si="168"/>
        <v>0</v>
      </c>
      <c r="U152" s="13">
        <f t="shared" si="173"/>
        <v>1</v>
      </c>
      <c r="V152" s="13">
        <f t="shared" si="169"/>
        <v>260</v>
      </c>
      <c r="W152" s="13" t="str">
        <f t="shared" si="170"/>
        <v>04</v>
      </c>
      <c r="X152" s="13">
        <f t="shared" si="171"/>
        <v>518</v>
      </c>
      <c r="Y152" s="13" t="str">
        <f t="shared" si="172"/>
        <v>06</v>
      </c>
      <c r="Z152" s="119"/>
      <c r="AA152" s="119"/>
      <c r="AB152" s="119"/>
      <c r="AC152" s="119"/>
      <c r="AD152" s="119"/>
      <c r="AE152" s="119"/>
      <c r="AF152" s="119"/>
      <c r="AG152" s="119"/>
      <c r="AH152" s="119"/>
      <c r="AJ152" s="64"/>
      <c r="AK152" s="64" t="s">
        <v>2089</v>
      </c>
    </row>
    <row r="153" spans="2:37" ht="16.5" customHeight="1">
      <c r="B153" s="122" t="s">
        <v>2076</v>
      </c>
      <c r="C153" s="122" t="str">
        <f t="shared" si="163"/>
        <v>FF02A062000004</v>
      </c>
      <c r="D153" s="60" t="s">
        <v>17</v>
      </c>
      <c r="E153" s="60" t="s">
        <v>23</v>
      </c>
      <c r="F153" s="60" t="s">
        <v>1778</v>
      </c>
      <c r="G153" s="60" t="s">
        <v>16</v>
      </c>
      <c r="H153" s="60" t="s">
        <v>16</v>
      </c>
      <c r="I153" s="12" t="str">
        <f t="shared" si="164"/>
        <v>04</v>
      </c>
      <c r="J153" s="12"/>
      <c r="K153" s="12"/>
      <c r="L153" s="12"/>
      <c r="M153" s="12"/>
      <c r="N153" s="12"/>
      <c r="O153" s="12"/>
      <c r="P153" s="12"/>
      <c r="Q153" s="13">
        <f t="shared" si="165"/>
        <v>2</v>
      </c>
      <c r="R153" s="13">
        <f t="shared" si="166"/>
        <v>160</v>
      </c>
      <c r="S153" s="13">
        <f t="shared" si="167"/>
        <v>98</v>
      </c>
      <c r="T153" s="13">
        <f t="shared" si="168"/>
        <v>0</v>
      </c>
      <c r="U153" s="13">
        <f t="shared" si="173"/>
        <v>0</v>
      </c>
      <c r="V153" s="13">
        <f t="shared" si="169"/>
        <v>260</v>
      </c>
      <c r="W153" s="13" t="str">
        <f t="shared" si="170"/>
        <v>04</v>
      </c>
      <c r="X153" s="13">
        <f t="shared" si="171"/>
        <v>518</v>
      </c>
      <c r="Y153" s="13" t="str">
        <f t="shared" si="172"/>
        <v>06</v>
      </c>
      <c r="Z153" s="119"/>
      <c r="AA153" s="119"/>
      <c r="AB153" s="119"/>
      <c r="AC153" s="119"/>
      <c r="AD153" s="119"/>
      <c r="AE153" s="119"/>
      <c r="AF153" s="119"/>
      <c r="AG153" s="119"/>
      <c r="AH153" s="119"/>
      <c r="AJ153" s="64"/>
      <c r="AK153" s="64" t="s">
        <v>2090</v>
      </c>
    </row>
    <row r="154" spans="2:37" ht="16.5" customHeight="1">
      <c r="B154" s="122" t="s">
        <v>2084</v>
      </c>
      <c r="C154" s="122" t="str">
        <f t="shared" si="163"/>
        <v>FF02A062000105</v>
      </c>
      <c r="D154" s="60" t="s">
        <v>17</v>
      </c>
      <c r="E154" s="60" t="s">
        <v>23</v>
      </c>
      <c r="F154" s="60" t="s">
        <v>1778</v>
      </c>
      <c r="G154" s="60" t="s">
        <v>16</v>
      </c>
      <c r="H154" s="60" t="s">
        <v>24</v>
      </c>
      <c r="I154" s="12" t="str">
        <f t="shared" si="164"/>
        <v>05</v>
      </c>
      <c r="J154" s="12"/>
      <c r="K154" s="12"/>
      <c r="L154" s="12"/>
      <c r="M154" s="12"/>
      <c r="N154" s="12"/>
      <c r="O154" s="12"/>
      <c r="P154" s="12"/>
      <c r="Q154" s="13">
        <f t="shared" si="165"/>
        <v>2</v>
      </c>
      <c r="R154" s="13">
        <f t="shared" si="166"/>
        <v>160</v>
      </c>
      <c r="S154" s="13">
        <f t="shared" si="167"/>
        <v>98</v>
      </c>
      <c r="T154" s="13">
        <f t="shared" si="168"/>
        <v>0</v>
      </c>
      <c r="U154" s="13">
        <f t="shared" si="173"/>
        <v>1</v>
      </c>
      <c r="V154" s="13">
        <f t="shared" si="169"/>
        <v>261</v>
      </c>
      <c r="W154" s="13" t="str">
        <f t="shared" si="170"/>
        <v>05</v>
      </c>
      <c r="X154" s="13">
        <f t="shared" si="171"/>
        <v>520</v>
      </c>
      <c r="Y154" s="13" t="str">
        <f t="shared" si="172"/>
        <v>08</v>
      </c>
      <c r="Z154" s="119"/>
      <c r="AA154" s="119"/>
      <c r="AB154" s="119"/>
      <c r="AC154" s="119"/>
      <c r="AD154" s="119"/>
      <c r="AE154" s="119"/>
      <c r="AF154" s="119"/>
      <c r="AG154" s="119"/>
      <c r="AH154" s="119"/>
      <c r="AJ154" s="64"/>
      <c r="AK154" s="64" t="s">
        <v>2091</v>
      </c>
    </row>
    <row r="155" spans="2:37" ht="16.5" customHeight="1">
      <c r="B155" s="122" t="s">
        <v>2080</v>
      </c>
      <c r="C155" s="122" t="str">
        <f t="shared" si="163"/>
        <v>FF02A063000005</v>
      </c>
      <c r="D155" s="60" t="s">
        <v>17</v>
      </c>
      <c r="E155" s="60" t="s">
        <v>23</v>
      </c>
      <c r="F155" s="60" t="s">
        <v>1779</v>
      </c>
      <c r="G155" s="60" t="s">
        <v>16</v>
      </c>
      <c r="H155" s="60" t="s">
        <v>16</v>
      </c>
      <c r="I155" s="12" t="str">
        <f t="shared" si="164"/>
        <v>05</v>
      </c>
      <c r="J155" s="12"/>
      <c r="K155" s="12"/>
      <c r="L155" s="12"/>
      <c r="M155" s="12"/>
      <c r="N155" s="12"/>
      <c r="O155" s="12"/>
      <c r="P155" s="12"/>
      <c r="Q155" s="13">
        <f t="shared" si="165"/>
        <v>2</v>
      </c>
      <c r="R155" s="13">
        <f t="shared" si="166"/>
        <v>160</v>
      </c>
      <c r="S155" s="13">
        <f t="shared" si="167"/>
        <v>99</v>
      </c>
      <c r="T155" s="13">
        <f t="shared" si="168"/>
        <v>0</v>
      </c>
      <c r="U155" s="13">
        <f t="shared" si="173"/>
        <v>0</v>
      </c>
      <c r="V155" s="13">
        <f t="shared" si="169"/>
        <v>261</v>
      </c>
      <c r="W155" s="13" t="str">
        <f t="shared" si="170"/>
        <v>05</v>
      </c>
      <c r="X155" s="13">
        <f t="shared" si="171"/>
        <v>520</v>
      </c>
      <c r="Y155" s="13" t="str">
        <f t="shared" si="172"/>
        <v>08</v>
      </c>
      <c r="Z155" s="119"/>
      <c r="AA155" s="119"/>
      <c r="AB155" s="119"/>
      <c r="AC155" s="119"/>
      <c r="AD155" s="119"/>
      <c r="AE155" s="119"/>
      <c r="AF155" s="119"/>
      <c r="AG155" s="119"/>
      <c r="AH155" s="119"/>
      <c r="AJ155" s="64"/>
      <c r="AK155" s="64" t="s">
        <v>2092</v>
      </c>
    </row>
    <row r="156" spans="2:37" ht="16.5" customHeight="1">
      <c r="B156" s="122" t="s">
        <v>2081</v>
      </c>
      <c r="C156" s="122" t="str">
        <f>"FF"&amp;D156&amp;E156&amp;""&amp;F156&amp;G156&amp;H156&amp;I156</f>
        <v>FF02A06300FF04</v>
      </c>
      <c r="D156" s="60" t="s">
        <v>17</v>
      </c>
      <c r="E156" s="60" t="s">
        <v>23</v>
      </c>
      <c r="F156" s="60" t="s">
        <v>1779</v>
      </c>
      <c r="G156" s="60" t="s">
        <v>16</v>
      </c>
      <c r="H156" s="60" t="s">
        <v>9</v>
      </c>
      <c r="I156" s="12" t="str">
        <f t="shared" si="164"/>
        <v>04</v>
      </c>
      <c r="J156" s="12"/>
      <c r="K156" s="12"/>
      <c r="L156" s="12"/>
      <c r="M156" s="12"/>
      <c r="N156" s="12"/>
      <c r="O156" s="12"/>
      <c r="P156" s="12"/>
      <c r="Q156" s="13">
        <f t="shared" si="165"/>
        <v>2</v>
      </c>
      <c r="R156" s="13">
        <f t="shared" si="166"/>
        <v>160</v>
      </c>
      <c r="S156" s="13">
        <f t="shared" si="167"/>
        <v>99</v>
      </c>
      <c r="T156" s="13">
        <f t="shared" si="168"/>
        <v>0</v>
      </c>
      <c r="U156" s="13">
        <f t="shared" si="173"/>
        <v>255</v>
      </c>
      <c r="V156" s="13">
        <f t="shared" si="169"/>
        <v>516</v>
      </c>
      <c r="W156" s="13" t="str">
        <f t="shared" si="170"/>
        <v>04</v>
      </c>
      <c r="X156" s="13">
        <f t="shared" si="171"/>
        <v>1030</v>
      </c>
      <c r="Y156" s="13" t="str">
        <f t="shared" si="172"/>
        <v>06</v>
      </c>
      <c r="Z156" s="119"/>
      <c r="AA156" s="119"/>
      <c r="AB156" s="119"/>
      <c r="AC156" s="119"/>
      <c r="AD156" s="119"/>
      <c r="AE156" s="119"/>
      <c r="AF156" s="119"/>
      <c r="AG156" s="119">
        <v>255</v>
      </c>
      <c r="AH156" s="119" t="str">
        <f>DEC2HEX(AG156)</f>
        <v>FF</v>
      </c>
      <c r="AJ156" s="64"/>
      <c r="AK156" s="64" t="s">
        <v>2093</v>
      </c>
    </row>
    <row r="157" spans="2:37" ht="16.5" customHeight="1">
      <c r="B157" s="140" t="s">
        <v>2086</v>
      </c>
      <c r="C157" s="122" t="str">
        <f t="shared" si="163"/>
        <v>FF02A064000107</v>
      </c>
      <c r="D157" s="60" t="s">
        <v>17</v>
      </c>
      <c r="E157" s="60" t="s">
        <v>23</v>
      </c>
      <c r="F157" s="60" t="s">
        <v>128</v>
      </c>
      <c r="G157" s="60" t="s">
        <v>16</v>
      </c>
      <c r="H157" s="60" t="s">
        <v>24</v>
      </c>
      <c r="I157" s="12" t="str">
        <f t="shared" si="164"/>
        <v>07</v>
      </c>
      <c r="J157" s="12"/>
      <c r="K157" s="12"/>
      <c r="L157" s="12"/>
      <c r="M157" s="12"/>
      <c r="N157" s="12"/>
      <c r="O157" s="12"/>
      <c r="P157" s="12"/>
      <c r="Q157" s="13">
        <f t="shared" si="165"/>
        <v>2</v>
      </c>
      <c r="R157" s="13">
        <f t="shared" si="166"/>
        <v>160</v>
      </c>
      <c r="S157" s="13">
        <f t="shared" si="167"/>
        <v>100</v>
      </c>
      <c r="T157" s="13">
        <f t="shared" si="168"/>
        <v>0</v>
      </c>
      <c r="U157" s="13">
        <f t="shared" si="173"/>
        <v>1</v>
      </c>
      <c r="V157" s="13">
        <f t="shared" si="169"/>
        <v>263</v>
      </c>
      <c r="W157" s="13" t="str">
        <f t="shared" si="170"/>
        <v>07</v>
      </c>
      <c r="X157" s="13">
        <f t="shared" si="171"/>
        <v>524</v>
      </c>
      <c r="Y157" s="13" t="str">
        <f t="shared" si="172"/>
        <v>0C</v>
      </c>
      <c r="Z157" s="119"/>
      <c r="AA157" s="119"/>
      <c r="AB157" s="119"/>
      <c r="AC157" s="119"/>
      <c r="AD157" s="119"/>
      <c r="AE157" s="119"/>
      <c r="AF157" s="119"/>
      <c r="AG157" s="119"/>
      <c r="AH157" s="119"/>
      <c r="AJ157" s="64"/>
      <c r="AK157" s="64" t="s">
        <v>2094</v>
      </c>
    </row>
    <row r="158" spans="2:37" ht="16.5" customHeight="1">
      <c r="B158" s="122" t="s">
        <v>2085</v>
      </c>
      <c r="C158" s="122" t="str">
        <f t="shared" si="163"/>
        <v>FF02A064058792</v>
      </c>
      <c r="D158" s="60" t="s">
        <v>17</v>
      </c>
      <c r="E158" s="60" t="s">
        <v>23</v>
      </c>
      <c r="F158" s="60" t="s">
        <v>128</v>
      </c>
      <c r="G158" s="60" t="s">
        <v>92</v>
      </c>
      <c r="H158" s="60" t="s">
        <v>2011</v>
      </c>
      <c r="I158" s="12" t="str">
        <f t="shared" si="164"/>
        <v>92</v>
      </c>
      <c r="J158" s="12"/>
      <c r="K158" s="12"/>
      <c r="L158" s="12"/>
      <c r="M158" s="12"/>
      <c r="N158" s="12"/>
      <c r="O158" s="12"/>
      <c r="P158" s="12"/>
      <c r="Q158" s="13">
        <f t="shared" si="165"/>
        <v>2</v>
      </c>
      <c r="R158" s="13">
        <f t="shared" si="166"/>
        <v>160</v>
      </c>
      <c r="S158" s="13">
        <f t="shared" si="167"/>
        <v>100</v>
      </c>
      <c r="T158" s="13">
        <f t="shared" si="168"/>
        <v>5</v>
      </c>
      <c r="U158" s="13">
        <f t="shared" si="173"/>
        <v>135</v>
      </c>
      <c r="V158" s="13">
        <f t="shared" si="169"/>
        <v>402</v>
      </c>
      <c r="W158" s="13" t="str">
        <f t="shared" si="170"/>
        <v>92</v>
      </c>
      <c r="X158" s="13">
        <f t="shared" si="171"/>
        <v>802</v>
      </c>
      <c r="Y158" s="13" t="str">
        <f t="shared" si="172"/>
        <v>22</v>
      </c>
      <c r="Z158" s="119"/>
      <c r="AA158" s="119"/>
      <c r="AB158" s="119"/>
      <c r="AC158" s="119"/>
      <c r="AD158" s="119"/>
      <c r="AE158" s="119"/>
      <c r="AF158" s="119"/>
      <c r="AG158" s="119">
        <v>65535</v>
      </c>
      <c r="AH158" s="119" t="str">
        <f>DEC2HEX(AG158)</f>
        <v>FFFF</v>
      </c>
      <c r="AJ158" s="64"/>
      <c r="AK158" s="64" t="s">
        <v>2095</v>
      </c>
    </row>
    <row r="159" spans="2:37" ht="16.5" customHeight="1">
      <c r="B159" s="122" t="s">
        <v>1780</v>
      </c>
      <c r="C159" s="122" t="str">
        <f t="shared" si="152"/>
        <v>FF01B1000000B2</v>
      </c>
      <c r="D159" s="60" t="s">
        <v>24</v>
      </c>
      <c r="E159" s="60" t="s">
        <v>32</v>
      </c>
      <c r="F159" s="60" t="s">
        <v>16</v>
      </c>
      <c r="G159" s="60" t="s">
        <v>16</v>
      </c>
      <c r="H159" s="60" t="s">
        <v>16</v>
      </c>
      <c r="I159" s="12" t="str">
        <f t="shared" ref="I159:I169" si="174">W159</f>
        <v>B2</v>
      </c>
      <c r="J159" s="12"/>
      <c r="K159" s="12"/>
      <c r="L159" s="12"/>
      <c r="M159" s="12"/>
      <c r="N159" s="12"/>
      <c r="O159" s="12"/>
      <c r="P159" s="12"/>
      <c r="Q159" s="13">
        <f t="shared" si="154"/>
        <v>1</v>
      </c>
      <c r="R159" s="13">
        <f t="shared" si="155"/>
        <v>177</v>
      </c>
      <c r="S159" s="13">
        <f t="shared" si="156"/>
        <v>0</v>
      </c>
      <c r="T159" s="13">
        <f t="shared" si="157"/>
        <v>0</v>
      </c>
      <c r="U159" s="13">
        <f t="shared" si="162"/>
        <v>0</v>
      </c>
      <c r="V159" s="13">
        <f t="shared" ref="V159:V169" si="175">SUM(Q159:U159)</f>
        <v>178</v>
      </c>
      <c r="W159" s="13" t="str">
        <f t="shared" ref="W159:W169" si="176">REPT("0",2-LEN(RIGHT(DEC2HEX(V159), 2)))&amp;RIGHT(DEC2HEX(V159), 2)</f>
        <v>B2</v>
      </c>
      <c r="X159" s="13">
        <f t="shared" ref="X159:X169" si="177">SUM(R159:W159)</f>
        <v>355</v>
      </c>
      <c r="Y159" s="13" t="str">
        <f t="shared" ref="Y159:Y169" si="178">REPT("0",2-LEN(RIGHT(DEC2HEX(X159), 2)))&amp;RIGHT(DEC2HEX(X159), 2)</f>
        <v>63</v>
      </c>
      <c r="Z159" s="119"/>
      <c r="AA159" s="119"/>
      <c r="AB159" s="119"/>
      <c r="AC159" s="119"/>
      <c r="AD159" s="119"/>
      <c r="AE159" s="119"/>
      <c r="AF159" s="119"/>
      <c r="AG159" s="119"/>
      <c r="AH159" s="119"/>
      <c r="AJ159" s="64"/>
      <c r="AK159" s="64" t="s">
        <v>2357</v>
      </c>
    </row>
    <row r="160" spans="2:37" ht="16.5" customHeight="1">
      <c r="B160" s="122" t="s">
        <v>1781</v>
      </c>
      <c r="C160" s="122" t="str">
        <f t="shared" si="152"/>
        <v>FF01B0010000B2</v>
      </c>
      <c r="D160" s="60" t="s">
        <v>24</v>
      </c>
      <c r="E160" s="60" t="s">
        <v>1275</v>
      </c>
      <c r="F160" s="60" t="s">
        <v>24</v>
      </c>
      <c r="G160" s="60" t="s">
        <v>16</v>
      </c>
      <c r="H160" s="60" t="s">
        <v>16</v>
      </c>
      <c r="I160" s="12" t="str">
        <f t="shared" si="174"/>
        <v>B2</v>
      </c>
      <c r="J160" s="12"/>
      <c r="K160" s="12"/>
      <c r="L160" s="12"/>
      <c r="M160" s="12"/>
      <c r="N160" s="12"/>
      <c r="O160" s="12"/>
      <c r="P160" s="12"/>
      <c r="Q160" s="13">
        <f t="shared" si="154"/>
        <v>1</v>
      </c>
      <c r="R160" s="13">
        <f t="shared" si="155"/>
        <v>176</v>
      </c>
      <c r="S160" s="13">
        <f t="shared" si="156"/>
        <v>1</v>
      </c>
      <c r="T160" s="13">
        <f t="shared" si="157"/>
        <v>0</v>
      </c>
      <c r="U160" s="13">
        <f t="shared" si="162"/>
        <v>0</v>
      </c>
      <c r="V160" s="13">
        <f t="shared" si="175"/>
        <v>178</v>
      </c>
      <c r="W160" s="13" t="str">
        <f t="shared" si="176"/>
        <v>B2</v>
      </c>
      <c r="X160" s="13">
        <f t="shared" si="177"/>
        <v>355</v>
      </c>
      <c r="Y160" s="13" t="str">
        <f t="shared" si="178"/>
        <v>63</v>
      </c>
      <c r="Z160" s="119"/>
      <c r="AA160" s="119"/>
      <c r="AB160" s="119"/>
      <c r="AC160" s="119"/>
      <c r="AD160" s="119"/>
      <c r="AE160" s="119"/>
      <c r="AF160" s="119"/>
      <c r="AG160" s="119"/>
      <c r="AH160" s="119"/>
      <c r="AJ160" s="64"/>
      <c r="AK160" s="64" t="s">
        <v>2102</v>
      </c>
    </row>
    <row r="161" spans="2:37" ht="16.5" customHeight="1">
      <c r="B161" s="122" t="s">
        <v>1782</v>
      </c>
      <c r="C161" s="122" t="str">
        <f t="shared" si="152"/>
        <v>FF01B0020000B3</v>
      </c>
      <c r="D161" s="60" t="s">
        <v>24</v>
      </c>
      <c r="E161" s="60" t="s">
        <v>1275</v>
      </c>
      <c r="F161" s="60" t="s">
        <v>17</v>
      </c>
      <c r="G161" s="60" t="s">
        <v>16</v>
      </c>
      <c r="H161" s="60" t="s">
        <v>16</v>
      </c>
      <c r="I161" s="12" t="str">
        <f t="shared" si="174"/>
        <v>B3</v>
      </c>
      <c r="J161" s="12"/>
      <c r="K161" s="12"/>
      <c r="L161" s="12"/>
      <c r="M161" s="12"/>
      <c r="N161" s="12"/>
      <c r="O161" s="12"/>
      <c r="P161" s="12"/>
      <c r="Q161" s="13">
        <f t="shared" si="154"/>
        <v>1</v>
      </c>
      <c r="R161" s="13">
        <f t="shared" si="155"/>
        <v>176</v>
      </c>
      <c r="S161" s="13">
        <f t="shared" si="156"/>
        <v>2</v>
      </c>
      <c r="T161" s="13">
        <f t="shared" si="157"/>
        <v>0</v>
      </c>
      <c r="U161" s="13">
        <f t="shared" si="162"/>
        <v>0</v>
      </c>
      <c r="V161" s="13">
        <f t="shared" si="175"/>
        <v>179</v>
      </c>
      <c r="W161" s="13" t="str">
        <f t="shared" si="176"/>
        <v>B3</v>
      </c>
      <c r="X161" s="13">
        <f t="shared" si="177"/>
        <v>357</v>
      </c>
      <c r="Y161" s="13" t="str">
        <f t="shared" si="178"/>
        <v>65</v>
      </c>
      <c r="Z161" s="119"/>
      <c r="AA161" s="119"/>
      <c r="AB161" s="119"/>
      <c r="AC161" s="119"/>
      <c r="AD161" s="119"/>
      <c r="AE161" s="119"/>
      <c r="AF161" s="119"/>
      <c r="AG161" s="119"/>
      <c r="AH161" s="119"/>
      <c r="AJ161" s="64"/>
      <c r="AK161" s="64" t="s">
        <v>2103</v>
      </c>
    </row>
    <row r="162" spans="2:37" ht="16.5" customHeight="1">
      <c r="B162" s="122" t="s">
        <v>1783</v>
      </c>
      <c r="C162" s="122" t="str">
        <f t="shared" si="152"/>
        <v>FF01B0020001B4</v>
      </c>
      <c r="D162" s="60" t="s">
        <v>24</v>
      </c>
      <c r="E162" s="60" t="s">
        <v>1275</v>
      </c>
      <c r="F162" s="60" t="s">
        <v>17</v>
      </c>
      <c r="G162" s="60" t="s">
        <v>16</v>
      </c>
      <c r="H162" s="60" t="s">
        <v>24</v>
      </c>
      <c r="I162" s="12" t="str">
        <f t="shared" si="174"/>
        <v>B4</v>
      </c>
      <c r="J162" s="12"/>
      <c r="K162" s="12"/>
      <c r="L162" s="12"/>
      <c r="M162" s="12"/>
      <c r="N162" s="12"/>
      <c r="O162" s="12"/>
      <c r="P162" s="12"/>
      <c r="Q162" s="13">
        <f t="shared" si="154"/>
        <v>1</v>
      </c>
      <c r="R162" s="13">
        <f t="shared" si="155"/>
        <v>176</v>
      </c>
      <c r="S162" s="13">
        <f t="shared" si="156"/>
        <v>2</v>
      </c>
      <c r="T162" s="13">
        <f t="shared" si="157"/>
        <v>0</v>
      </c>
      <c r="U162" s="13">
        <f t="shared" si="162"/>
        <v>1</v>
      </c>
      <c r="V162" s="13">
        <f t="shared" si="175"/>
        <v>180</v>
      </c>
      <c r="W162" s="13" t="str">
        <f t="shared" si="176"/>
        <v>B4</v>
      </c>
      <c r="X162" s="13">
        <f t="shared" si="177"/>
        <v>359</v>
      </c>
      <c r="Y162" s="13" t="str">
        <f t="shared" si="178"/>
        <v>67</v>
      </c>
      <c r="Z162" s="119"/>
      <c r="AA162" s="119"/>
      <c r="AB162" s="119"/>
      <c r="AC162" s="119"/>
      <c r="AD162" s="119"/>
      <c r="AE162" s="119"/>
      <c r="AF162" s="119"/>
      <c r="AG162" s="119"/>
      <c r="AH162" s="119"/>
      <c r="AJ162" s="64"/>
      <c r="AK162" s="64" t="s">
        <v>2104</v>
      </c>
    </row>
    <row r="163" spans="2:37" ht="16.5" customHeight="1">
      <c r="B163" s="122" t="s">
        <v>1785</v>
      </c>
      <c r="C163" s="122" t="str">
        <f t="shared" si="152"/>
        <v>FF01B0020002B5</v>
      </c>
      <c r="D163" s="60" t="s">
        <v>24</v>
      </c>
      <c r="E163" s="60" t="s">
        <v>1275</v>
      </c>
      <c r="F163" s="60" t="s">
        <v>17</v>
      </c>
      <c r="G163" s="60" t="s">
        <v>16</v>
      </c>
      <c r="H163" s="60" t="s">
        <v>17</v>
      </c>
      <c r="I163" s="12" t="str">
        <f t="shared" si="174"/>
        <v>B5</v>
      </c>
      <c r="J163" s="12"/>
      <c r="K163" s="12"/>
      <c r="L163" s="12"/>
      <c r="M163" s="12"/>
      <c r="N163" s="12"/>
      <c r="O163" s="12"/>
      <c r="P163" s="12"/>
      <c r="Q163" s="13">
        <f t="shared" si="154"/>
        <v>1</v>
      </c>
      <c r="R163" s="13">
        <f t="shared" si="155"/>
        <v>176</v>
      </c>
      <c r="S163" s="13">
        <f t="shared" si="156"/>
        <v>2</v>
      </c>
      <c r="T163" s="13">
        <f t="shared" si="157"/>
        <v>0</v>
      </c>
      <c r="U163" s="13">
        <f t="shared" si="162"/>
        <v>2</v>
      </c>
      <c r="V163" s="13">
        <f t="shared" si="175"/>
        <v>181</v>
      </c>
      <c r="W163" s="13" t="str">
        <f t="shared" si="176"/>
        <v>B5</v>
      </c>
      <c r="X163" s="13">
        <f t="shared" si="177"/>
        <v>361</v>
      </c>
      <c r="Y163" s="13" t="str">
        <f t="shared" si="178"/>
        <v>69</v>
      </c>
      <c r="Z163" s="119"/>
      <c r="AA163" s="119"/>
      <c r="AB163" s="119"/>
      <c r="AC163" s="119"/>
      <c r="AD163" s="119"/>
      <c r="AE163" s="119"/>
      <c r="AF163" s="119"/>
      <c r="AG163" s="119"/>
      <c r="AH163" s="119"/>
      <c r="AJ163" s="64"/>
      <c r="AK163" s="64" t="s">
        <v>2105</v>
      </c>
    </row>
    <row r="164" spans="2:37" ht="16.5" customHeight="1">
      <c r="B164" s="122" t="s">
        <v>1784</v>
      </c>
      <c r="C164" s="122" t="str">
        <f t="shared" si="152"/>
        <v>FF01B0020003B6</v>
      </c>
      <c r="D164" s="60" t="s">
        <v>24</v>
      </c>
      <c r="E164" s="60" t="s">
        <v>1275</v>
      </c>
      <c r="F164" s="60" t="s">
        <v>17</v>
      </c>
      <c r="G164" s="60" t="s">
        <v>16</v>
      </c>
      <c r="H164" s="60" t="s">
        <v>91</v>
      </c>
      <c r="I164" s="12" t="str">
        <f t="shared" si="174"/>
        <v>B6</v>
      </c>
      <c r="J164" s="12"/>
      <c r="K164" s="12"/>
      <c r="L164" s="12"/>
      <c r="M164" s="12"/>
      <c r="N164" s="12"/>
      <c r="O164" s="12"/>
      <c r="P164" s="12"/>
      <c r="Q164" s="13">
        <f t="shared" si="154"/>
        <v>1</v>
      </c>
      <c r="R164" s="13">
        <f t="shared" si="155"/>
        <v>176</v>
      </c>
      <c r="S164" s="13">
        <f t="shared" si="156"/>
        <v>2</v>
      </c>
      <c r="T164" s="13">
        <f t="shared" si="157"/>
        <v>0</v>
      </c>
      <c r="U164" s="13">
        <f t="shared" si="162"/>
        <v>3</v>
      </c>
      <c r="V164" s="13">
        <f t="shared" si="175"/>
        <v>182</v>
      </c>
      <c r="W164" s="13" t="str">
        <f t="shared" si="176"/>
        <v>B6</v>
      </c>
      <c r="X164" s="13">
        <f t="shared" si="177"/>
        <v>363</v>
      </c>
      <c r="Y164" s="13" t="str">
        <f t="shared" si="178"/>
        <v>6B</v>
      </c>
      <c r="Z164" s="119"/>
      <c r="AA164" s="119"/>
      <c r="AB164" s="119"/>
      <c r="AC164" s="119"/>
      <c r="AD164" s="119"/>
      <c r="AE164" s="119"/>
      <c r="AF164" s="119"/>
      <c r="AG164" s="119"/>
      <c r="AH164" s="119"/>
      <c r="AJ164" s="64"/>
      <c r="AK164" s="64" t="s">
        <v>2106</v>
      </c>
    </row>
    <row r="165" spans="2:37" ht="16.5" customHeight="1">
      <c r="B165" s="122" t="s">
        <v>1791</v>
      </c>
      <c r="C165" s="122" t="str">
        <f t="shared" si="152"/>
        <v>FF01B0030000B4</v>
      </c>
      <c r="D165" s="60" t="s">
        <v>24</v>
      </c>
      <c r="E165" s="60" t="s">
        <v>1275</v>
      </c>
      <c r="F165" s="60" t="s">
        <v>91</v>
      </c>
      <c r="G165" s="60" t="s">
        <v>16</v>
      </c>
      <c r="H165" s="60" t="s">
        <v>16</v>
      </c>
      <c r="I165" s="12" t="str">
        <f t="shared" ref="I165" si="179">W165</f>
        <v>B4</v>
      </c>
      <c r="J165" s="12"/>
      <c r="K165" s="12"/>
      <c r="L165" s="12"/>
      <c r="M165" s="12"/>
      <c r="N165" s="12"/>
      <c r="O165" s="12"/>
      <c r="P165" s="12"/>
      <c r="Q165" s="13">
        <f t="shared" si="154"/>
        <v>1</v>
      </c>
      <c r="R165" s="13">
        <f t="shared" si="155"/>
        <v>176</v>
      </c>
      <c r="S165" s="13">
        <f t="shared" si="156"/>
        <v>3</v>
      </c>
      <c r="T165" s="13">
        <f t="shared" si="157"/>
        <v>0</v>
      </c>
      <c r="U165" s="13">
        <f t="shared" si="162"/>
        <v>0</v>
      </c>
      <c r="V165" s="13">
        <f t="shared" ref="V165" si="180">SUM(Q165:U165)</f>
        <v>180</v>
      </c>
      <c r="W165" s="13" t="str">
        <f t="shared" ref="W165" si="181">REPT("0",2-LEN(RIGHT(DEC2HEX(V165), 2)))&amp;RIGHT(DEC2HEX(V165), 2)</f>
        <v>B4</v>
      </c>
      <c r="X165" s="13">
        <f t="shared" ref="X165" si="182">SUM(R165:W165)</f>
        <v>359</v>
      </c>
      <c r="Y165" s="13" t="str">
        <f t="shared" ref="Y165" si="183">REPT("0",2-LEN(RIGHT(DEC2HEX(X165), 2)))&amp;RIGHT(DEC2HEX(X165), 2)</f>
        <v>67</v>
      </c>
      <c r="Z165" s="119"/>
      <c r="AA165" s="119"/>
      <c r="AB165" s="119"/>
      <c r="AC165" s="119"/>
      <c r="AD165" s="119"/>
      <c r="AE165" s="119"/>
      <c r="AF165" s="119"/>
      <c r="AG165" s="119"/>
      <c r="AH165" s="119"/>
      <c r="AJ165" s="64"/>
      <c r="AK165" s="64" t="s">
        <v>2107</v>
      </c>
    </row>
    <row r="166" spans="2:37" ht="16.5" customHeight="1">
      <c r="B166" s="122" t="s">
        <v>1792</v>
      </c>
      <c r="C166" s="122" t="str">
        <f t="shared" si="152"/>
        <v>FF01B0030040F4</v>
      </c>
      <c r="D166" s="60" t="s">
        <v>24</v>
      </c>
      <c r="E166" s="60" t="s">
        <v>1275</v>
      </c>
      <c r="F166" s="60" t="s">
        <v>91</v>
      </c>
      <c r="G166" s="60" t="s">
        <v>16</v>
      </c>
      <c r="H166" s="60" t="s">
        <v>1503</v>
      </c>
      <c r="I166" s="12" t="str">
        <f t="shared" ref="I166" si="184">W166</f>
        <v>F4</v>
      </c>
      <c r="J166" s="12"/>
      <c r="K166" s="12"/>
      <c r="L166" s="12"/>
      <c r="M166" s="12"/>
      <c r="N166" s="12"/>
      <c r="O166" s="12"/>
      <c r="P166" s="12"/>
      <c r="Q166" s="13">
        <f t="shared" si="154"/>
        <v>1</v>
      </c>
      <c r="R166" s="13">
        <f t="shared" si="155"/>
        <v>176</v>
      </c>
      <c r="S166" s="13">
        <f t="shared" si="156"/>
        <v>3</v>
      </c>
      <c r="T166" s="13">
        <f t="shared" si="157"/>
        <v>0</v>
      </c>
      <c r="U166" s="13">
        <f t="shared" si="162"/>
        <v>64</v>
      </c>
      <c r="V166" s="13">
        <f t="shared" ref="V166" si="185">SUM(Q166:U166)</f>
        <v>244</v>
      </c>
      <c r="W166" s="13" t="str">
        <f t="shared" ref="W166" si="186">REPT("0",2-LEN(RIGHT(DEC2HEX(V166), 2)))&amp;RIGHT(DEC2HEX(V166), 2)</f>
        <v>F4</v>
      </c>
      <c r="X166" s="13">
        <f t="shared" ref="X166" si="187">SUM(R166:W166)</f>
        <v>487</v>
      </c>
      <c r="Y166" s="13" t="str">
        <f t="shared" ref="Y166" si="188">REPT("0",2-LEN(RIGHT(DEC2HEX(X166), 2)))&amp;RIGHT(DEC2HEX(X166), 2)</f>
        <v>E7</v>
      </c>
      <c r="Z166" s="119"/>
      <c r="AA166" s="119"/>
      <c r="AB166" s="119"/>
      <c r="AC166" s="119"/>
      <c r="AD166" s="119"/>
      <c r="AE166" s="119"/>
      <c r="AF166" s="119"/>
      <c r="AG166" s="119">
        <v>64</v>
      </c>
      <c r="AH166" s="119" t="str">
        <f>DEC2HEX(AG166)</f>
        <v>40</v>
      </c>
      <c r="AJ166" s="64"/>
      <c r="AK166" s="64" t="s">
        <v>2108</v>
      </c>
    </row>
    <row r="167" spans="2:37" ht="16.5" customHeight="1">
      <c r="B167" s="122" t="s">
        <v>1786</v>
      </c>
      <c r="C167" s="122" t="str">
        <f t="shared" si="152"/>
        <v>FF01B0040000B5</v>
      </c>
      <c r="D167" s="60" t="s">
        <v>24</v>
      </c>
      <c r="E167" s="60" t="s">
        <v>1275</v>
      </c>
      <c r="F167" s="60" t="s">
        <v>67</v>
      </c>
      <c r="G167" s="60" t="s">
        <v>16</v>
      </c>
      <c r="H167" s="60" t="s">
        <v>16</v>
      </c>
      <c r="I167" s="12" t="str">
        <f t="shared" si="174"/>
        <v>B5</v>
      </c>
      <c r="J167" s="12"/>
      <c r="K167" s="12"/>
      <c r="L167" s="12"/>
      <c r="M167" s="12"/>
      <c r="N167" s="12"/>
      <c r="O167" s="12"/>
      <c r="P167" s="12"/>
      <c r="Q167" s="13">
        <f t="shared" si="154"/>
        <v>1</v>
      </c>
      <c r="R167" s="13">
        <f t="shared" si="155"/>
        <v>176</v>
      </c>
      <c r="S167" s="13">
        <f t="shared" si="156"/>
        <v>4</v>
      </c>
      <c r="T167" s="13">
        <f t="shared" si="157"/>
        <v>0</v>
      </c>
      <c r="U167" s="13">
        <f t="shared" si="162"/>
        <v>0</v>
      </c>
      <c r="V167" s="13">
        <f t="shared" si="175"/>
        <v>181</v>
      </c>
      <c r="W167" s="13" t="str">
        <f t="shared" si="176"/>
        <v>B5</v>
      </c>
      <c r="X167" s="13">
        <f t="shared" si="177"/>
        <v>361</v>
      </c>
      <c r="Y167" s="13" t="str">
        <f t="shared" si="178"/>
        <v>69</v>
      </c>
      <c r="Z167" s="119"/>
      <c r="AA167" s="119"/>
      <c r="AB167" s="119"/>
      <c r="AC167" s="119"/>
      <c r="AD167" s="119"/>
      <c r="AE167" s="119"/>
      <c r="AF167" s="119"/>
      <c r="AG167" s="119"/>
      <c r="AH167" s="119"/>
      <c r="AJ167" s="64"/>
      <c r="AK167" s="64" t="s">
        <v>2109</v>
      </c>
    </row>
    <row r="168" spans="2:37" ht="17.25">
      <c r="B168" s="122" t="s">
        <v>1787</v>
      </c>
      <c r="C168" s="122" t="str">
        <f t="shared" si="152"/>
        <v>FF01B004A8C01D</v>
      </c>
      <c r="D168" s="60" t="s">
        <v>24</v>
      </c>
      <c r="E168" s="60" t="s">
        <v>1275</v>
      </c>
      <c r="F168" s="60" t="s">
        <v>67</v>
      </c>
      <c r="G168" s="60" t="s">
        <v>1725</v>
      </c>
      <c r="H168" s="60" t="s">
        <v>1276</v>
      </c>
      <c r="I168" s="12" t="str">
        <f t="shared" si="174"/>
        <v>1D</v>
      </c>
      <c r="J168" s="12"/>
      <c r="K168" s="12"/>
      <c r="L168" s="12"/>
      <c r="M168" s="12"/>
      <c r="N168" s="12"/>
      <c r="O168" s="12"/>
      <c r="P168" s="12"/>
      <c r="Q168" s="13">
        <f t="shared" si="154"/>
        <v>1</v>
      </c>
      <c r="R168" s="13">
        <f t="shared" si="155"/>
        <v>176</v>
      </c>
      <c r="S168" s="13">
        <f t="shared" si="156"/>
        <v>4</v>
      </c>
      <c r="T168" s="13">
        <f t="shared" si="157"/>
        <v>168</v>
      </c>
      <c r="U168" s="13">
        <f t="shared" si="162"/>
        <v>192</v>
      </c>
      <c r="V168" s="13">
        <f t="shared" si="175"/>
        <v>541</v>
      </c>
      <c r="W168" s="13" t="str">
        <f t="shared" si="176"/>
        <v>1D</v>
      </c>
      <c r="X168" s="13">
        <f t="shared" si="177"/>
        <v>1081</v>
      </c>
      <c r="Y168" s="13" t="str">
        <f t="shared" si="178"/>
        <v>39</v>
      </c>
      <c r="Z168" s="119"/>
      <c r="AA168" s="119"/>
      <c r="AB168" s="119"/>
      <c r="AC168" s="119"/>
      <c r="AD168" s="119"/>
      <c r="AE168" s="119"/>
      <c r="AF168" s="119"/>
      <c r="AG168" s="119">
        <v>43200</v>
      </c>
      <c r="AH168" s="119" t="str">
        <f>DEC2HEX(AG168)</f>
        <v>A8C0</v>
      </c>
      <c r="AJ168" s="64"/>
      <c r="AK168" s="64" t="s">
        <v>2110</v>
      </c>
    </row>
    <row r="169" spans="2:37" ht="17.25">
      <c r="B169" s="122" t="s">
        <v>2096</v>
      </c>
      <c r="C169" s="122" t="str">
        <f t="shared" si="152"/>
        <v>FF01B004003CF1</v>
      </c>
      <c r="D169" s="60" t="s">
        <v>24</v>
      </c>
      <c r="E169" s="60" t="s">
        <v>1275</v>
      </c>
      <c r="F169" s="60" t="s">
        <v>67</v>
      </c>
      <c r="G169" s="60" t="s">
        <v>16</v>
      </c>
      <c r="H169" s="60" t="s">
        <v>1325</v>
      </c>
      <c r="I169" s="12" t="str">
        <f t="shared" si="174"/>
        <v>F1</v>
      </c>
      <c r="J169" s="12"/>
      <c r="K169" s="12"/>
      <c r="L169" s="12"/>
      <c r="M169" s="12"/>
      <c r="N169" s="12"/>
      <c r="O169" s="12"/>
      <c r="P169" s="12"/>
      <c r="Q169" s="13">
        <f t="shared" si="154"/>
        <v>1</v>
      </c>
      <c r="R169" s="13">
        <f t="shared" si="155"/>
        <v>176</v>
      </c>
      <c r="S169" s="13">
        <f t="shared" si="156"/>
        <v>4</v>
      </c>
      <c r="T169" s="13">
        <f t="shared" si="157"/>
        <v>0</v>
      </c>
      <c r="U169" s="13">
        <f t="shared" si="162"/>
        <v>60</v>
      </c>
      <c r="V169" s="13">
        <f t="shared" si="175"/>
        <v>241</v>
      </c>
      <c r="W169" s="13" t="str">
        <f t="shared" si="176"/>
        <v>F1</v>
      </c>
      <c r="X169" s="13">
        <f t="shared" si="177"/>
        <v>481</v>
      </c>
      <c r="Y169" s="13" t="str">
        <f t="shared" si="178"/>
        <v>E1</v>
      </c>
      <c r="Z169" s="119"/>
      <c r="AA169" s="119"/>
      <c r="AB169" s="119"/>
      <c r="AC169" s="119"/>
      <c r="AD169" s="119"/>
      <c r="AE169" s="119"/>
      <c r="AF169" s="119"/>
      <c r="AG169" s="119">
        <v>43200</v>
      </c>
      <c r="AH169" s="119" t="str">
        <f>DEC2HEX(AG169)</f>
        <v>A8C0</v>
      </c>
      <c r="AJ169" s="64"/>
      <c r="AK169" s="64" t="s">
        <v>2111</v>
      </c>
    </row>
    <row r="170" spans="2:37" ht="17.25">
      <c r="B170" s="122" t="s">
        <v>2120</v>
      </c>
      <c r="C170" s="122" t="str">
        <f t="shared" ref="C170" si="189">"FF"&amp;D170&amp;E170&amp;""&amp;F170&amp;G170&amp;H170&amp;I170</f>
        <v>FF01B004000ABF</v>
      </c>
      <c r="D170" s="60" t="s">
        <v>24</v>
      </c>
      <c r="E170" s="60" t="s">
        <v>1275</v>
      </c>
      <c r="F170" s="60" t="s">
        <v>67</v>
      </c>
      <c r="G170" s="60" t="s">
        <v>16</v>
      </c>
      <c r="H170" s="60" t="s">
        <v>61</v>
      </c>
      <c r="I170" s="12" t="str">
        <f t="shared" ref="I170" si="190">W170</f>
        <v>BF</v>
      </c>
      <c r="J170" s="12"/>
      <c r="K170" s="12"/>
      <c r="L170" s="12"/>
      <c r="M170" s="12"/>
      <c r="N170" s="12"/>
      <c r="O170" s="12"/>
      <c r="P170" s="12"/>
      <c r="Q170" s="13">
        <f t="shared" ref="Q170" si="191">HEX2DEC(D170)</f>
        <v>1</v>
      </c>
      <c r="R170" s="13">
        <f t="shared" ref="R170" si="192">HEX2DEC(E170)</f>
        <v>176</v>
      </c>
      <c r="S170" s="13">
        <f t="shared" ref="S170" si="193">HEX2DEC(F170)</f>
        <v>4</v>
      </c>
      <c r="T170" s="13">
        <f t="shared" ref="T170" si="194">HEX2DEC(G170)</f>
        <v>0</v>
      </c>
      <c r="U170" s="13">
        <f t="shared" ref="U170" si="195">HEX2DEC(H170)</f>
        <v>10</v>
      </c>
      <c r="V170" s="13">
        <f t="shared" ref="V170" si="196">SUM(Q170:U170)</f>
        <v>191</v>
      </c>
      <c r="W170" s="13" t="str">
        <f t="shared" ref="W170" si="197">REPT("0",2-LEN(RIGHT(DEC2HEX(V170), 2)))&amp;RIGHT(DEC2HEX(V170), 2)</f>
        <v>BF</v>
      </c>
      <c r="X170" s="13">
        <f t="shared" ref="X170" si="198">SUM(R170:W170)</f>
        <v>381</v>
      </c>
      <c r="Y170" s="13" t="str">
        <f t="shared" ref="Y170" si="199">REPT("0",2-LEN(RIGHT(DEC2HEX(X170), 2)))&amp;RIGHT(DEC2HEX(X170), 2)</f>
        <v>7D</v>
      </c>
      <c r="Z170" s="119"/>
      <c r="AA170" s="119"/>
      <c r="AB170" s="119"/>
      <c r="AC170" s="119"/>
      <c r="AD170" s="119"/>
      <c r="AE170" s="119"/>
      <c r="AF170" s="119"/>
      <c r="AG170" s="119">
        <v>43200</v>
      </c>
      <c r="AH170" s="119" t="str">
        <f>DEC2HEX(AG170)</f>
        <v>A8C0</v>
      </c>
      <c r="AJ170" s="64"/>
      <c r="AK170" s="64" t="s">
        <v>2193</v>
      </c>
    </row>
    <row r="171" spans="2:37" ht="16.5" customHeight="1">
      <c r="B171" s="122" t="s">
        <v>1788</v>
      </c>
      <c r="C171" s="122" t="str">
        <f t="shared" si="152"/>
        <v>FF01B005FFFFB4</v>
      </c>
      <c r="D171" s="60" t="s">
        <v>24</v>
      </c>
      <c r="E171" s="60" t="s">
        <v>1275</v>
      </c>
      <c r="F171" s="60" t="s">
        <v>92</v>
      </c>
      <c r="G171" s="60" t="s">
        <v>9</v>
      </c>
      <c r="H171" s="60" t="s">
        <v>9</v>
      </c>
      <c r="I171" s="12" t="str">
        <f t="shared" ref="I171:I182" si="200">W171</f>
        <v>B4</v>
      </c>
      <c r="J171" s="12"/>
      <c r="K171" s="12"/>
      <c r="L171" s="12"/>
      <c r="M171" s="12"/>
      <c r="N171" s="12"/>
      <c r="O171" s="12"/>
      <c r="P171" s="12"/>
      <c r="Q171" s="13">
        <f t="shared" si="154"/>
        <v>1</v>
      </c>
      <c r="R171" s="13">
        <f t="shared" si="155"/>
        <v>176</v>
      </c>
      <c r="S171" s="13">
        <f t="shared" si="156"/>
        <v>5</v>
      </c>
      <c r="T171" s="13">
        <f t="shared" si="157"/>
        <v>255</v>
      </c>
      <c r="U171" s="13">
        <f t="shared" si="162"/>
        <v>255</v>
      </c>
      <c r="V171" s="13">
        <f t="shared" ref="V171:V182" si="201">SUM(Q171:U171)</f>
        <v>692</v>
      </c>
      <c r="W171" s="13" t="str">
        <f t="shared" ref="W171:W182" si="202">REPT("0",2-LEN(RIGHT(DEC2HEX(V171), 2)))&amp;RIGHT(DEC2HEX(V171), 2)</f>
        <v>B4</v>
      </c>
      <c r="X171" s="13">
        <f t="shared" ref="X171:X182" si="203">SUM(R171:W171)</f>
        <v>1383</v>
      </c>
      <c r="Y171" s="13" t="str">
        <f t="shared" ref="Y171:Y182" si="204">REPT("0",2-LEN(RIGHT(DEC2HEX(X171), 2)))&amp;RIGHT(DEC2HEX(X171), 2)</f>
        <v>67</v>
      </c>
      <c r="Z171" s="119"/>
      <c r="AA171" s="119"/>
      <c r="AB171" s="119"/>
      <c r="AC171" s="119"/>
      <c r="AD171" s="119"/>
      <c r="AE171" s="119"/>
      <c r="AF171" s="119"/>
      <c r="AG171" s="119">
        <v>-1</v>
      </c>
      <c r="AH171" s="119"/>
      <c r="AI171" s="119" t="str">
        <f>TEXT(DEC2HEX(65536 + AG171), "0000")</f>
        <v>FFFF</v>
      </c>
      <c r="AJ171" s="64"/>
      <c r="AK171" s="64" t="s">
        <v>2112</v>
      </c>
    </row>
    <row r="172" spans="2:37" ht="16.5" customHeight="1">
      <c r="B172" s="122" t="s">
        <v>2099</v>
      </c>
      <c r="C172" s="122" t="str">
        <f t="shared" ref="C172:C173" si="205">"FF"&amp;D172&amp;E172&amp;""&amp;F172&amp;G172&amp;H172&amp;I172</f>
        <v>FF01B006EE6C11</v>
      </c>
      <c r="D172" s="60" t="s">
        <v>24</v>
      </c>
      <c r="E172" s="60" t="s">
        <v>1275</v>
      </c>
      <c r="F172" s="60" t="s">
        <v>100</v>
      </c>
      <c r="G172" s="60" t="s">
        <v>1716</v>
      </c>
      <c r="H172" s="60" t="s">
        <v>1717</v>
      </c>
      <c r="I172" s="12" t="str">
        <f t="shared" ref="I172:I173" si="206">W172</f>
        <v>11</v>
      </c>
      <c r="J172" s="12"/>
      <c r="K172" s="12"/>
      <c r="L172" s="12"/>
      <c r="M172" s="12"/>
      <c r="N172" s="12"/>
      <c r="O172" s="12"/>
      <c r="P172" s="12"/>
      <c r="Q172" s="13">
        <f t="shared" ref="Q172:Q173" si="207">HEX2DEC(D172)</f>
        <v>1</v>
      </c>
      <c r="R172" s="13">
        <f t="shared" ref="R172:R173" si="208">HEX2DEC(E172)</f>
        <v>176</v>
      </c>
      <c r="S172" s="13">
        <f t="shared" ref="S172:S173" si="209">HEX2DEC(F172)</f>
        <v>6</v>
      </c>
      <c r="T172" s="13">
        <f t="shared" ref="T172:T173" si="210">HEX2DEC(G172)</f>
        <v>238</v>
      </c>
      <c r="U172" s="13">
        <f t="shared" ref="U172:U173" si="211">HEX2DEC(H172)</f>
        <v>108</v>
      </c>
      <c r="V172" s="13">
        <f t="shared" ref="V172:V173" si="212">SUM(Q172:U172)</f>
        <v>529</v>
      </c>
      <c r="W172" s="13" t="str">
        <f t="shared" ref="W172:W173" si="213">REPT("0",2-LEN(RIGHT(DEC2HEX(V172), 2)))&amp;RIGHT(DEC2HEX(V172), 2)</f>
        <v>11</v>
      </c>
      <c r="X172" s="13">
        <f t="shared" ref="X172:X173" si="214">SUM(R172:W172)</f>
        <v>1057</v>
      </c>
      <c r="Y172" s="13" t="str">
        <f t="shared" ref="Y172:Y173" si="215">REPT("0",2-LEN(RIGHT(DEC2HEX(X172), 2)))&amp;RIGHT(DEC2HEX(X172), 2)</f>
        <v>21</v>
      </c>
      <c r="Z172" s="119"/>
      <c r="AA172" s="119"/>
      <c r="AB172" s="119"/>
      <c r="AC172" s="119"/>
      <c r="AD172" s="119"/>
      <c r="AE172" s="119"/>
      <c r="AF172" s="119"/>
      <c r="AG172" s="119"/>
      <c r="AH172" s="119"/>
      <c r="AJ172" s="64"/>
      <c r="AK172" s="64" t="s">
        <v>2113</v>
      </c>
    </row>
    <row r="173" spans="2:37" ht="16.5" customHeight="1">
      <c r="B173" s="122" t="s">
        <v>2100</v>
      </c>
      <c r="C173" s="122" t="str">
        <f t="shared" si="205"/>
        <v>FF01B0DCD8288D</v>
      </c>
      <c r="D173" s="60" t="s">
        <v>24</v>
      </c>
      <c r="E173" s="60" t="s">
        <v>1275</v>
      </c>
      <c r="F173" s="60" t="s">
        <v>1694</v>
      </c>
      <c r="G173" s="60" t="s">
        <v>1695</v>
      </c>
      <c r="H173" s="60" t="s">
        <v>140</v>
      </c>
      <c r="I173" s="12" t="str">
        <f t="shared" si="206"/>
        <v>8D</v>
      </c>
      <c r="J173" s="12"/>
      <c r="K173" s="12"/>
      <c r="L173" s="12"/>
      <c r="M173" s="12"/>
      <c r="N173" s="12"/>
      <c r="O173" s="12"/>
      <c r="P173" s="12"/>
      <c r="Q173" s="13">
        <f t="shared" si="207"/>
        <v>1</v>
      </c>
      <c r="R173" s="13">
        <f t="shared" si="208"/>
        <v>176</v>
      </c>
      <c r="S173" s="13">
        <f t="shared" si="209"/>
        <v>220</v>
      </c>
      <c r="T173" s="13">
        <f t="shared" si="210"/>
        <v>216</v>
      </c>
      <c r="U173" s="13">
        <f t="shared" si="211"/>
        <v>40</v>
      </c>
      <c r="V173" s="13">
        <f t="shared" si="212"/>
        <v>653</v>
      </c>
      <c r="W173" s="13" t="str">
        <f t="shared" si="213"/>
        <v>8D</v>
      </c>
      <c r="X173" s="13">
        <f t="shared" si="214"/>
        <v>1305</v>
      </c>
      <c r="Y173" s="13" t="str">
        <f t="shared" si="215"/>
        <v>19</v>
      </c>
      <c r="Z173" s="119"/>
      <c r="AA173" s="119"/>
      <c r="AB173" s="119"/>
      <c r="AC173" s="119"/>
      <c r="AD173" s="119"/>
      <c r="AE173" s="119"/>
      <c r="AF173" s="119"/>
      <c r="AG173" s="119"/>
      <c r="AH173" s="119"/>
      <c r="AJ173" s="64"/>
      <c r="AK173" s="64" t="s">
        <v>2114</v>
      </c>
    </row>
    <row r="174" spans="2:37" ht="16.5" customHeight="1">
      <c r="B174" s="122" t="s">
        <v>1789</v>
      </c>
      <c r="C174" s="122" t="str">
        <f t="shared" si="152"/>
        <v>FF01B005B9B01F</v>
      </c>
      <c r="D174" s="60" t="s">
        <v>24</v>
      </c>
      <c r="E174" s="60" t="s">
        <v>1275</v>
      </c>
      <c r="F174" s="60" t="s">
        <v>92</v>
      </c>
      <c r="G174" s="60" t="s">
        <v>1693</v>
      </c>
      <c r="H174" s="60" t="s">
        <v>1275</v>
      </c>
      <c r="I174" s="12" t="str">
        <f t="shared" si="200"/>
        <v>1F</v>
      </c>
      <c r="J174" s="12"/>
      <c r="K174" s="12"/>
      <c r="L174" s="12"/>
      <c r="M174" s="12"/>
      <c r="N174" s="12"/>
      <c r="O174" s="12"/>
      <c r="P174" s="12"/>
      <c r="Q174" s="13">
        <f t="shared" si="154"/>
        <v>1</v>
      </c>
      <c r="R174" s="13">
        <f t="shared" si="155"/>
        <v>176</v>
      </c>
      <c r="S174" s="13">
        <f t="shared" si="156"/>
        <v>5</v>
      </c>
      <c r="T174" s="13">
        <f t="shared" si="157"/>
        <v>185</v>
      </c>
      <c r="U174" s="13">
        <f t="shared" si="162"/>
        <v>176</v>
      </c>
      <c r="V174" s="13">
        <f t="shared" si="201"/>
        <v>543</v>
      </c>
      <c r="W174" s="13" t="str">
        <f t="shared" si="202"/>
        <v>1F</v>
      </c>
      <c r="X174" s="13">
        <f t="shared" si="203"/>
        <v>1085</v>
      </c>
      <c r="Y174" s="13" t="str">
        <f t="shared" si="204"/>
        <v>3D</v>
      </c>
      <c r="Z174" s="119"/>
      <c r="AA174" s="119"/>
      <c r="AB174" s="119"/>
      <c r="AC174" s="119"/>
      <c r="AD174" s="119"/>
      <c r="AE174" s="119"/>
      <c r="AF174" s="119"/>
      <c r="AG174" s="119">
        <v>-18000</v>
      </c>
      <c r="AH174" s="119"/>
      <c r="AI174" s="119" t="str">
        <f>TEXT(DEC2HEX(65536 + AG174), "0000")</f>
        <v>B9B0</v>
      </c>
      <c r="AJ174" s="64"/>
      <c r="AK174" s="64" t="s">
        <v>2115</v>
      </c>
    </row>
    <row r="175" spans="2:37" ht="16.5" customHeight="1">
      <c r="B175" s="122" t="s">
        <v>1790</v>
      </c>
      <c r="C175" s="122" t="str">
        <f t="shared" si="152"/>
        <v>FF01B0060001B8</v>
      </c>
      <c r="D175" s="60" t="s">
        <v>24</v>
      </c>
      <c r="E175" s="60" t="s">
        <v>1275</v>
      </c>
      <c r="F175" s="60" t="s">
        <v>100</v>
      </c>
      <c r="G175" s="60" t="s">
        <v>16</v>
      </c>
      <c r="H175" s="60" t="s">
        <v>24</v>
      </c>
      <c r="I175" s="12" t="str">
        <f t="shared" si="200"/>
        <v>B8</v>
      </c>
      <c r="J175" s="12"/>
      <c r="K175" s="12"/>
      <c r="L175" s="12"/>
      <c r="M175" s="12"/>
      <c r="N175" s="12"/>
      <c r="O175" s="12"/>
      <c r="P175" s="12"/>
      <c r="Q175" s="13">
        <f t="shared" si="154"/>
        <v>1</v>
      </c>
      <c r="R175" s="13">
        <f t="shared" si="155"/>
        <v>176</v>
      </c>
      <c r="S175" s="13">
        <f t="shared" si="156"/>
        <v>6</v>
      </c>
      <c r="T175" s="13">
        <f t="shared" si="157"/>
        <v>0</v>
      </c>
      <c r="U175" s="13">
        <f t="shared" si="162"/>
        <v>1</v>
      </c>
      <c r="V175" s="13">
        <f t="shared" si="201"/>
        <v>184</v>
      </c>
      <c r="W175" s="13" t="str">
        <f t="shared" si="202"/>
        <v>B8</v>
      </c>
      <c r="X175" s="13">
        <f t="shared" si="203"/>
        <v>367</v>
      </c>
      <c r="Y175" s="13" t="str">
        <f t="shared" si="204"/>
        <v>6F</v>
      </c>
      <c r="Z175" s="119"/>
      <c r="AA175" s="119"/>
      <c r="AB175" s="119"/>
      <c r="AC175" s="119"/>
      <c r="AD175" s="119"/>
      <c r="AE175" s="119"/>
      <c r="AF175" s="119"/>
      <c r="AG175" s="119"/>
      <c r="AH175" s="119"/>
      <c r="AJ175" s="64"/>
      <c r="AK175" s="64" t="s">
        <v>2116</v>
      </c>
    </row>
    <row r="176" spans="2:37" ht="16.5" customHeight="1">
      <c r="B176" s="122" t="s">
        <v>2098</v>
      </c>
      <c r="C176" s="122" t="str">
        <f t="shared" si="152"/>
        <v>FF01B00611945C</v>
      </c>
      <c r="D176" s="60" t="s">
        <v>24</v>
      </c>
      <c r="E176" s="60" t="s">
        <v>1275</v>
      </c>
      <c r="F176" s="60" t="s">
        <v>100</v>
      </c>
      <c r="G176" s="60" t="s">
        <v>110</v>
      </c>
      <c r="H176" s="60" t="s">
        <v>175</v>
      </c>
      <c r="I176" s="12" t="str">
        <f t="shared" si="200"/>
        <v>5C</v>
      </c>
      <c r="J176" s="12"/>
      <c r="K176" s="12"/>
      <c r="L176" s="12"/>
      <c r="M176" s="12"/>
      <c r="N176" s="12"/>
      <c r="O176" s="12"/>
      <c r="P176" s="12"/>
      <c r="Q176" s="13">
        <f t="shared" si="154"/>
        <v>1</v>
      </c>
      <c r="R176" s="13">
        <f t="shared" si="155"/>
        <v>176</v>
      </c>
      <c r="S176" s="13">
        <f t="shared" si="156"/>
        <v>6</v>
      </c>
      <c r="T176" s="13">
        <f t="shared" si="157"/>
        <v>17</v>
      </c>
      <c r="U176" s="13">
        <f t="shared" si="162"/>
        <v>148</v>
      </c>
      <c r="V176" s="13">
        <f t="shared" si="201"/>
        <v>348</v>
      </c>
      <c r="W176" s="13" t="str">
        <f t="shared" si="202"/>
        <v>5C</v>
      </c>
      <c r="X176" s="13">
        <f t="shared" si="203"/>
        <v>695</v>
      </c>
      <c r="Y176" s="13" t="str">
        <f t="shared" si="204"/>
        <v>B7</v>
      </c>
      <c r="Z176" s="119"/>
      <c r="AA176" s="119"/>
      <c r="AB176" s="119"/>
      <c r="AC176" s="119"/>
      <c r="AD176" s="119"/>
      <c r="AE176" s="119"/>
      <c r="AF176" s="119"/>
      <c r="AG176" s="119"/>
      <c r="AH176" s="119"/>
      <c r="AJ176" s="64"/>
      <c r="AK176" s="64" t="s">
        <v>2117</v>
      </c>
    </row>
    <row r="177" spans="2:37" ht="16.5" customHeight="1">
      <c r="B177" s="122" t="s">
        <v>2097</v>
      </c>
      <c r="C177" s="122" t="str">
        <f t="shared" ref="C177" si="216">"FF"&amp;D177&amp;E177&amp;""&amp;F177&amp;G177&amp;H177&amp;I177</f>
        <v>FF01B006232802</v>
      </c>
      <c r="D177" s="60" t="s">
        <v>24</v>
      </c>
      <c r="E177" s="60" t="s">
        <v>1275</v>
      </c>
      <c r="F177" s="60" t="s">
        <v>100</v>
      </c>
      <c r="G177" s="60" t="s">
        <v>1692</v>
      </c>
      <c r="H177" s="60" t="s">
        <v>140</v>
      </c>
      <c r="I177" s="12" t="str">
        <f t="shared" ref="I177" si="217">W177</f>
        <v>02</v>
      </c>
      <c r="J177" s="12"/>
      <c r="K177" s="12"/>
      <c r="L177" s="12"/>
      <c r="M177" s="12"/>
      <c r="N177" s="12"/>
      <c r="O177" s="12"/>
      <c r="P177" s="12"/>
      <c r="Q177" s="13">
        <f t="shared" ref="Q177" si="218">HEX2DEC(D177)</f>
        <v>1</v>
      </c>
      <c r="R177" s="13">
        <f t="shared" ref="R177" si="219">HEX2DEC(E177)</f>
        <v>176</v>
      </c>
      <c r="S177" s="13">
        <f t="shared" ref="S177" si="220">HEX2DEC(F177)</f>
        <v>6</v>
      </c>
      <c r="T177" s="13">
        <f t="shared" ref="T177" si="221">HEX2DEC(G177)</f>
        <v>35</v>
      </c>
      <c r="U177" s="13">
        <f t="shared" ref="U177" si="222">HEX2DEC(H177)</f>
        <v>40</v>
      </c>
      <c r="V177" s="13">
        <f t="shared" ref="V177" si="223">SUM(Q177:U177)</f>
        <v>258</v>
      </c>
      <c r="W177" s="13" t="str">
        <f t="shared" ref="W177" si="224">REPT("0",2-LEN(RIGHT(DEC2HEX(V177), 2)))&amp;RIGHT(DEC2HEX(V177), 2)</f>
        <v>02</v>
      </c>
      <c r="X177" s="13">
        <f t="shared" ref="X177" si="225">SUM(R177:W177)</f>
        <v>515</v>
      </c>
      <c r="Y177" s="13" t="str">
        <f t="shared" ref="Y177" si="226">REPT("0",2-LEN(RIGHT(DEC2HEX(X177), 2)))&amp;RIGHT(DEC2HEX(X177), 2)</f>
        <v>03</v>
      </c>
      <c r="Z177" s="119"/>
      <c r="AA177" s="119"/>
      <c r="AB177" s="119"/>
      <c r="AC177" s="119"/>
      <c r="AD177" s="119"/>
      <c r="AE177" s="119"/>
      <c r="AF177" s="119"/>
      <c r="AG177" s="119"/>
      <c r="AH177" s="119"/>
      <c r="AJ177" s="64"/>
      <c r="AK177" s="64" t="s">
        <v>2118</v>
      </c>
    </row>
    <row r="178" spans="2:37" ht="16.5" customHeight="1">
      <c r="B178" s="122" t="s">
        <v>1793</v>
      </c>
      <c r="C178" s="122" t="str">
        <f t="shared" si="152"/>
        <v>FF01B00646504D</v>
      </c>
      <c r="D178" s="60" t="s">
        <v>24</v>
      </c>
      <c r="E178" s="60" t="s">
        <v>1275</v>
      </c>
      <c r="F178" s="60" t="s">
        <v>100</v>
      </c>
      <c r="G178" s="60" t="s">
        <v>1691</v>
      </c>
      <c r="H178" s="60" t="s">
        <v>162</v>
      </c>
      <c r="I178" s="12" t="str">
        <f t="shared" si="200"/>
        <v>4D</v>
      </c>
      <c r="J178" s="12"/>
      <c r="K178" s="12"/>
      <c r="L178" s="12"/>
      <c r="M178" s="12"/>
      <c r="N178" s="12"/>
      <c r="O178" s="12"/>
      <c r="P178" s="12"/>
      <c r="Q178" s="13">
        <f t="shared" si="154"/>
        <v>1</v>
      </c>
      <c r="R178" s="13">
        <f t="shared" si="155"/>
        <v>176</v>
      </c>
      <c r="S178" s="13">
        <f t="shared" si="156"/>
        <v>6</v>
      </c>
      <c r="T178" s="13">
        <f t="shared" si="157"/>
        <v>70</v>
      </c>
      <c r="U178" s="13">
        <f t="shared" si="162"/>
        <v>80</v>
      </c>
      <c r="V178" s="13">
        <f t="shared" si="201"/>
        <v>333</v>
      </c>
      <c r="W178" s="13" t="str">
        <f t="shared" si="202"/>
        <v>4D</v>
      </c>
      <c r="X178" s="13">
        <f t="shared" si="203"/>
        <v>665</v>
      </c>
      <c r="Y178" s="13" t="str">
        <f t="shared" si="204"/>
        <v>99</v>
      </c>
      <c r="Z178" s="119"/>
      <c r="AA178" s="119"/>
      <c r="AB178" s="119"/>
      <c r="AC178" s="119"/>
      <c r="AD178" s="119"/>
      <c r="AE178" s="119"/>
      <c r="AF178" s="119"/>
      <c r="AG178" s="119">
        <v>18000</v>
      </c>
      <c r="AH178" s="119" t="str">
        <f>DEC2HEX(AG178)</f>
        <v>4650</v>
      </c>
      <c r="AJ178" s="64"/>
      <c r="AK178" s="64" t="s">
        <v>2119</v>
      </c>
    </row>
    <row r="179" spans="2:37" ht="16.5" customHeight="1">
      <c r="B179" s="122" t="s">
        <v>1794</v>
      </c>
      <c r="C179" s="122" t="str">
        <f t="shared" si="152"/>
        <v>FF01B1100001C3</v>
      </c>
      <c r="D179" s="60" t="s">
        <v>24</v>
      </c>
      <c r="E179" s="60" t="s">
        <v>32</v>
      </c>
      <c r="F179" s="60" t="s">
        <v>109</v>
      </c>
      <c r="G179" s="60" t="s">
        <v>16</v>
      </c>
      <c r="H179" s="60" t="s">
        <v>24</v>
      </c>
      <c r="I179" s="12" t="str">
        <f t="shared" si="200"/>
        <v>C3</v>
      </c>
      <c r="J179" s="12"/>
      <c r="K179" s="12"/>
      <c r="L179" s="12"/>
      <c r="M179" s="12"/>
      <c r="N179" s="12"/>
      <c r="O179" s="12"/>
      <c r="P179" s="12"/>
      <c r="Q179" s="13">
        <f t="shared" si="154"/>
        <v>1</v>
      </c>
      <c r="R179" s="13">
        <f t="shared" si="155"/>
        <v>177</v>
      </c>
      <c r="S179" s="13">
        <f t="shared" si="156"/>
        <v>16</v>
      </c>
      <c r="T179" s="13">
        <f t="shared" si="157"/>
        <v>0</v>
      </c>
      <c r="U179" s="13">
        <f t="shared" si="162"/>
        <v>1</v>
      </c>
      <c r="V179" s="13">
        <f t="shared" si="201"/>
        <v>195</v>
      </c>
      <c r="W179" s="13" t="str">
        <f t="shared" si="202"/>
        <v>C3</v>
      </c>
      <c r="X179" s="13">
        <f t="shared" si="203"/>
        <v>389</v>
      </c>
      <c r="Y179" s="13" t="str">
        <f t="shared" si="204"/>
        <v>85</v>
      </c>
      <c r="Z179" s="119"/>
      <c r="AA179" s="119"/>
      <c r="AB179" s="119"/>
      <c r="AC179" s="119"/>
      <c r="AD179" s="119"/>
      <c r="AE179" s="119"/>
      <c r="AF179" s="119"/>
      <c r="AG179" s="119"/>
      <c r="AH179" s="119"/>
      <c r="AJ179" s="64"/>
      <c r="AK179" s="64" t="s">
        <v>2194</v>
      </c>
    </row>
    <row r="180" spans="2:37" ht="16.5" customHeight="1">
      <c r="B180" s="122" t="s">
        <v>1795</v>
      </c>
      <c r="C180" s="122" t="str">
        <f t="shared" si="152"/>
        <v>FF01B11000FFC1</v>
      </c>
      <c r="D180" s="60" t="s">
        <v>24</v>
      </c>
      <c r="E180" s="60" t="s">
        <v>32</v>
      </c>
      <c r="F180" s="60" t="s">
        <v>109</v>
      </c>
      <c r="G180" s="60" t="s">
        <v>16</v>
      </c>
      <c r="H180" s="60" t="s">
        <v>9</v>
      </c>
      <c r="I180" s="12" t="str">
        <f t="shared" si="200"/>
        <v>C1</v>
      </c>
      <c r="J180" s="12"/>
      <c r="K180" s="12"/>
      <c r="L180" s="12"/>
      <c r="M180" s="12"/>
      <c r="N180" s="12"/>
      <c r="O180" s="12"/>
      <c r="P180" s="12"/>
      <c r="Q180" s="13">
        <f t="shared" si="154"/>
        <v>1</v>
      </c>
      <c r="R180" s="13">
        <f t="shared" si="155"/>
        <v>177</v>
      </c>
      <c r="S180" s="13">
        <f t="shared" si="156"/>
        <v>16</v>
      </c>
      <c r="T180" s="13">
        <f t="shared" si="157"/>
        <v>0</v>
      </c>
      <c r="U180" s="13">
        <f t="shared" si="162"/>
        <v>255</v>
      </c>
      <c r="V180" s="13">
        <f t="shared" si="201"/>
        <v>449</v>
      </c>
      <c r="W180" s="13" t="str">
        <f t="shared" si="202"/>
        <v>C1</v>
      </c>
      <c r="X180" s="13">
        <f t="shared" si="203"/>
        <v>897</v>
      </c>
      <c r="Y180" s="13" t="str">
        <f t="shared" si="204"/>
        <v>81</v>
      </c>
      <c r="Z180" s="119"/>
      <c r="AA180" s="119"/>
      <c r="AB180" s="119"/>
      <c r="AC180" s="119"/>
      <c r="AD180" s="119"/>
      <c r="AE180" s="119"/>
      <c r="AF180" s="119"/>
      <c r="AG180" s="119"/>
      <c r="AH180" s="119"/>
      <c r="AJ180" s="64"/>
      <c r="AK180" s="64" t="s">
        <v>2195</v>
      </c>
    </row>
    <row r="181" spans="2:37" ht="16.5" customHeight="1">
      <c r="B181" s="122" t="s">
        <v>1796</v>
      </c>
      <c r="C181" s="122" t="str">
        <f t="shared" si="152"/>
        <v>FF01B0110001C3</v>
      </c>
      <c r="D181" s="60" t="s">
        <v>24</v>
      </c>
      <c r="E181" s="60" t="s">
        <v>1275</v>
      </c>
      <c r="F181" s="60" t="s">
        <v>110</v>
      </c>
      <c r="G181" s="60" t="s">
        <v>16</v>
      </c>
      <c r="H181" s="60" t="s">
        <v>24</v>
      </c>
      <c r="I181" s="12" t="str">
        <f t="shared" si="200"/>
        <v>C3</v>
      </c>
      <c r="J181" s="12"/>
      <c r="K181" s="12"/>
      <c r="L181" s="12"/>
      <c r="M181" s="12"/>
      <c r="N181" s="12"/>
      <c r="O181" s="12"/>
      <c r="P181" s="12"/>
      <c r="Q181" s="13">
        <f t="shared" si="154"/>
        <v>1</v>
      </c>
      <c r="R181" s="13">
        <f t="shared" si="155"/>
        <v>176</v>
      </c>
      <c r="S181" s="13">
        <f t="shared" si="156"/>
        <v>17</v>
      </c>
      <c r="T181" s="13">
        <f t="shared" si="157"/>
        <v>0</v>
      </c>
      <c r="U181" s="13">
        <f t="shared" si="162"/>
        <v>1</v>
      </c>
      <c r="V181" s="13">
        <f t="shared" si="201"/>
        <v>195</v>
      </c>
      <c r="W181" s="13" t="str">
        <f t="shared" si="202"/>
        <v>C3</v>
      </c>
      <c r="X181" s="13">
        <f t="shared" si="203"/>
        <v>389</v>
      </c>
      <c r="Y181" s="13" t="str">
        <f t="shared" si="204"/>
        <v>85</v>
      </c>
      <c r="Z181" s="119"/>
      <c r="AA181" s="119"/>
      <c r="AB181" s="119"/>
      <c r="AC181" s="119"/>
      <c r="AD181" s="119"/>
      <c r="AE181" s="119"/>
      <c r="AF181" s="119"/>
      <c r="AG181" s="119"/>
      <c r="AH181" s="119"/>
      <c r="AJ181" s="64"/>
      <c r="AK181" s="64" t="s">
        <v>2196</v>
      </c>
    </row>
    <row r="182" spans="2:37" ht="16.5" customHeight="1">
      <c r="B182" s="122" t="s">
        <v>1517</v>
      </c>
      <c r="C182" s="122" t="str">
        <f t="shared" si="152"/>
        <v>FF01B01100FFC1</v>
      </c>
      <c r="D182" s="60" t="s">
        <v>24</v>
      </c>
      <c r="E182" s="60" t="s">
        <v>1275</v>
      </c>
      <c r="F182" s="60" t="s">
        <v>110</v>
      </c>
      <c r="G182" s="60" t="s">
        <v>16</v>
      </c>
      <c r="H182" s="60" t="s">
        <v>9</v>
      </c>
      <c r="I182" s="12" t="str">
        <f t="shared" si="200"/>
        <v>C1</v>
      </c>
      <c r="J182" s="12"/>
      <c r="K182" s="12"/>
      <c r="L182" s="12"/>
      <c r="M182" s="12"/>
      <c r="N182" s="12"/>
      <c r="O182" s="12"/>
      <c r="P182" s="12"/>
      <c r="Q182" s="13">
        <f t="shared" si="154"/>
        <v>1</v>
      </c>
      <c r="R182" s="13">
        <f t="shared" si="155"/>
        <v>176</v>
      </c>
      <c r="S182" s="13">
        <f t="shared" si="156"/>
        <v>17</v>
      </c>
      <c r="T182" s="13">
        <f t="shared" si="157"/>
        <v>0</v>
      </c>
      <c r="U182" s="13">
        <f t="shared" si="162"/>
        <v>255</v>
      </c>
      <c r="V182" s="13">
        <f t="shared" si="201"/>
        <v>449</v>
      </c>
      <c r="W182" s="13" t="str">
        <f t="shared" si="202"/>
        <v>C1</v>
      </c>
      <c r="X182" s="13">
        <f t="shared" si="203"/>
        <v>897</v>
      </c>
      <c r="Y182" s="13" t="str">
        <f t="shared" si="204"/>
        <v>81</v>
      </c>
      <c r="Z182" s="119"/>
      <c r="AA182" s="119"/>
      <c r="AB182" s="119"/>
      <c r="AC182" s="119"/>
      <c r="AD182" s="119"/>
      <c r="AE182" s="119"/>
      <c r="AF182" s="119"/>
      <c r="AG182" s="119"/>
      <c r="AH182" s="119"/>
      <c r="AJ182" s="64"/>
      <c r="AK182" s="64" t="s">
        <v>2197</v>
      </c>
    </row>
    <row r="183" spans="2:37" ht="16.5" customHeight="1">
      <c r="B183" s="122" t="s">
        <v>1797</v>
      </c>
      <c r="C183" s="122" t="str">
        <f t="shared" si="152"/>
        <v>FF01B012000C3</v>
      </c>
      <c r="D183" s="60" t="s">
        <v>24</v>
      </c>
      <c r="E183" s="60" t="s">
        <v>1275</v>
      </c>
      <c r="F183" s="60" t="s">
        <v>111</v>
      </c>
      <c r="G183" s="60" t="s">
        <v>16</v>
      </c>
      <c r="H183" s="60" t="s">
        <v>1804</v>
      </c>
      <c r="I183" s="12" t="str">
        <f t="shared" ref="I183:I201" si="227">W183</f>
        <v>C3</v>
      </c>
      <c r="J183" s="12"/>
      <c r="K183" s="12"/>
      <c r="L183" s="12"/>
      <c r="M183" s="12"/>
      <c r="N183" s="12"/>
      <c r="O183" s="12"/>
      <c r="P183" s="12"/>
      <c r="Q183" s="13">
        <f t="shared" si="154"/>
        <v>1</v>
      </c>
      <c r="R183" s="13">
        <f t="shared" si="155"/>
        <v>176</v>
      </c>
      <c r="S183" s="13">
        <f t="shared" si="156"/>
        <v>18</v>
      </c>
      <c r="T183" s="13">
        <f t="shared" si="157"/>
        <v>0</v>
      </c>
      <c r="U183" s="13">
        <f t="shared" si="162"/>
        <v>0</v>
      </c>
      <c r="V183" s="13">
        <f t="shared" ref="V183:V201" si="228">SUM(Q183:U183)</f>
        <v>195</v>
      </c>
      <c r="W183" s="13" t="str">
        <f t="shared" ref="W183:W201" si="229">REPT("0",2-LEN(RIGHT(DEC2HEX(V183), 2)))&amp;RIGHT(DEC2HEX(V183), 2)</f>
        <v>C3</v>
      </c>
      <c r="X183" s="13">
        <f t="shared" ref="X183:X201" si="230">SUM(R183:W183)</f>
        <v>389</v>
      </c>
      <c r="Y183" s="13" t="str">
        <f t="shared" ref="Y183:Y201" si="231">REPT("0",2-LEN(RIGHT(DEC2HEX(X183), 2)))&amp;RIGHT(DEC2HEX(X183), 2)</f>
        <v>85</v>
      </c>
      <c r="Z183" s="119"/>
      <c r="AA183" s="119"/>
      <c r="AB183" s="119"/>
      <c r="AC183" s="119"/>
      <c r="AD183" s="119"/>
      <c r="AE183" s="119"/>
      <c r="AF183" s="119"/>
      <c r="AG183" s="119"/>
      <c r="AH183" s="119"/>
      <c r="AJ183" s="64"/>
      <c r="AK183" s="64" t="s">
        <v>2198</v>
      </c>
    </row>
    <row r="184" spans="2:37" ht="16.5" customHeight="1">
      <c r="B184" s="122" t="s">
        <v>1798</v>
      </c>
      <c r="C184" s="122" t="str">
        <f t="shared" si="152"/>
        <v>FF01B012004003</v>
      </c>
      <c r="D184" s="60" t="s">
        <v>24</v>
      </c>
      <c r="E184" s="60" t="s">
        <v>1275</v>
      </c>
      <c r="F184" s="60" t="s">
        <v>111</v>
      </c>
      <c r="G184" s="60" t="s">
        <v>16</v>
      </c>
      <c r="H184" s="60" t="s">
        <v>1503</v>
      </c>
      <c r="I184" s="12" t="str">
        <f t="shared" si="227"/>
        <v>03</v>
      </c>
      <c r="J184" s="12"/>
      <c r="K184" s="12"/>
      <c r="L184" s="12"/>
      <c r="M184" s="12"/>
      <c r="N184" s="12"/>
      <c r="O184" s="12"/>
      <c r="P184" s="12"/>
      <c r="Q184" s="13">
        <f t="shared" si="154"/>
        <v>1</v>
      </c>
      <c r="R184" s="13">
        <f t="shared" si="155"/>
        <v>176</v>
      </c>
      <c r="S184" s="13">
        <f t="shared" si="156"/>
        <v>18</v>
      </c>
      <c r="T184" s="13">
        <f t="shared" si="157"/>
        <v>0</v>
      </c>
      <c r="U184" s="13">
        <f t="shared" si="162"/>
        <v>64</v>
      </c>
      <c r="V184" s="13">
        <f t="shared" si="228"/>
        <v>259</v>
      </c>
      <c r="W184" s="13" t="str">
        <f t="shared" si="229"/>
        <v>03</v>
      </c>
      <c r="X184" s="13">
        <f t="shared" si="230"/>
        <v>517</v>
      </c>
      <c r="Y184" s="13" t="str">
        <f t="shared" si="231"/>
        <v>05</v>
      </c>
      <c r="Z184" s="119"/>
      <c r="AA184" s="119"/>
      <c r="AB184" s="119"/>
      <c r="AC184" s="119"/>
      <c r="AD184" s="119"/>
      <c r="AE184" s="119"/>
      <c r="AF184" s="119"/>
      <c r="AG184" s="119">
        <v>64</v>
      </c>
      <c r="AH184" s="119" t="str">
        <f>DEC2HEX(AG184)</f>
        <v>40</v>
      </c>
      <c r="AJ184" s="64"/>
      <c r="AK184" s="64" t="s">
        <v>2199</v>
      </c>
    </row>
    <row r="185" spans="2:37" ht="16.5" customHeight="1">
      <c r="B185" s="122" t="s">
        <v>1799</v>
      </c>
      <c r="C185" s="122" t="str">
        <f t="shared" si="152"/>
        <v>FF01B0130000C4</v>
      </c>
      <c r="D185" s="60" t="s">
        <v>24</v>
      </c>
      <c r="E185" s="60" t="s">
        <v>1275</v>
      </c>
      <c r="F185" s="60" t="s">
        <v>116</v>
      </c>
      <c r="G185" s="60" t="s">
        <v>16</v>
      </c>
      <c r="H185" s="60" t="s">
        <v>16</v>
      </c>
      <c r="I185" s="12" t="str">
        <f t="shared" si="227"/>
        <v>C4</v>
      </c>
      <c r="J185" s="12"/>
      <c r="K185" s="12"/>
      <c r="L185" s="12"/>
      <c r="M185" s="12"/>
      <c r="N185" s="12"/>
      <c r="O185" s="12"/>
      <c r="P185" s="12"/>
      <c r="Q185" s="13">
        <f t="shared" si="154"/>
        <v>1</v>
      </c>
      <c r="R185" s="13">
        <f t="shared" si="155"/>
        <v>176</v>
      </c>
      <c r="S185" s="13">
        <f t="shared" si="156"/>
        <v>19</v>
      </c>
      <c r="T185" s="13">
        <f t="shared" si="157"/>
        <v>0</v>
      </c>
      <c r="U185" s="13">
        <f t="shared" si="162"/>
        <v>0</v>
      </c>
      <c r="V185" s="13">
        <f t="shared" si="228"/>
        <v>196</v>
      </c>
      <c r="W185" s="13" t="str">
        <f t="shared" si="229"/>
        <v>C4</v>
      </c>
      <c r="X185" s="13">
        <f t="shared" si="230"/>
        <v>391</v>
      </c>
      <c r="Y185" s="13" t="str">
        <f t="shared" si="231"/>
        <v>87</v>
      </c>
      <c r="Z185" s="119"/>
      <c r="AA185" s="119"/>
      <c r="AB185" s="119"/>
      <c r="AC185" s="119"/>
      <c r="AD185" s="119"/>
      <c r="AE185" s="119"/>
      <c r="AF185" s="119"/>
      <c r="AG185" s="119"/>
      <c r="AH185" s="119"/>
      <c r="AJ185" s="64"/>
      <c r="AK185" s="64" t="s">
        <v>2200</v>
      </c>
    </row>
    <row r="186" spans="2:37" ht="17.25">
      <c r="B186" s="122" t="s">
        <v>1968</v>
      </c>
      <c r="C186" s="122" t="str">
        <f t="shared" si="152"/>
        <v>FF01B013A8C02C</v>
      </c>
      <c r="D186" s="60" t="s">
        <v>24</v>
      </c>
      <c r="E186" s="60" t="s">
        <v>1275</v>
      </c>
      <c r="F186" s="60" t="s">
        <v>116</v>
      </c>
      <c r="G186" s="60" t="s">
        <v>1725</v>
      </c>
      <c r="H186" s="60" t="s">
        <v>1276</v>
      </c>
      <c r="I186" s="12" t="str">
        <f t="shared" si="227"/>
        <v>2C</v>
      </c>
      <c r="J186" s="12"/>
      <c r="K186" s="12"/>
      <c r="L186" s="12"/>
      <c r="M186" s="12"/>
      <c r="N186" s="12"/>
      <c r="O186" s="12"/>
      <c r="P186" s="12"/>
      <c r="Q186" s="13">
        <f t="shared" si="154"/>
        <v>1</v>
      </c>
      <c r="R186" s="13">
        <f t="shared" si="155"/>
        <v>176</v>
      </c>
      <c r="S186" s="13">
        <f t="shared" si="156"/>
        <v>19</v>
      </c>
      <c r="T186" s="13">
        <f t="shared" si="157"/>
        <v>168</v>
      </c>
      <c r="U186" s="13">
        <f t="shared" si="162"/>
        <v>192</v>
      </c>
      <c r="V186" s="13">
        <f t="shared" si="228"/>
        <v>556</v>
      </c>
      <c r="W186" s="13" t="str">
        <f t="shared" si="229"/>
        <v>2C</v>
      </c>
      <c r="X186" s="13">
        <f t="shared" si="230"/>
        <v>1111</v>
      </c>
      <c r="Y186" s="13" t="str">
        <f t="shared" si="231"/>
        <v>57</v>
      </c>
      <c r="Z186" s="119"/>
      <c r="AA186" s="119"/>
      <c r="AB186" s="119"/>
      <c r="AC186" s="119"/>
      <c r="AD186" s="119"/>
      <c r="AE186" s="119"/>
      <c r="AF186" s="119"/>
      <c r="AG186" s="119">
        <v>43200</v>
      </c>
      <c r="AH186" s="119" t="str">
        <f>DEC2HEX(AG186)</f>
        <v>A8C0</v>
      </c>
      <c r="AI186" s="119"/>
      <c r="AJ186" s="64"/>
      <c r="AK186" s="64" t="s">
        <v>2201</v>
      </c>
    </row>
    <row r="187" spans="2:37" ht="17.25">
      <c r="B187" s="122" t="s">
        <v>1969</v>
      </c>
      <c r="C187" s="122" t="str">
        <f t="shared" si="152"/>
        <v>FF01B0160000C7</v>
      </c>
      <c r="D187" s="60" t="s">
        <v>24</v>
      </c>
      <c r="E187" s="60" t="s">
        <v>1275</v>
      </c>
      <c r="F187" s="60" t="s">
        <v>127</v>
      </c>
      <c r="G187" s="60" t="s">
        <v>16</v>
      </c>
      <c r="H187" s="60" t="s">
        <v>16</v>
      </c>
      <c r="I187" s="12" t="str">
        <f t="shared" si="227"/>
        <v>C7</v>
      </c>
      <c r="J187" s="12"/>
      <c r="K187" s="12"/>
      <c r="L187" s="12"/>
      <c r="M187" s="12"/>
      <c r="N187" s="12"/>
      <c r="O187" s="12"/>
      <c r="P187" s="12"/>
      <c r="Q187" s="13">
        <f t="shared" si="154"/>
        <v>1</v>
      </c>
      <c r="R187" s="13">
        <f t="shared" si="155"/>
        <v>176</v>
      </c>
      <c r="S187" s="13">
        <f t="shared" si="156"/>
        <v>22</v>
      </c>
      <c r="T187" s="13">
        <f t="shared" si="157"/>
        <v>0</v>
      </c>
      <c r="U187" s="13">
        <f t="shared" si="162"/>
        <v>0</v>
      </c>
      <c r="V187" s="13">
        <f t="shared" si="228"/>
        <v>199</v>
      </c>
      <c r="W187" s="13" t="str">
        <f t="shared" si="229"/>
        <v>C7</v>
      </c>
      <c r="X187" s="13">
        <f t="shared" si="230"/>
        <v>397</v>
      </c>
      <c r="Y187" s="13" t="str">
        <f t="shared" si="231"/>
        <v>8D</v>
      </c>
      <c r="Z187" s="119"/>
      <c r="AA187" s="119"/>
      <c r="AB187" s="119"/>
      <c r="AC187" s="119"/>
      <c r="AD187" s="119"/>
      <c r="AE187" s="119"/>
      <c r="AF187" s="119"/>
      <c r="AG187" s="119"/>
      <c r="AH187" s="119"/>
      <c r="AJ187" s="64"/>
      <c r="AK187" s="64" t="s">
        <v>2202</v>
      </c>
    </row>
    <row r="188" spans="2:37" ht="17.25">
      <c r="B188" s="122" t="s">
        <v>1970</v>
      </c>
      <c r="C188" s="122" t="str">
        <f t="shared" ref="C188:C211" si="232">"FF"&amp;D188&amp;E188&amp;""&amp;F188&amp;G188&amp;H188&amp;I188</f>
        <v>FF01B016400007</v>
      </c>
      <c r="D188" s="60" t="s">
        <v>24</v>
      </c>
      <c r="E188" s="60" t="s">
        <v>1275</v>
      </c>
      <c r="F188" s="60" t="s">
        <v>127</v>
      </c>
      <c r="G188" s="60" t="s">
        <v>1503</v>
      </c>
      <c r="H188" s="60" t="s">
        <v>16</v>
      </c>
      <c r="I188" s="12" t="str">
        <f t="shared" si="227"/>
        <v>07</v>
      </c>
      <c r="J188" s="12"/>
      <c r="K188" s="12"/>
      <c r="L188" s="12"/>
      <c r="M188" s="12"/>
      <c r="N188" s="12"/>
      <c r="O188" s="12"/>
      <c r="P188" s="12"/>
      <c r="Q188" s="13">
        <f t="shared" si="154"/>
        <v>1</v>
      </c>
      <c r="R188" s="13">
        <f t="shared" si="155"/>
        <v>176</v>
      </c>
      <c r="S188" s="13">
        <f t="shared" si="156"/>
        <v>22</v>
      </c>
      <c r="T188" s="13">
        <f t="shared" si="157"/>
        <v>64</v>
      </c>
      <c r="U188" s="13">
        <f t="shared" si="162"/>
        <v>0</v>
      </c>
      <c r="V188" s="13">
        <f t="shared" si="228"/>
        <v>263</v>
      </c>
      <c r="W188" s="13" t="str">
        <f t="shared" si="229"/>
        <v>07</v>
      </c>
      <c r="X188" s="13">
        <f t="shared" si="230"/>
        <v>525</v>
      </c>
      <c r="Y188" s="13" t="str">
        <f t="shared" si="231"/>
        <v>0D</v>
      </c>
      <c r="Z188" s="119"/>
      <c r="AA188" s="119"/>
      <c r="AB188" s="119"/>
      <c r="AC188" s="119"/>
      <c r="AD188" s="119"/>
      <c r="AE188" s="119"/>
      <c r="AF188" s="119"/>
      <c r="AG188" s="119">
        <v>16384</v>
      </c>
      <c r="AH188" s="119" t="str">
        <f>DEC2HEX(AG188)</f>
        <v>4000</v>
      </c>
      <c r="AJ188" s="64"/>
      <c r="AK188" s="64" t="s">
        <v>2203</v>
      </c>
    </row>
    <row r="189" spans="2:37" ht="17.25">
      <c r="B189" s="122" t="s">
        <v>1971</v>
      </c>
      <c r="C189" s="122" t="str">
        <f t="shared" si="232"/>
        <v>FF01B016FFFFC5</v>
      </c>
      <c r="D189" s="60" t="s">
        <v>24</v>
      </c>
      <c r="E189" s="60" t="s">
        <v>1275</v>
      </c>
      <c r="F189" s="60" t="s">
        <v>127</v>
      </c>
      <c r="G189" s="60" t="s">
        <v>9</v>
      </c>
      <c r="H189" s="60" t="s">
        <v>9</v>
      </c>
      <c r="I189" s="12" t="str">
        <f t="shared" si="227"/>
        <v>C5</v>
      </c>
      <c r="J189" s="12"/>
      <c r="K189" s="12"/>
      <c r="L189" s="12"/>
      <c r="M189" s="12"/>
      <c r="N189" s="12"/>
      <c r="O189" s="12"/>
      <c r="P189" s="12"/>
      <c r="Q189" s="13">
        <f t="shared" si="154"/>
        <v>1</v>
      </c>
      <c r="R189" s="13">
        <f t="shared" si="155"/>
        <v>176</v>
      </c>
      <c r="S189" s="13">
        <f t="shared" si="156"/>
        <v>22</v>
      </c>
      <c r="T189" s="13">
        <f t="shared" si="157"/>
        <v>255</v>
      </c>
      <c r="U189" s="13">
        <f t="shared" si="162"/>
        <v>255</v>
      </c>
      <c r="V189" s="13">
        <f t="shared" si="228"/>
        <v>709</v>
      </c>
      <c r="W189" s="13" t="str">
        <f t="shared" si="229"/>
        <v>C5</v>
      </c>
      <c r="X189" s="13">
        <f t="shared" si="230"/>
        <v>1417</v>
      </c>
      <c r="Y189" s="13" t="str">
        <f t="shared" si="231"/>
        <v>89</v>
      </c>
      <c r="Z189" s="119"/>
      <c r="AA189" s="119"/>
      <c r="AB189" s="119"/>
      <c r="AC189" s="119"/>
      <c r="AD189" s="119"/>
      <c r="AE189" s="119"/>
      <c r="AF189" s="119"/>
      <c r="AG189" s="119"/>
      <c r="AH189" s="119"/>
      <c r="AJ189" s="64"/>
      <c r="AK189" s="64" t="s">
        <v>2204</v>
      </c>
    </row>
    <row r="190" spans="2:37" ht="17.25">
      <c r="B190" s="122" t="s">
        <v>1972</v>
      </c>
      <c r="C190" s="122" t="str">
        <f t="shared" si="232"/>
        <v>FF01B0180000C9</v>
      </c>
      <c r="D190" s="60" t="s">
        <v>24</v>
      </c>
      <c r="E190" s="60" t="s">
        <v>1275</v>
      </c>
      <c r="F190" s="60" t="s">
        <v>1252</v>
      </c>
      <c r="G190" s="60" t="s">
        <v>16</v>
      </c>
      <c r="H190" s="60" t="s">
        <v>16</v>
      </c>
      <c r="I190" s="12" t="str">
        <f t="shared" si="227"/>
        <v>C9</v>
      </c>
      <c r="J190" s="12"/>
      <c r="K190" s="12"/>
      <c r="L190" s="12"/>
      <c r="M190" s="12"/>
      <c r="N190" s="12"/>
      <c r="O190" s="12"/>
      <c r="P190" s="12"/>
      <c r="Q190" s="13">
        <f t="shared" si="154"/>
        <v>1</v>
      </c>
      <c r="R190" s="13">
        <f t="shared" si="155"/>
        <v>176</v>
      </c>
      <c r="S190" s="13">
        <f t="shared" si="156"/>
        <v>24</v>
      </c>
      <c r="T190" s="13">
        <f t="shared" si="157"/>
        <v>0</v>
      </c>
      <c r="U190" s="13">
        <f t="shared" si="162"/>
        <v>0</v>
      </c>
      <c r="V190" s="13">
        <f t="shared" si="228"/>
        <v>201</v>
      </c>
      <c r="W190" s="13" t="str">
        <f t="shared" si="229"/>
        <v>C9</v>
      </c>
      <c r="X190" s="13">
        <f t="shared" si="230"/>
        <v>401</v>
      </c>
      <c r="Y190" s="13" t="str">
        <f t="shared" si="231"/>
        <v>91</v>
      </c>
      <c r="Z190" s="119"/>
      <c r="AA190" s="119"/>
      <c r="AB190" s="119"/>
      <c r="AC190" s="119"/>
      <c r="AD190" s="119"/>
      <c r="AE190" s="119"/>
      <c r="AF190" s="119"/>
      <c r="AG190" s="119"/>
      <c r="AH190" s="119"/>
      <c r="AJ190" s="64"/>
      <c r="AK190" s="64" t="s">
        <v>2205</v>
      </c>
    </row>
    <row r="191" spans="2:37" ht="17.25">
      <c r="B191" s="122" t="s">
        <v>1973</v>
      </c>
      <c r="C191" s="122" t="str">
        <f t="shared" si="232"/>
        <v>FF01B018400009</v>
      </c>
      <c r="D191" s="60" t="s">
        <v>24</v>
      </c>
      <c r="E191" s="60" t="s">
        <v>1275</v>
      </c>
      <c r="F191" s="60" t="s">
        <v>1252</v>
      </c>
      <c r="G191" s="60" t="s">
        <v>1503</v>
      </c>
      <c r="H191" s="60" t="s">
        <v>16</v>
      </c>
      <c r="I191" s="12" t="str">
        <f t="shared" si="227"/>
        <v>09</v>
      </c>
      <c r="J191" s="12"/>
      <c r="K191" s="12"/>
      <c r="L191" s="12"/>
      <c r="M191" s="12"/>
      <c r="N191" s="12"/>
      <c r="O191" s="12"/>
      <c r="P191" s="12"/>
      <c r="Q191" s="13">
        <f t="shared" si="154"/>
        <v>1</v>
      </c>
      <c r="R191" s="13">
        <f t="shared" si="155"/>
        <v>176</v>
      </c>
      <c r="S191" s="13">
        <f t="shared" si="156"/>
        <v>24</v>
      </c>
      <c r="T191" s="13">
        <f t="shared" si="157"/>
        <v>64</v>
      </c>
      <c r="U191" s="13">
        <f t="shared" si="162"/>
        <v>0</v>
      </c>
      <c r="V191" s="13">
        <f t="shared" si="228"/>
        <v>265</v>
      </c>
      <c r="W191" s="13" t="str">
        <f t="shared" si="229"/>
        <v>09</v>
      </c>
      <c r="X191" s="13">
        <f t="shared" si="230"/>
        <v>529</v>
      </c>
      <c r="Y191" s="13" t="str">
        <f t="shared" si="231"/>
        <v>11</v>
      </c>
      <c r="Z191" s="119"/>
      <c r="AA191" s="119"/>
      <c r="AB191" s="119"/>
      <c r="AC191" s="119"/>
      <c r="AD191" s="119"/>
      <c r="AE191" s="119"/>
      <c r="AF191" s="119"/>
      <c r="AG191" s="119"/>
      <c r="AH191" s="119"/>
      <c r="AJ191" s="64"/>
      <c r="AK191" s="64" t="s">
        <v>2206</v>
      </c>
    </row>
    <row r="192" spans="2:37" ht="17.25">
      <c r="B192" s="122" t="s">
        <v>1974</v>
      </c>
      <c r="C192" s="122" t="str">
        <f t="shared" si="232"/>
        <v>FF01B018FFFFC7</v>
      </c>
      <c r="D192" s="60" t="s">
        <v>24</v>
      </c>
      <c r="E192" s="60" t="s">
        <v>1275</v>
      </c>
      <c r="F192" s="60" t="s">
        <v>1252</v>
      </c>
      <c r="G192" s="60" t="s">
        <v>9</v>
      </c>
      <c r="H192" s="60" t="s">
        <v>9</v>
      </c>
      <c r="I192" s="12" t="str">
        <f t="shared" si="227"/>
        <v>C7</v>
      </c>
      <c r="J192" s="12"/>
      <c r="K192" s="12"/>
      <c r="L192" s="12"/>
      <c r="M192" s="12"/>
      <c r="N192" s="12"/>
      <c r="O192" s="12"/>
      <c r="P192" s="12"/>
      <c r="Q192" s="13">
        <f t="shared" si="154"/>
        <v>1</v>
      </c>
      <c r="R192" s="13">
        <f t="shared" si="155"/>
        <v>176</v>
      </c>
      <c r="S192" s="13">
        <f t="shared" si="156"/>
        <v>24</v>
      </c>
      <c r="T192" s="13">
        <f t="shared" si="157"/>
        <v>255</v>
      </c>
      <c r="U192" s="13">
        <f t="shared" si="162"/>
        <v>255</v>
      </c>
      <c r="V192" s="13">
        <f t="shared" si="228"/>
        <v>711</v>
      </c>
      <c r="W192" s="13" t="str">
        <f t="shared" si="229"/>
        <v>C7</v>
      </c>
      <c r="X192" s="13">
        <f t="shared" si="230"/>
        <v>1421</v>
      </c>
      <c r="Y192" s="13" t="str">
        <f t="shared" si="231"/>
        <v>8D</v>
      </c>
      <c r="Z192" s="119"/>
      <c r="AA192" s="119"/>
      <c r="AB192" s="119"/>
      <c r="AC192" s="119"/>
      <c r="AD192" s="119"/>
      <c r="AE192" s="119"/>
      <c r="AF192" s="119"/>
      <c r="AG192" s="119"/>
      <c r="AH192" s="119"/>
      <c r="AJ192" s="64"/>
      <c r="AK192" s="64" t="s">
        <v>2207</v>
      </c>
    </row>
    <row r="193" spans="2:37" ht="16.5" customHeight="1">
      <c r="B193" s="122" t="s">
        <v>2082</v>
      </c>
      <c r="C193" s="122" t="str">
        <f t="shared" si="232"/>
        <v>FF01B01A0000CB</v>
      </c>
      <c r="D193" s="60" t="s">
        <v>24</v>
      </c>
      <c r="E193" s="60" t="s">
        <v>1275</v>
      </c>
      <c r="F193" s="60" t="s">
        <v>1802</v>
      </c>
      <c r="G193" s="60" t="s">
        <v>16</v>
      </c>
      <c r="H193" s="60" t="s">
        <v>16</v>
      </c>
      <c r="I193" s="12" t="str">
        <f t="shared" si="227"/>
        <v>CB</v>
      </c>
      <c r="J193" s="12"/>
      <c r="K193" s="12"/>
      <c r="L193" s="12"/>
      <c r="M193" s="12"/>
      <c r="N193" s="12"/>
      <c r="O193" s="12"/>
      <c r="P193" s="12"/>
      <c r="Q193" s="13">
        <f t="shared" si="154"/>
        <v>1</v>
      </c>
      <c r="R193" s="13">
        <f t="shared" si="155"/>
        <v>176</v>
      </c>
      <c r="S193" s="13">
        <f t="shared" si="156"/>
        <v>26</v>
      </c>
      <c r="T193" s="13">
        <f t="shared" si="157"/>
        <v>0</v>
      </c>
      <c r="U193" s="13">
        <f t="shared" si="162"/>
        <v>0</v>
      </c>
      <c r="V193" s="13">
        <f t="shared" si="228"/>
        <v>203</v>
      </c>
      <c r="W193" s="13" t="str">
        <f t="shared" si="229"/>
        <v>CB</v>
      </c>
      <c r="X193" s="13">
        <f t="shared" si="230"/>
        <v>405</v>
      </c>
      <c r="Y193" s="13" t="str">
        <f t="shared" si="231"/>
        <v>95</v>
      </c>
      <c r="Z193" s="119"/>
      <c r="AA193" s="119"/>
      <c r="AB193" s="119"/>
      <c r="AC193" s="119"/>
      <c r="AD193" s="119"/>
      <c r="AE193" s="119"/>
      <c r="AF193" s="119"/>
      <c r="AG193" s="119"/>
      <c r="AH193" s="119"/>
      <c r="AJ193" s="64"/>
      <c r="AK193" s="64" t="s">
        <v>2208</v>
      </c>
    </row>
    <row r="194" spans="2:37" ht="16.5" customHeight="1">
      <c r="B194" s="122" t="s">
        <v>1800</v>
      </c>
      <c r="C194" s="122" t="str">
        <f t="shared" si="232"/>
        <v>FF01B01AFFFFC9</v>
      </c>
      <c r="D194" s="60" t="s">
        <v>24</v>
      </c>
      <c r="E194" s="60" t="s">
        <v>1275</v>
      </c>
      <c r="F194" s="60" t="s">
        <v>1802</v>
      </c>
      <c r="G194" s="60" t="s">
        <v>9</v>
      </c>
      <c r="H194" s="60" t="s">
        <v>9</v>
      </c>
      <c r="I194" s="12" t="str">
        <f t="shared" si="227"/>
        <v>C9</v>
      </c>
      <c r="J194" s="12"/>
      <c r="K194" s="12"/>
      <c r="L194" s="12"/>
      <c r="M194" s="12"/>
      <c r="N194" s="12"/>
      <c r="O194" s="12"/>
      <c r="P194" s="12"/>
      <c r="Q194" s="13">
        <f t="shared" si="154"/>
        <v>1</v>
      </c>
      <c r="R194" s="13">
        <f t="shared" si="155"/>
        <v>176</v>
      </c>
      <c r="S194" s="13">
        <f t="shared" si="156"/>
        <v>26</v>
      </c>
      <c r="T194" s="13">
        <f t="shared" si="157"/>
        <v>255</v>
      </c>
      <c r="U194" s="13">
        <f t="shared" si="162"/>
        <v>255</v>
      </c>
      <c r="V194" s="13">
        <f t="shared" si="228"/>
        <v>713</v>
      </c>
      <c r="W194" s="13" t="str">
        <f t="shared" si="229"/>
        <v>C9</v>
      </c>
      <c r="X194" s="13">
        <f t="shared" si="230"/>
        <v>1425</v>
      </c>
      <c r="Y194" s="13" t="str">
        <f t="shared" si="231"/>
        <v>91</v>
      </c>
      <c r="Z194" s="119"/>
      <c r="AA194" s="119"/>
      <c r="AB194" s="119"/>
      <c r="AC194" s="119"/>
      <c r="AD194" s="119"/>
      <c r="AE194" s="119"/>
      <c r="AF194" s="119"/>
      <c r="AG194" s="119"/>
      <c r="AH194" s="119"/>
      <c r="AJ194" s="64"/>
      <c r="AK194" s="64" t="s">
        <v>2209</v>
      </c>
    </row>
    <row r="195" spans="2:37" ht="16.5" customHeight="1">
      <c r="B195" s="122" t="s">
        <v>1801</v>
      </c>
      <c r="C195" s="122" t="str">
        <f t="shared" si="232"/>
        <v>FF01B01F0000D0</v>
      </c>
      <c r="D195" s="60" t="s">
        <v>24</v>
      </c>
      <c r="E195" s="60" t="s">
        <v>1275</v>
      </c>
      <c r="F195" s="60" t="s">
        <v>1803</v>
      </c>
      <c r="G195" s="60" t="s">
        <v>16</v>
      </c>
      <c r="H195" s="60" t="s">
        <v>16</v>
      </c>
      <c r="I195" s="12" t="str">
        <f t="shared" si="227"/>
        <v>D0</v>
      </c>
      <c r="J195" s="12"/>
      <c r="K195" s="12"/>
      <c r="L195" s="12"/>
      <c r="M195" s="12"/>
      <c r="N195" s="12"/>
      <c r="O195" s="12"/>
      <c r="P195" s="12"/>
      <c r="Q195" s="13">
        <f t="shared" si="154"/>
        <v>1</v>
      </c>
      <c r="R195" s="13">
        <f t="shared" si="155"/>
        <v>176</v>
      </c>
      <c r="S195" s="13">
        <f t="shared" si="156"/>
        <v>31</v>
      </c>
      <c r="T195" s="13">
        <f t="shared" si="157"/>
        <v>0</v>
      </c>
      <c r="U195" s="13">
        <f t="shared" si="162"/>
        <v>0</v>
      </c>
      <c r="V195" s="13">
        <f t="shared" si="228"/>
        <v>208</v>
      </c>
      <c r="W195" s="13" t="str">
        <f t="shared" si="229"/>
        <v>D0</v>
      </c>
      <c r="X195" s="13">
        <f t="shared" si="230"/>
        <v>415</v>
      </c>
      <c r="Y195" s="13" t="str">
        <f t="shared" si="231"/>
        <v>9F</v>
      </c>
      <c r="Z195" s="119"/>
      <c r="AA195" s="119"/>
      <c r="AB195" s="119"/>
      <c r="AC195" s="119"/>
      <c r="AD195" s="119"/>
      <c r="AE195" s="119"/>
      <c r="AF195" s="119"/>
      <c r="AG195" s="119"/>
      <c r="AH195" s="119"/>
      <c r="AJ195" s="64"/>
      <c r="AK195" s="64" t="s">
        <v>2210</v>
      </c>
    </row>
    <row r="196" spans="2:37" ht="16.5" customHeight="1">
      <c r="B196" s="122" t="s">
        <v>1805</v>
      </c>
      <c r="C196" s="122" t="str">
        <f t="shared" si="232"/>
        <v>FF01B1200001D3</v>
      </c>
      <c r="D196" s="60" t="s">
        <v>24</v>
      </c>
      <c r="E196" s="60" t="s">
        <v>32</v>
      </c>
      <c r="F196" s="60" t="s">
        <v>133</v>
      </c>
      <c r="G196" s="60" t="s">
        <v>16</v>
      </c>
      <c r="H196" s="60" t="s">
        <v>24</v>
      </c>
      <c r="I196" s="12" t="str">
        <f t="shared" si="227"/>
        <v>D3</v>
      </c>
      <c r="J196" s="12"/>
      <c r="K196" s="12"/>
      <c r="L196" s="12"/>
      <c r="M196" s="12"/>
      <c r="N196" s="12"/>
      <c r="O196" s="12"/>
      <c r="P196" s="12"/>
      <c r="Q196" s="13">
        <f t="shared" si="154"/>
        <v>1</v>
      </c>
      <c r="R196" s="13">
        <f t="shared" si="155"/>
        <v>177</v>
      </c>
      <c r="S196" s="13">
        <f t="shared" si="156"/>
        <v>32</v>
      </c>
      <c r="T196" s="13">
        <f t="shared" si="157"/>
        <v>0</v>
      </c>
      <c r="U196" s="13">
        <f t="shared" si="162"/>
        <v>1</v>
      </c>
      <c r="V196" s="13">
        <f t="shared" si="228"/>
        <v>211</v>
      </c>
      <c r="W196" s="13" t="str">
        <f t="shared" si="229"/>
        <v>D3</v>
      </c>
      <c r="X196" s="13">
        <f t="shared" si="230"/>
        <v>421</v>
      </c>
      <c r="Y196" s="13" t="str">
        <f t="shared" si="231"/>
        <v>A5</v>
      </c>
      <c r="Z196" s="119"/>
      <c r="AA196" s="119"/>
      <c r="AB196" s="119"/>
      <c r="AC196" s="119"/>
      <c r="AD196" s="119"/>
      <c r="AE196" s="119"/>
      <c r="AF196" s="119"/>
      <c r="AG196" s="119"/>
      <c r="AH196" s="119"/>
      <c r="AJ196" s="64"/>
      <c r="AK196" s="64" t="s">
        <v>2211</v>
      </c>
    </row>
    <row r="197" spans="2:37" ht="16.5" customHeight="1">
      <c r="B197" s="122" t="s">
        <v>1806</v>
      </c>
      <c r="C197" s="122" t="str">
        <f t="shared" si="232"/>
        <v>FF0101</v>
      </c>
      <c r="D197" s="60" t="s">
        <v>24</v>
      </c>
      <c r="E197" s="60"/>
      <c r="F197" s="60"/>
      <c r="G197" s="60"/>
      <c r="H197" s="60"/>
      <c r="I197" s="12" t="str">
        <f t="shared" si="227"/>
        <v>01</v>
      </c>
      <c r="J197" s="12"/>
      <c r="K197" s="12"/>
      <c r="L197" s="12"/>
      <c r="M197" s="12"/>
      <c r="N197" s="12"/>
      <c r="O197" s="12"/>
      <c r="P197" s="12"/>
      <c r="Q197" s="13">
        <f t="shared" si="154"/>
        <v>1</v>
      </c>
      <c r="R197" s="13">
        <f t="shared" si="155"/>
        <v>0</v>
      </c>
      <c r="S197" s="13">
        <f t="shared" si="156"/>
        <v>0</v>
      </c>
      <c r="T197" s="13">
        <f t="shared" si="157"/>
        <v>0</v>
      </c>
      <c r="U197" s="13">
        <f t="shared" si="162"/>
        <v>0</v>
      </c>
      <c r="V197" s="13">
        <f t="shared" si="228"/>
        <v>1</v>
      </c>
      <c r="W197" s="13" t="str">
        <f t="shared" si="229"/>
        <v>01</v>
      </c>
      <c r="X197" s="13">
        <f t="shared" si="230"/>
        <v>1</v>
      </c>
      <c r="Y197" s="13" t="str">
        <f t="shared" si="231"/>
        <v>01</v>
      </c>
      <c r="Z197" s="119"/>
      <c r="AA197" s="119"/>
      <c r="AB197" s="119"/>
      <c r="AC197" s="119"/>
      <c r="AD197" s="119"/>
      <c r="AE197" s="119"/>
      <c r="AF197" s="119"/>
      <c r="AG197" s="119"/>
      <c r="AH197" s="119"/>
      <c r="AJ197" s="64"/>
      <c r="AK197" s="64" t="s">
        <v>2212</v>
      </c>
    </row>
    <row r="198" spans="2:37" ht="25.5">
      <c r="B198" s="122" t="s">
        <v>1811</v>
      </c>
      <c r="C198" s="122" t="str">
        <f t="shared" si="232"/>
        <v>FF0101</v>
      </c>
      <c r="D198" s="60" t="s">
        <v>24</v>
      </c>
      <c r="E198" s="60"/>
      <c r="F198" s="60"/>
      <c r="G198" s="60"/>
      <c r="H198" s="60"/>
      <c r="I198" s="12" t="str">
        <f t="shared" ref="I198" si="233">W198</f>
        <v>01</v>
      </c>
      <c r="J198" s="12"/>
      <c r="K198" s="12"/>
      <c r="L198" s="12"/>
      <c r="M198" s="12"/>
      <c r="N198" s="12"/>
      <c r="O198" s="12"/>
      <c r="P198" s="12"/>
      <c r="Q198" s="13">
        <f t="shared" si="154"/>
        <v>1</v>
      </c>
      <c r="R198" s="13">
        <f t="shared" si="155"/>
        <v>0</v>
      </c>
      <c r="S198" s="13">
        <f t="shared" si="156"/>
        <v>0</v>
      </c>
      <c r="T198" s="13">
        <f t="shared" si="157"/>
        <v>0</v>
      </c>
      <c r="U198" s="13">
        <f t="shared" si="162"/>
        <v>0</v>
      </c>
      <c r="V198" s="13">
        <f t="shared" ref="V198" si="234">SUM(Q198:U198)</f>
        <v>1</v>
      </c>
      <c r="W198" s="13" t="str">
        <f t="shared" ref="W198" si="235">REPT("0",2-LEN(RIGHT(DEC2HEX(V198), 2)))&amp;RIGHT(DEC2HEX(V198), 2)</f>
        <v>01</v>
      </c>
      <c r="X198" s="13">
        <f t="shared" ref="X198" si="236">SUM(R198:W198)</f>
        <v>1</v>
      </c>
      <c r="Y198" s="13" t="str">
        <f t="shared" ref="Y198" si="237">REPT("0",2-LEN(RIGHT(DEC2HEX(X198), 2)))&amp;RIGHT(DEC2HEX(X198), 2)</f>
        <v>01</v>
      </c>
      <c r="Z198" s="119"/>
      <c r="AA198" s="119"/>
      <c r="AB198" s="119"/>
      <c r="AC198" s="119"/>
      <c r="AD198" s="119"/>
      <c r="AE198" s="119"/>
      <c r="AF198" s="119"/>
      <c r="AG198" s="119"/>
      <c r="AH198" s="119"/>
      <c r="AJ198" s="64"/>
      <c r="AK198" s="64" t="s">
        <v>2212</v>
      </c>
    </row>
    <row r="199" spans="2:37" ht="16.5" customHeight="1">
      <c r="B199" s="122" t="s">
        <v>1807</v>
      </c>
      <c r="C199" s="122" t="str">
        <f t="shared" si="232"/>
        <v>FF0101</v>
      </c>
      <c r="D199" s="60" t="s">
        <v>24</v>
      </c>
      <c r="E199" s="60"/>
      <c r="F199" s="60"/>
      <c r="G199" s="60"/>
      <c r="H199" s="60"/>
      <c r="I199" s="12" t="str">
        <f t="shared" si="227"/>
        <v>01</v>
      </c>
      <c r="J199" s="12"/>
      <c r="K199" s="12"/>
      <c r="L199" s="12"/>
      <c r="M199" s="12"/>
      <c r="N199" s="12"/>
      <c r="O199" s="12"/>
      <c r="P199" s="12"/>
      <c r="Q199" s="13">
        <f t="shared" si="154"/>
        <v>1</v>
      </c>
      <c r="R199" s="13">
        <f t="shared" si="155"/>
        <v>0</v>
      </c>
      <c r="S199" s="13">
        <f t="shared" si="156"/>
        <v>0</v>
      </c>
      <c r="T199" s="13">
        <f t="shared" si="157"/>
        <v>0</v>
      </c>
      <c r="U199" s="13">
        <f t="shared" si="162"/>
        <v>0</v>
      </c>
      <c r="V199" s="13">
        <f t="shared" si="228"/>
        <v>1</v>
      </c>
      <c r="W199" s="13" t="str">
        <f t="shared" si="229"/>
        <v>01</v>
      </c>
      <c r="X199" s="13">
        <f t="shared" si="230"/>
        <v>1</v>
      </c>
      <c r="Y199" s="13" t="str">
        <f t="shared" si="231"/>
        <v>01</v>
      </c>
      <c r="Z199" s="119"/>
      <c r="AA199" s="119"/>
      <c r="AB199" s="119"/>
      <c r="AC199" s="119"/>
      <c r="AD199" s="119"/>
      <c r="AE199" s="119"/>
      <c r="AF199" s="119"/>
      <c r="AG199" s="119"/>
      <c r="AH199" s="119"/>
      <c r="AJ199" s="64"/>
      <c r="AK199" s="64" t="s">
        <v>2212</v>
      </c>
    </row>
    <row r="200" spans="2:37" ht="16.5" customHeight="1">
      <c r="B200" s="122" t="s">
        <v>1808</v>
      </c>
      <c r="C200" s="122" t="str">
        <f t="shared" si="232"/>
        <v>FF0101</v>
      </c>
      <c r="D200" s="60" t="s">
        <v>24</v>
      </c>
      <c r="E200" s="60"/>
      <c r="F200" s="60"/>
      <c r="G200" s="60"/>
      <c r="H200" s="60"/>
      <c r="I200" s="12" t="str">
        <f t="shared" si="227"/>
        <v>01</v>
      </c>
      <c r="J200" s="12"/>
      <c r="K200" s="12"/>
      <c r="L200" s="12"/>
      <c r="M200" s="12"/>
      <c r="N200" s="12"/>
      <c r="O200" s="12"/>
      <c r="P200" s="12"/>
      <c r="Q200" s="13">
        <f t="shared" si="154"/>
        <v>1</v>
      </c>
      <c r="R200" s="13">
        <f t="shared" si="155"/>
        <v>0</v>
      </c>
      <c r="S200" s="13">
        <f t="shared" si="156"/>
        <v>0</v>
      </c>
      <c r="T200" s="13">
        <f t="shared" si="157"/>
        <v>0</v>
      </c>
      <c r="U200" s="13">
        <f t="shared" si="162"/>
        <v>0</v>
      </c>
      <c r="V200" s="13">
        <f t="shared" si="228"/>
        <v>1</v>
      </c>
      <c r="W200" s="13" t="str">
        <f t="shared" si="229"/>
        <v>01</v>
      </c>
      <c r="X200" s="13">
        <f t="shared" si="230"/>
        <v>1</v>
      </c>
      <c r="Y200" s="13" t="str">
        <f t="shared" si="231"/>
        <v>01</v>
      </c>
      <c r="Z200" s="119"/>
      <c r="AA200" s="119"/>
      <c r="AB200" s="119"/>
      <c r="AC200" s="119"/>
      <c r="AD200" s="119"/>
      <c r="AE200" s="119"/>
      <c r="AF200" s="119"/>
      <c r="AG200" s="119"/>
      <c r="AH200" s="119"/>
      <c r="AJ200" s="64"/>
      <c r="AK200" s="64" t="s">
        <v>2212</v>
      </c>
    </row>
    <row r="201" spans="2:37" ht="16.5" customHeight="1">
      <c r="B201" s="122" t="s">
        <v>1809</v>
      </c>
      <c r="C201" s="122" t="str">
        <f t="shared" si="232"/>
        <v>FF0101</v>
      </c>
      <c r="D201" s="60" t="s">
        <v>24</v>
      </c>
      <c r="E201" s="60"/>
      <c r="F201" s="60"/>
      <c r="G201" s="60"/>
      <c r="H201" s="60"/>
      <c r="I201" s="12" t="str">
        <f t="shared" si="227"/>
        <v>01</v>
      </c>
      <c r="J201" s="12"/>
      <c r="K201" s="12"/>
      <c r="L201" s="12"/>
      <c r="M201" s="12"/>
      <c r="N201" s="12"/>
      <c r="O201" s="12"/>
      <c r="P201" s="12"/>
      <c r="Q201" s="13">
        <f t="shared" si="154"/>
        <v>1</v>
      </c>
      <c r="R201" s="13">
        <f t="shared" si="155"/>
        <v>0</v>
      </c>
      <c r="S201" s="13">
        <f t="shared" si="156"/>
        <v>0</v>
      </c>
      <c r="T201" s="13">
        <f t="shared" si="157"/>
        <v>0</v>
      </c>
      <c r="U201" s="13">
        <f t="shared" si="162"/>
        <v>0</v>
      </c>
      <c r="V201" s="13">
        <f t="shared" si="228"/>
        <v>1</v>
      </c>
      <c r="W201" s="13" t="str">
        <f t="shared" si="229"/>
        <v>01</v>
      </c>
      <c r="X201" s="13">
        <f t="shared" si="230"/>
        <v>1</v>
      </c>
      <c r="Y201" s="13" t="str">
        <f t="shared" si="231"/>
        <v>01</v>
      </c>
      <c r="Z201" s="119"/>
      <c r="AA201" s="119"/>
      <c r="AB201" s="119"/>
      <c r="AC201" s="119"/>
      <c r="AD201" s="119"/>
      <c r="AE201" s="119"/>
      <c r="AF201" s="119"/>
      <c r="AG201" s="119"/>
      <c r="AH201" s="119"/>
      <c r="AJ201" s="64"/>
      <c r="AK201" s="64" t="s">
        <v>2212</v>
      </c>
    </row>
    <row r="202" spans="2:37" ht="16.5" customHeight="1">
      <c r="B202" s="122" t="s">
        <v>1810</v>
      </c>
      <c r="C202" s="122" t="str">
        <f t="shared" si="232"/>
        <v>FF0101</v>
      </c>
      <c r="D202" s="60" t="s">
        <v>24</v>
      </c>
      <c r="E202" s="60"/>
      <c r="F202" s="60"/>
      <c r="G202" s="60"/>
      <c r="H202" s="60"/>
      <c r="I202" s="12" t="str">
        <f t="shared" ref="I202:I218" si="238">W202</f>
        <v>01</v>
      </c>
      <c r="J202" s="12"/>
      <c r="K202" s="12"/>
      <c r="L202" s="12"/>
      <c r="M202" s="12"/>
      <c r="N202" s="12"/>
      <c r="O202" s="12"/>
      <c r="P202" s="12"/>
      <c r="Q202" s="13">
        <f t="shared" si="154"/>
        <v>1</v>
      </c>
      <c r="R202" s="13">
        <f t="shared" si="155"/>
        <v>0</v>
      </c>
      <c r="S202" s="13">
        <f t="shared" si="156"/>
        <v>0</v>
      </c>
      <c r="T202" s="13">
        <f t="shared" si="157"/>
        <v>0</v>
      </c>
      <c r="U202" s="13">
        <f t="shared" si="162"/>
        <v>0</v>
      </c>
      <c r="V202" s="13">
        <f t="shared" ref="V202:V218" si="239">SUM(Q202:U202)</f>
        <v>1</v>
      </c>
      <c r="W202" s="13" t="str">
        <f t="shared" ref="W202:W218" si="240">REPT("0",2-LEN(RIGHT(DEC2HEX(V202), 2)))&amp;RIGHT(DEC2HEX(V202), 2)</f>
        <v>01</v>
      </c>
      <c r="X202" s="13">
        <f t="shared" ref="X202:X218" si="241">SUM(R202:W202)</f>
        <v>1</v>
      </c>
      <c r="Y202" s="13" t="str">
        <f t="shared" ref="Y202:Y218" si="242">REPT("0",2-LEN(RIGHT(DEC2HEX(X202), 2)))&amp;RIGHT(DEC2HEX(X202), 2)</f>
        <v>01</v>
      </c>
      <c r="Z202" s="119"/>
      <c r="AA202" s="119"/>
      <c r="AB202" s="119"/>
      <c r="AC202" s="119"/>
      <c r="AD202" s="119"/>
      <c r="AE202" s="119"/>
      <c r="AF202" s="119"/>
      <c r="AG202" s="119"/>
      <c r="AH202" s="119"/>
      <c r="AJ202" s="64"/>
      <c r="AK202" s="64" t="s">
        <v>2212</v>
      </c>
    </row>
    <row r="203" spans="2:37" ht="16.5" customHeight="1">
      <c r="B203" s="122" t="s">
        <v>159</v>
      </c>
      <c r="C203" s="122" t="str">
        <f t="shared" si="232"/>
        <v>FF01E1000000E2</v>
      </c>
      <c r="D203" s="60" t="s">
        <v>24</v>
      </c>
      <c r="E203" s="60" t="s">
        <v>161</v>
      </c>
      <c r="F203" s="60" t="s">
        <v>16</v>
      </c>
      <c r="G203" s="60" t="s">
        <v>16</v>
      </c>
      <c r="H203" s="60" t="s">
        <v>16</v>
      </c>
      <c r="I203" s="12" t="str">
        <f t="shared" si="238"/>
        <v>E2</v>
      </c>
      <c r="J203" s="12"/>
      <c r="K203" s="12"/>
      <c r="L203" s="12"/>
      <c r="M203" s="12"/>
      <c r="N203" s="12"/>
      <c r="O203" s="12"/>
      <c r="P203" s="12"/>
      <c r="Q203" s="13">
        <f t="shared" si="154"/>
        <v>1</v>
      </c>
      <c r="R203" s="13">
        <f t="shared" si="155"/>
        <v>225</v>
      </c>
      <c r="S203" s="13">
        <f t="shared" si="156"/>
        <v>0</v>
      </c>
      <c r="T203" s="13">
        <f t="shared" si="157"/>
        <v>0</v>
      </c>
      <c r="U203" s="13">
        <f t="shared" si="162"/>
        <v>0</v>
      </c>
      <c r="V203" s="13">
        <f t="shared" si="239"/>
        <v>226</v>
      </c>
      <c r="W203" s="13" t="str">
        <f t="shared" si="240"/>
        <v>E2</v>
      </c>
      <c r="X203" s="13">
        <f t="shared" si="241"/>
        <v>451</v>
      </c>
      <c r="Y203" s="13" t="str">
        <f t="shared" si="242"/>
        <v>C3</v>
      </c>
      <c r="Z203" s="119"/>
      <c r="AA203" s="119"/>
      <c r="AB203" s="119"/>
      <c r="AC203" s="119"/>
      <c r="AD203" s="119"/>
      <c r="AE203" s="119"/>
      <c r="AF203" s="119"/>
      <c r="AG203" s="119"/>
      <c r="AH203" s="119"/>
      <c r="AJ203" s="64"/>
      <c r="AK203" s="64" t="s">
        <v>2213</v>
      </c>
    </row>
    <row r="204" spans="2:37" ht="16.5" customHeight="1">
      <c r="B204" s="122" t="s">
        <v>2062</v>
      </c>
      <c r="C204" s="122" t="str">
        <f t="shared" si="232"/>
        <v>FF01E1100000F2</v>
      </c>
      <c r="D204" s="60" t="s">
        <v>24</v>
      </c>
      <c r="E204" s="60" t="s">
        <v>161</v>
      </c>
      <c r="F204" s="60" t="s">
        <v>109</v>
      </c>
      <c r="G204" s="60" t="s">
        <v>16</v>
      </c>
      <c r="H204" s="60" t="s">
        <v>16</v>
      </c>
      <c r="I204" s="12" t="str">
        <f t="shared" si="238"/>
        <v>F2</v>
      </c>
      <c r="J204" s="12"/>
      <c r="K204" s="12"/>
      <c r="L204" s="12"/>
      <c r="M204" s="12"/>
      <c r="N204" s="12"/>
      <c r="O204" s="12"/>
      <c r="P204" s="12"/>
      <c r="Q204" s="13">
        <f t="shared" si="154"/>
        <v>1</v>
      </c>
      <c r="R204" s="13">
        <f t="shared" si="155"/>
        <v>225</v>
      </c>
      <c r="S204" s="13">
        <f t="shared" si="156"/>
        <v>16</v>
      </c>
      <c r="T204" s="13">
        <f t="shared" si="157"/>
        <v>0</v>
      </c>
      <c r="U204" s="13">
        <f t="shared" si="162"/>
        <v>0</v>
      </c>
      <c r="V204" s="13">
        <f t="shared" si="239"/>
        <v>242</v>
      </c>
      <c r="W204" s="13" t="str">
        <f t="shared" si="240"/>
        <v>F2</v>
      </c>
      <c r="X204" s="13">
        <f t="shared" si="241"/>
        <v>483</v>
      </c>
      <c r="Y204" s="13" t="str">
        <f t="shared" si="242"/>
        <v>E3</v>
      </c>
      <c r="Z204" s="119"/>
      <c r="AA204" s="119"/>
      <c r="AB204" s="119"/>
      <c r="AC204" s="119"/>
      <c r="AD204" s="119"/>
      <c r="AE204" s="119"/>
      <c r="AF204" s="119"/>
      <c r="AG204" s="119"/>
      <c r="AH204" s="119"/>
      <c r="AJ204" s="64"/>
      <c r="AK204" s="64" t="s">
        <v>272</v>
      </c>
    </row>
    <row r="205" spans="2:37" ht="16.5" customHeight="1">
      <c r="B205" s="122" t="s">
        <v>2063</v>
      </c>
      <c r="C205" s="122" t="str">
        <f t="shared" ref="C205" si="243">"FF"&amp;D205&amp;E205&amp;""&amp;F205&amp;G205&amp;H205&amp;I205</f>
        <v>FF02E1100000F3</v>
      </c>
      <c r="D205" s="60" t="s">
        <v>17</v>
      </c>
      <c r="E205" s="60" t="s">
        <v>161</v>
      </c>
      <c r="F205" s="60" t="s">
        <v>109</v>
      </c>
      <c r="G205" s="60" t="s">
        <v>16</v>
      </c>
      <c r="H205" s="60" t="s">
        <v>16</v>
      </c>
      <c r="I205" s="12" t="str">
        <f t="shared" ref="I205" si="244">W205</f>
        <v>F3</v>
      </c>
      <c r="J205" s="12"/>
      <c r="K205" s="12"/>
      <c r="L205" s="12"/>
      <c r="M205" s="12"/>
      <c r="N205" s="12"/>
      <c r="O205" s="12"/>
      <c r="P205" s="12"/>
      <c r="Q205" s="13">
        <f t="shared" ref="Q205" si="245">HEX2DEC(D205)</f>
        <v>2</v>
      </c>
      <c r="R205" s="13">
        <f t="shared" ref="R205" si="246">HEX2DEC(E205)</f>
        <v>225</v>
      </c>
      <c r="S205" s="13">
        <f t="shared" ref="S205" si="247">HEX2DEC(F205)</f>
        <v>16</v>
      </c>
      <c r="T205" s="13">
        <f t="shared" ref="T205" si="248">HEX2DEC(G205)</f>
        <v>0</v>
      </c>
      <c r="U205" s="13">
        <f t="shared" ref="U205" si="249">HEX2DEC(H205)</f>
        <v>0</v>
      </c>
      <c r="V205" s="13">
        <f t="shared" ref="V205" si="250">SUM(Q205:U205)</f>
        <v>243</v>
      </c>
      <c r="W205" s="13" t="str">
        <f t="shared" ref="W205" si="251">REPT("0",2-LEN(RIGHT(DEC2HEX(V205), 2)))&amp;RIGHT(DEC2HEX(V205), 2)</f>
        <v>F3</v>
      </c>
      <c r="X205" s="13">
        <f t="shared" ref="X205" si="252">SUM(R205:W205)</f>
        <v>484</v>
      </c>
      <c r="Y205" s="13" t="str">
        <f t="shared" ref="Y205" si="253">REPT("0",2-LEN(RIGHT(DEC2HEX(X205), 2)))&amp;RIGHT(DEC2HEX(X205), 2)</f>
        <v>E4</v>
      </c>
      <c r="Z205" s="119"/>
      <c r="AA205" s="119"/>
      <c r="AB205" s="119"/>
      <c r="AC205" s="119"/>
      <c r="AD205" s="119"/>
      <c r="AE205" s="119"/>
      <c r="AF205" s="119"/>
      <c r="AG205" s="119"/>
      <c r="AH205" s="119"/>
      <c r="AJ205" s="64"/>
      <c r="AK205" s="64" t="s">
        <v>2214</v>
      </c>
    </row>
    <row r="206" spans="2:37" ht="16.5" customHeight="1">
      <c r="B206" s="122" t="s">
        <v>2064</v>
      </c>
      <c r="C206" s="122" t="str">
        <f t="shared" ref="C206" si="254">"FF"&amp;D206&amp;E206&amp;""&amp;F206&amp;G206&amp;H206&amp;I206</f>
        <v>FF03E1100000F4</v>
      </c>
      <c r="D206" s="60" t="s">
        <v>91</v>
      </c>
      <c r="E206" s="60" t="s">
        <v>161</v>
      </c>
      <c r="F206" s="60" t="s">
        <v>109</v>
      </c>
      <c r="G206" s="60" t="s">
        <v>16</v>
      </c>
      <c r="H206" s="60" t="s">
        <v>16</v>
      </c>
      <c r="I206" s="12" t="str">
        <f t="shared" ref="I206" si="255">W206</f>
        <v>F4</v>
      </c>
      <c r="J206" s="12"/>
      <c r="K206" s="12"/>
      <c r="L206" s="12"/>
      <c r="M206" s="12"/>
      <c r="N206" s="12"/>
      <c r="O206" s="12"/>
      <c r="P206" s="12"/>
      <c r="Q206" s="13">
        <f t="shared" ref="Q206" si="256">HEX2DEC(D206)</f>
        <v>3</v>
      </c>
      <c r="R206" s="13">
        <f t="shared" ref="R206" si="257">HEX2DEC(E206)</f>
        <v>225</v>
      </c>
      <c r="S206" s="13">
        <f t="shared" ref="S206" si="258">HEX2DEC(F206)</f>
        <v>16</v>
      </c>
      <c r="T206" s="13">
        <f t="shared" ref="T206" si="259">HEX2DEC(G206)</f>
        <v>0</v>
      </c>
      <c r="U206" s="13">
        <f t="shared" ref="U206" si="260">HEX2DEC(H206)</f>
        <v>0</v>
      </c>
      <c r="V206" s="13">
        <f t="shared" ref="V206" si="261">SUM(Q206:U206)</f>
        <v>244</v>
      </c>
      <c r="W206" s="13" t="str">
        <f t="shared" ref="W206" si="262">REPT("0",2-LEN(RIGHT(DEC2HEX(V206), 2)))&amp;RIGHT(DEC2HEX(V206), 2)</f>
        <v>F4</v>
      </c>
      <c r="X206" s="13">
        <f t="shared" ref="X206" si="263">SUM(R206:W206)</f>
        <v>485</v>
      </c>
      <c r="Y206" s="13" t="str">
        <f t="shared" ref="Y206" si="264">REPT("0",2-LEN(RIGHT(DEC2HEX(X206), 2)))&amp;RIGHT(DEC2HEX(X206), 2)</f>
        <v>E5</v>
      </c>
      <c r="Z206" s="119"/>
      <c r="AA206" s="119"/>
      <c r="AB206" s="119"/>
      <c r="AC206" s="119"/>
      <c r="AD206" s="119"/>
      <c r="AE206" s="119"/>
      <c r="AF206" s="119"/>
      <c r="AG206" s="119"/>
      <c r="AH206" s="119"/>
      <c r="AJ206" s="64"/>
      <c r="AK206" s="64" t="s">
        <v>2215</v>
      </c>
    </row>
    <row r="207" spans="2:37" ht="16.5" customHeight="1">
      <c r="B207" s="122" t="s">
        <v>1812</v>
      </c>
      <c r="C207" s="122" t="str">
        <f t="shared" si="232"/>
        <v>FF03E021000004</v>
      </c>
      <c r="D207" s="60" t="s">
        <v>91</v>
      </c>
      <c r="E207" s="60" t="s">
        <v>15</v>
      </c>
      <c r="F207" s="60" t="s">
        <v>18</v>
      </c>
      <c r="G207" s="60" t="s">
        <v>16</v>
      </c>
      <c r="H207" s="60" t="s">
        <v>16</v>
      </c>
      <c r="I207" s="12" t="str">
        <f t="shared" si="238"/>
        <v>04</v>
      </c>
      <c r="J207" s="12"/>
      <c r="K207" s="12"/>
      <c r="L207" s="12"/>
      <c r="M207" s="12"/>
      <c r="N207" s="12"/>
      <c r="O207" s="12"/>
      <c r="P207" s="12"/>
      <c r="Q207" s="13">
        <f t="shared" si="154"/>
        <v>3</v>
      </c>
      <c r="R207" s="13">
        <f t="shared" si="155"/>
        <v>224</v>
      </c>
      <c r="S207" s="13">
        <f t="shared" si="156"/>
        <v>33</v>
      </c>
      <c r="T207" s="13">
        <f t="shared" si="157"/>
        <v>0</v>
      </c>
      <c r="U207" s="13">
        <f t="shared" si="162"/>
        <v>0</v>
      </c>
      <c r="V207" s="13">
        <f t="shared" si="239"/>
        <v>260</v>
      </c>
      <c r="W207" s="13" t="str">
        <f t="shared" si="240"/>
        <v>04</v>
      </c>
      <c r="X207" s="13">
        <f t="shared" si="241"/>
        <v>517</v>
      </c>
      <c r="Y207" s="13" t="str">
        <f t="shared" si="242"/>
        <v>05</v>
      </c>
      <c r="Z207" s="119"/>
      <c r="AA207" s="119"/>
      <c r="AB207" s="119"/>
      <c r="AC207" s="119"/>
      <c r="AD207" s="119"/>
      <c r="AE207" s="119"/>
      <c r="AF207" s="119"/>
      <c r="AG207" s="119"/>
      <c r="AH207" s="119"/>
      <c r="AJ207" s="64"/>
      <c r="AK207" s="64" t="s">
        <v>2216</v>
      </c>
    </row>
    <row r="208" spans="2:37" ht="16.5" customHeight="1">
      <c r="B208" s="122" t="s">
        <v>1813</v>
      </c>
      <c r="C208" s="122" t="str">
        <f t="shared" si="232"/>
        <v>FF03E022000005</v>
      </c>
      <c r="D208" s="60" t="s">
        <v>91</v>
      </c>
      <c r="E208" s="60" t="s">
        <v>15</v>
      </c>
      <c r="F208" s="60" t="s">
        <v>49</v>
      </c>
      <c r="G208" s="60" t="s">
        <v>16</v>
      </c>
      <c r="H208" s="60" t="s">
        <v>16</v>
      </c>
      <c r="I208" s="12" t="str">
        <f t="shared" si="238"/>
        <v>05</v>
      </c>
      <c r="J208" s="12"/>
      <c r="K208" s="12"/>
      <c r="L208" s="12"/>
      <c r="M208" s="12"/>
      <c r="N208" s="12"/>
      <c r="O208" s="12"/>
      <c r="P208" s="12"/>
      <c r="Q208" s="13">
        <f t="shared" si="154"/>
        <v>3</v>
      </c>
      <c r="R208" s="13">
        <f t="shared" si="155"/>
        <v>224</v>
      </c>
      <c r="S208" s="13">
        <f t="shared" si="156"/>
        <v>34</v>
      </c>
      <c r="T208" s="13">
        <f t="shared" si="157"/>
        <v>0</v>
      </c>
      <c r="U208" s="13">
        <f t="shared" si="162"/>
        <v>0</v>
      </c>
      <c r="V208" s="13">
        <f t="shared" si="239"/>
        <v>261</v>
      </c>
      <c r="W208" s="13" t="str">
        <f t="shared" si="240"/>
        <v>05</v>
      </c>
      <c r="X208" s="13">
        <f t="shared" si="241"/>
        <v>519</v>
      </c>
      <c r="Y208" s="13" t="str">
        <f t="shared" si="242"/>
        <v>07</v>
      </c>
      <c r="Z208" s="119"/>
      <c r="AA208" s="119"/>
      <c r="AB208" s="119"/>
      <c r="AC208" s="119"/>
      <c r="AD208" s="119"/>
      <c r="AE208" s="119"/>
      <c r="AF208" s="119"/>
      <c r="AG208" s="119"/>
      <c r="AH208" s="119"/>
      <c r="AJ208" s="64"/>
      <c r="AK208" s="64" t="s">
        <v>2217</v>
      </c>
    </row>
    <row r="209" spans="2:37" ht="16.5" customHeight="1">
      <c r="B209" s="122" t="s">
        <v>1814</v>
      </c>
      <c r="C209" s="122" t="str">
        <f t="shared" si="232"/>
        <v>FF03E023000006</v>
      </c>
      <c r="D209" s="60" t="s">
        <v>91</v>
      </c>
      <c r="E209" s="60" t="s">
        <v>15</v>
      </c>
      <c r="F209" s="60" t="s">
        <v>1692</v>
      </c>
      <c r="G209" s="60" t="s">
        <v>16</v>
      </c>
      <c r="H209" s="60" t="s">
        <v>16</v>
      </c>
      <c r="I209" s="12" t="str">
        <f t="shared" si="238"/>
        <v>06</v>
      </c>
      <c r="J209" s="12"/>
      <c r="K209" s="12"/>
      <c r="L209" s="12"/>
      <c r="M209" s="12"/>
      <c r="N209" s="12"/>
      <c r="O209" s="12"/>
      <c r="P209" s="12"/>
      <c r="Q209" s="13">
        <f t="shared" si="154"/>
        <v>3</v>
      </c>
      <c r="R209" s="13">
        <f t="shared" si="155"/>
        <v>224</v>
      </c>
      <c r="S209" s="13">
        <f t="shared" si="156"/>
        <v>35</v>
      </c>
      <c r="T209" s="13">
        <f t="shared" si="157"/>
        <v>0</v>
      </c>
      <c r="U209" s="13">
        <f t="shared" si="162"/>
        <v>0</v>
      </c>
      <c r="V209" s="13">
        <f t="shared" si="239"/>
        <v>262</v>
      </c>
      <c r="W209" s="13" t="str">
        <f t="shared" si="240"/>
        <v>06</v>
      </c>
      <c r="X209" s="13">
        <f t="shared" si="241"/>
        <v>521</v>
      </c>
      <c r="Y209" s="13" t="str">
        <f t="shared" si="242"/>
        <v>09</v>
      </c>
      <c r="Z209" s="119"/>
      <c r="AA209" s="119"/>
      <c r="AB209" s="119"/>
      <c r="AC209" s="119"/>
      <c r="AD209" s="119"/>
      <c r="AE209" s="119"/>
      <c r="AF209" s="119"/>
      <c r="AG209" s="119"/>
      <c r="AH209" s="119"/>
      <c r="AJ209" s="64"/>
      <c r="AK209" s="64" t="s">
        <v>2218</v>
      </c>
    </row>
    <row r="210" spans="2:37" ht="16.5" customHeight="1">
      <c r="B210" s="122" t="s">
        <v>1815</v>
      </c>
      <c r="C210" s="122" t="str">
        <f t="shared" si="232"/>
        <v>FF03E024000007</v>
      </c>
      <c r="D210" s="60" t="s">
        <v>91</v>
      </c>
      <c r="E210" s="60" t="s">
        <v>15</v>
      </c>
      <c r="F210" s="60" t="s">
        <v>1768</v>
      </c>
      <c r="G210" s="60" t="s">
        <v>16</v>
      </c>
      <c r="H210" s="60" t="s">
        <v>16</v>
      </c>
      <c r="I210" s="12" t="str">
        <f t="shared" si="238"/>
        <v>07</v>
      </c>
      <c r="J210" s="12"/>
      <c r="K210" s="12"/>
      <c r="L210" s="12"/>
      <c r="M210" s="12"/>
      <c r="N210" s="12"/>
      <c r="O210" s="12"/>
      <c r="P210" s="12"/>
      <c r="Q210" s="13">
        <f t="shared" si="154"/>
        <v>3</v>
      </c>
      <c r="R210" s="13">
        <f t="shared" si="155"/>
        <v>224</v>
      </c>
      <c r="S210" s="13">
        <f t="shared" si="156"/>
        <v>36</v>
      </c>
      <c r="T210" s="13">
        <f t="shared" si="157"/>
        <v>0</v>
      </c>
      <c r="U210" s="13">
        <f t="shared" si="162"/>
        <v>0</v>
      </c>
      <c r="V210" s="13">
        <f t="shared" si="239"/>
        <v>263</v>
      </c>
      <c r="W210" s="13" t="str">
        <f t="shared" si="240"/>
        <v>07</v>
      </c>
      <c r="X210" s="13">
        <f t="shared" si="241"/>
        <v>523</v>
      </c>
      <c r="Y210" s="13" t="str">
        <f t="shared" si="242"/>
        <v>0B</v>
      </c>
      <c r="Z210" s="119"/>
      <c r="AA210" s="119"/>
      <c r="AB210" s="119"/>
      <c r="AC210" s="119"/>
      <c r="AD210" s="119"/>
      <c r="AE210" s="119"/>
      <c r="AF210" s="119"/>
      <c r="AG210" s="119"/>
      <c r="AH210" s="119"/>
      <c r="AJ210" s="64"/>
      <c r="AK210" s="64" t="s">
        <v>2219</v>
      </c>
    </row>
    <row r="211" spans="2:37" ht="16.5" customHeight="1">
      <c r="B211" s="122" t="s">
        <v>1816</v>
      </c>
      <c r="C211" s="122" t="str">
        <f t="shared" si="232"/>
        <v>FF03E025000008</v>
      </c>
      <c r="D211" s="60" t="s">
        <v>91</v>
      </c>
      <c r="E211" s="60" t="s">
        <v>15</v>
      </c>
      <c r="F211" s="60" t="s">
        <v>51</v>
      </c>
      <c r="G211" s="60" t="s">
        <v>16</v>
      </c>
      <c r="H211" s="60" t="s">
        <v>16</v>
      </c>
      <c r="I211" s="12" t="str">
        <f t="shared" si="238"/>
        <v>08</v>
      </c>
      <c r="J211" s="12"/>
      <c r="K211" s="12"/>
      <c r="L211" s="12"/>
      <c r="M211" s="12"/>
      <c r="N211" s="12"/>
      <c r="O211" s="12"/>
      <c r="P211" s="12"/>
      <c r="Q211" s="13">
        <f t="shared" si="154"/>
        <v>3</v>
      </c>
      <c r="R211" s="13">
        <f t="shared" si="155"/>
        <v>224</v>
      </c>
      <c r="S211" s="13">
        <f t="shared" si="156"/>
        <v>37</v>
      </c>
      <c r="T211" s="13">
        <f t="shared" si="157"/>
        <v>0</v>
      </c>
      <c r="U211" s="13">
        <f t="shared" si="162"/>
        <v>0</v>
      </c>
      <c r="V211" s="13">
        <f t="shared" si="239"/>
        <v>264</v>
      </c>
      <c r="W211" s="13" t="str">
        <f t="shared" si="240"/>
        <v>08</v>
      </c>
      <c r="X211" s="13">
        <f t="shared" si="241"/>
        <v>525</v>
      </c>
      <c r="Y211" s="13" t="str">
        <f t="shared" si="242"/>
        <v>0D</v>
      </c>
      <c r="Z211" s="119"/>
      <c r="AA211" s="119"/>
      <c r="AB211" s="119"/>
      <c r="AC211" s="119"/>
      <c r="AD211" s="119"/>
      <c r="AE211" s="119"/>
      <c r="AF211" s="119"/>
      <c r="AG211" s="119"/>
      <c r="AH211" s="119"/>
      <c r="AJ211" s="64"/>
      <c r="AK211" s="64" t="s">
        <v>2220</v>
      </c>
    </row>
    <row r="212" spans="2:37" s="126" customFormat="1" ht="16.5" customHeight="1">
      <c r="B212" s="122" t="s">
        <v>1817</v>
      </c>
      <c r="C212" s="122" t="s">
        <v>1614</v>
      </c>
      <c r="D212" s="123" t="s">
        <v>17</v>
      </c>
      <c r="E212" s="123"/>
      <c r="F212" s="123"/>
      <c r="G212" s="123"/>
      <c r="H212" s="123"/>
      <c r="I212" s="122" t="str">
        <f t="shared" si="238"/>
        <v>02</v>
      </c>
      <c r="J212" s="122"/>
      <c r="K212" s="122"/>
      <c r="L212" s="122"/>
      <c r="M212" s="122"/>
      <c r="N212" s="122"/>
      <c r="O212" s="122"/>
      <c r="P212" s="122"/>
      <c r="Q212" s="124">
        <f t="shared" si="154"/>
        <v>2</v>
      </c>
      <c r="R212" s="124">
        <f t="shared" si="155"/>
        <v>0</v>
      </c>
      <c r="S212" s="124">
        <f t="shared" si="156"/>
        <v>0</v>
      </c>
      <c r="T212" s="124">
        <f t="shared" si="157"/>
        <v>0</v>
      </c>
      <c r="U212" s="124">
        <f t="shared" si="162"/>
        <v>0</v>
      </c>
      <c r="V212" s="124">
        <f t="shared" si="239"/>
        <v>2</v>
      </c>
      <c r="W212" s="124" t="str">
        <f t="shared" si="240"/>
        <v>02</v>
      </c>
      <c r="X212" s="124">
        <f t="shared" si="241"/>
        <v>2</v>
      </c>
      <c r="Y212" s="124" t="str">
        <f t="shared" si="242"/>
        <v>02</v>
      </c>
      <c r="Z212" s="125"/>
      <c r="AA212" s="125"/>
      <c r="AB212" s="125"/>
      <c r="AC212" s="125"/>
      <c r="AD212" s="125"/>
      <c r="AE212" s="125"/>
      <c r="AF212" s="125"/>
      <c r="AG212" s="125"/>
      <c r="AH212" s="125"/>
      <c r="AJ212" s="127"/>
      <c r="AK212" s="127" t="s">
        <v>1613</v>
      </c>
    </row>
    <row r="213" spans="2:37" ht="16.5" customHeight="1">
      <c r="B213" s="122" t="s">
        <v>1818</v>
      </c>
      <c r="C213" s="122" t="str">
        <f t="shared" ref="C213:C247" si="265">"FF"&amp;D213&amp;E213&amp;""&amp;F213&amp;G213&amp;H213&amp;I213</f>
        <v>FF02E130000013</v>
      </c>
      <c r="D213" s="60" t="s">
        <v>17</v>
      </c>
      <c r="E213" s="60" t="s">
        <v>161</v>
      </c>
      <c r="F213" s="60" t="s">
        <v>172</v>
      </c>
      <c r="G213" s="60" t="s">
        <v>16</v>
      </c>
      <c r="H213" s="60" t="s">
        <v>16</v>
      </c>
      <c r="I213" s="12" t="str">
        <f t="shared" si="238"/>
        <v>13</v>
      </c>
      <c r="J213" s="12"/>
      <c r="K213" s="12"/>
      <c r="L213" s="12"/>
      <c r="M213" s="12"/>
      <c r="N213" s="12"/>
      <c r="O213" s="12"/>
      <c r="P213" s="12"/>
      <c r="Q213" s="13">
        <f t="shared" si="154"/>
        <v>2</v>
      </c>
      <c r="R213" s="13">
        <f t="shared" si="155"/>
        <v>225</v>
      </c>
      <c r="S213" s="13">
        <f t="shared" si="156"/>
        <v>48</v>
      </c>
      <c r="T213" s="13">
        <f t="shared" si="157"/>
        <v>0</v>
      </c>
      <c r="U213" s="13">
        <f t="shared" si="162"/>
        <v>0</v>
      </c>
      <c r="V213" s="13">
        <f t="shared" si="239"/>
        <v>275</v>
      </c>
      <c r="W213" s="13" t="str">
        <f t="shared" si="240"/>
        <v>13</v>
      </c>
      <c r="X213" s="13">
        <f t="shared" si="241"/>
        <v>548</v>
      </c>
      <c r="Y213" s="13" t="str">
        <f t="shared" si="242"/>
        <v>24</v>
      </c>
      <c r="Z213" s="119"/>
      <c r="AA213" s="119"/>
      <c r="AB213" s="119"/>
      <c r="AC213" s="119"/>
      <c r="AD213" s="119"/>
      <c r="AE213" s="119"/>
      <c r="AF213" s="119"/>
      <c r="AG213" s="119"/>
      <c r="AH213" s="119"/>
      <c r="AJ213" s="64"/>
      <c r="AK213" s="64" t="s">
        <v>2221</v>
      </c>
    </row>
    <row r="214" spans="2:37" ht="16.5" customHeight="1">
      <c r="B214" s="122" t="s">
        <v>1819</v>
      </c>
      <c r="C214" s="122" t="str">
        <f t="shared" si="265"/>
        <v>FF02E032000014</v>
      </c>
      <c r="D214" s="60" t="s">
        <v>17</v>
      </c>
      <c r="E214" s="60" t="s">
        <v>15</v>
      </c>
      <c r="F214" s="60" t="s">
        <v>1330</v>
      </c>
      <c r="G214" s="60" t="s">
        <v>16</v>
      </c>
      <c r="H214" s="60" t="s">
        <v>16</v>
      </c>
      <c r="I214" s="12" t="str">
        <f t="shared" si="238"/>
        <v>14</v>
      </c>
      <c r="J214" s="12"/>
      <c r="K214" s="12"/>
      <c r="L214" s="12"/>
      <c r="M214" s="12"/>
      <c r="N214" s="12"/>
      <c r="O214" s="12"/>
      <c r="P214" s="12"/>
      <c r="Q214" s="13">
        <f t="shared" si="154"/>
        <v>2</v>
      </c>
      <c r="R214" s="13">
        <f t="shared" si="155"/>
        <v>224</v>
      </c>
      <c r="S214" s="13">
        <f t="shared" si="156"/>
        <v>50</v>
      </c>
      <c r="T214" s="13">
        <f t="shared" si="157"/>
        <v>0</v>
      </c>
      <c r="U214" s="13">
        <f t="shared" si="162"/>
        <v>0</v>
      </c>
      <c r="V214" s="13">
        <f t="shared" si="239"/>
        <v>276</v>
      </c>
      <c r="W214" s="13" t="str">
        <f t="shared" si="240"/>
        <v>14</v>
      </c>
      <c r="X214" s="13">
        <f t="shared" si="241"/>
        <v>550</v>
      </c>
      <c r="Y214" s="13" t="str">
        <f t="shared" si="242"/>
        <v>26</v>
      </c>
      <c r="Z214" s="119"/>
      <c r="AA214" s="119"/>
      <c r="AB214" s="119"/>
      <c r="AC214" s="119"/>
      <c r="AD214" s="119"/>
      <c r="AE214" s="119"/>
      <c r="AF214" s="119"/>
      <c r="AG214" s="119"/>
      <c r="AH214" s="119"/>
      <c r="AJ214" s="64"/>
      <c r="AK214" s="64" t="s">
        <v>2222</v>
      </c>
    </row>
    <row r="215" spans="2:37" ht="16.5" customHeight="1">
      <c r="B215" s="122" t="s">
        <v>1820</v>
      </c>
      <c r="C215" s="122" t="str">
        <f t="shared" si="265"/>
        <v>FF02E032000115</v>
      </c>
      <c r="D215" s="60" t="s">
        <v>17</v>
      </c>
      <c r="E215" s="60" t="s">
        <v>15</v>
      </c>
      <c r="F215" s="60" t="s">
        <v>1330</v>
      </c>
      <c r="G215" s="60" t="s">
        <v>16</v>
      </c>
      <c r="H215" s="60" t="s">
        <v>24</v>
      </c>
      <c r="I215" s="12" t="str">
        <f t="shared" si="238"/>
        <v>15</v>
      </c>
      <c r="J215" s="12"/>
      <c r="K215" s="12"/>
      <c r="L215" s="12"/>
      <c r="M215" s="12"/>
      <c r="N215" s="12"/>
      <c r="O215" s="12"/>
      <c r="P215" s="12"/>
      <c r="Q215" s="13">
        <f t="shared" si="154"/>
        <v>2</v>
      </c>
      <c r="R215" s="13">
        <f t="shared" si="155"/>
        <v>224</v>
      </c>
      <c r="S215" s="13">
        <f t="shared" si="156"/>
        <v>50</v>
      </c>
      <c r="T215" s="13">
        <f t="shared" si="157"/>
        <v>0</v>
      </c>
      <c r="U215" s="13">
        <f t="shared" si="162"/>
        <v>1</v>
      </c>
      <c r="V215" s="13">
        <f t="shared" si="239"/>
        <v>277</v>
      </c>
      <c r="W215" s="13" t="str">
        <f t="shared" si="240"/>
        <v>15</v>
      </c>
      <c r="X215" s="13">
        <f t="shared" si="241"/>
        <v>552</v>
      </c>
      <c r="Y215" s="13" t="str">
        <f t="shared" si="242"/>
        <v>28</v>
      </c>
      <c r="Z215" s="119"/>
      <c r="AA215" s="119"/>
      <c r="AB215" s="119"/>
      <c r="AC215" s="119"/>
      <c r="AD215" s="119"/>
      <c r="AE215" s="119"/>
      <c r="AF215" s="119"/>
      <c r="AG215" s="119"/>
      <c r="AH215" s="119"/>
      <c r="AJ215" s="64"/>
      <c r="AK215" s="64" t="s">
        <v>2223</v>
      </c>
    </row>
    <row r="216" spans="2:37" ht="16.5" customHeight="1">
      <c r="B216" s="122" t="s">
        <v>1821</v>
      </c>
      <c r="C216" s="122" t="str">
        <f t="shared" si="265"/>
        <v>FF02E032000216</v>
      </c>
      <c r="D216" s="60" t="s">
        <v>17</v>
      </c>
      <c r="E216" s="60" t="s">
        <v>15</v>
      </c>
      <c r="F216" s="60" t="s">
        <v>1330</v>
      </c>
      <c r="G216" s="60" t="s">
        <v>16</v>
      </c>
      <c r="H216" s="60" t="s">
        <v>17</v>
      </c>
      <c r="I216" s="12" t="str">
        <f t="shared" si="238"/>
        <v>16</v>
      </c>
      <c r="J216" s="12"/>
      <c r="K216" s="12"/>
      <c r="L216" s="12"/>
      <c r="M216" s="12"/>
      <c r="N216" s="12"/>
      <c r="O216" s="12"/>
      <c r="P216" s="12"/>
      <c r="Q216" s="13">
        <f t="shared" si="154"/>
        <v>2</v>
      </c>
      <c r="R216" s="13">
        <f t="shared" si="155"/>
        <v>224</v>
      </c>
      <c r="S216" s="13">
        <f t="shared" si="156"/>
        <v>50</v>
      </c>
      <c r="T216" s="13">
        <f t="shared" si="157"/>
        <v>0</v>
      </c>
      <c r="U216" s="13">
        <f t="shared" si="162"/>
        <v>2</v>
      </c>
      <c r="V216" s="13">
        <f t="shared" si="239"/>
        <v>278</v>
      </c>
      <c r="W216" s="13" t="str">
        <f t="shared" si="240"/>
        <v>16</v>
      </c>
      <c r="X216" s="13">
        <f t="shared" si="241"/>
        <v>554</v>
      </c>
      <c r="Y216" s="13" t="str">
        <f t="shared" si="242"/>
        <v>2A</v>
      </c>
      <c r="Z216" s="119"/>
      <c r="AA216" s="119"/>
      <c r="AB216" s="119"/>
      <c r="AC216" s="119"/>
      <c r="AD216" s="119"/>
      <c r="AE216" s="119"/>
      <c r="AF216" s="119"/>
      <c r="AG216" s="119"/>
      <c r="AH216" s="119"/>
      <c r="AJ216" s="64"/>
      <c r="AK216" s="64" t="s">
        <v>2224</v>
      </c>
    </row>
    <row r="217" spans="2:37" ht="16.5" customHeight="1">
      <c r="B217" s="122" t="s">
        <v>1822</v>
      </c>
      <c r="C217" s="122" t="str">
        <f t="shared" si="265"/>
        <v>FF02E032000317</v>
      </c>
      <c r="D217" s="60" t="s">
        <v>17</v>
      </c>
      <c r="E217" s="60" t="s">
        <v>15</v>
      </c>
      <c r="F217" s="60" t="s">
        <v>1330</v>
      </c>
      <c r="G217" s="60" t="s">
        <v>16</v>
      </c>
      <c r="H217" s="60" t="s">
        <v>91</v>
      </c>
      <c r="I217" s="12" t="str">
        <f t="shared" si="238"/>
        <v>17</v>
      </c>
      <c r="J217" s="12"/>
      <c r="K217" s="12"/>
      <c r="L217" s="12"/>
      <c r="M217" s="12"/>
      <c r="N217" s="12"/>
      <c r="O217" s="12"/>
      <c r="P217" s="12"/>
      <c r="Q217" s="13">
        <f t="shared" si="154"/>
        <v>2</v>
      </c>
      <c r="R217" s="13">
        <f t="shared" si="155"/>
        <v>224</v>
      </c>
      <c r="S217" s="13">
        <f t="shared" si="156"/>
        <v>50</v>
      </c>
      <c r="T217" s="13">
        <f t="shared" si="157"/>
        <v>0</v>
      </c>
      <c r="U217" s="13">
        <f t="shared" si="162"/>
        <v>3</v>
      </c>
      <c r="V217" s="13">
        <f t="shared" si="239"/>
        <v>279</v>
      </c>
      <c r="W217" s="13" t="str">
        <f t="shared" si="240"/>
        <v>17</v>
      </c>
      <c r="X217" s="13">
        <f t="shared" si="241"/>
        <v>556</v>
      </c>
      <c r="Y217" s="13" t="str">
        <f t="shared" si="242"/>
        <v>2C</v>
      </c>
      <c r="Z217" s="119"/>
      <c r="AA217" s="119"/>
      <c r="AB217" s="119"/>
      <c r="AC217" s="119"/>
      <c r="AD217" s="119"/>
      <c r="AE217" s="119"/>
      <c r="AF217" s="119"/>
      <c r="AG217" s="119"/>
      <c r="AH217" s="119"/>
      <c r="AJ217" s="64"/>
      <c r="AK217" s="64" t="s">
        <v>2225</v>
      </c>
    </row>
    <row r="218" spans="2:37" ht="16.5" customHeight="1">
      <c r="B218" s="122" t="s">
        <v>1823</v>
      </c>
      <c r="C218" s="122" t="str">
        <f t="shared" si="265"/>
        <v>FF02E033000015</v>
      </c>
      <c r="D218" s="60" t="s">
        <v>17</v>
      </c>
      <c r="E218" s="60" t="s">
        <v>15</v>
      </c>
      <c r="F218" s="60" t="s">
        <v>1853</v>
      </c>
      <c r="G218" s="60" t="s">
        <v>16</v>
      </c>
      <c r="H218" s="60" t="s">
        <v>16</v>
      </c>
      <c r="I218" s="12" t="str">
        <f t="shared" si="238"/>
        <v>15</v>
      </c>
      <c r="J218" s="12"/>
      <c r="K218" s="12"/>
      <c r="L218" s="12"/>
      <c r="M218" s="12"/>
      <c r="N218" s="12"/>
      <c r="O218" s="12"/>
      <c r="P218" s="12"/>
      <c r="Q218" s="13">
        <f t="shared" si="154"/>
        <v>2</v>
      </c>
      <c r="R218" s="13">
        <f t="shared" si="155"/>
        <v>224</v>
      </c>
      <c r="S218" s="13">
        <f t="shared" si="156"/>
        <v>51</v>
      </c>
      <c r="T218" s="13">
        <f t="shared" si="157"/>
        <v>0</v>
      </c>
      <c r="U218" s="13">
        <f t="shared" si="162"/>
        <v>0</v>
      </c>
      <c r="V218" s="13">
        <f t="shared" si="239"/>
        <v>277</v>
      </c>
      <c r="W218" s="13" t="str">
        <f t="shared" si="240"/>
        <v>15</v>
      </c>
      <c r="X218" s="13">
        <f t="shared" si="241"/>
        <v>552</v>
      </c>
      <c r="Y218" s="13" t="str">
        <f t="shared" si="242"/>
        <v>28</v>
      </c>
      <c r="Z218" s="119"/>
      <c r="AA218" s="119"/>
      <c r="AB218" s="119"/>
      <c r="AC218" s="119"/>
      <c r="AD218" s="119"/>
      <c r="AE218" s="119"/>
      <c r="AF218" s="119"/>
      <c r="AG218" s="119"/>
      <c r="AH218" s="119"/>
      <c r="AJ218" s="64"/>
      <c r="AK218" s="64" t="s">
        <v>2226</v>
      </c>
    </row>
    <row r="219" spans="2:37" ht="16.5" customHeight="1">
      <c r="B219" s="122" t="s">
        <v>1824</v>
      </c>
      <c r="C219" s="122" t="str">
        <f t="shared" si="265"/>
        <v>FF02E033000116</v>
      </c>
      <c r="D219" s="60" t="s">
        <v>17</v>
      </c>
      <c r="E219" s="60" t="s">
        <v>15</v>
      </c>
      <c r="F219" s="60" t="s">
        <v>1853</v>
      </c>
      <c r="G219" s="60" t="s">
        <v>16</v>
      </c>
      <c r="H219" s="60" t="s">
        <v>24</v>
      </c>
      <c r="I219" s="12" t="str">
        <f t="shared" ref="I219:I236" si="266">W219</f>
        <v>16</v>
      </c>
      <c r="J219" s="12"/>
      <c r="K219" s="12"/>
      <c r="L219" s="12"/>
      <c r="M219" s="12"/>
      <c r="N219" s="12"/>
      <c r="O219" s="12"/>
      <c r="P219" s="12"/>
      <c r="Q219" s="13">
        <f t="shared" si="154"/>
        <v>2</v>
      </c>
      <c r="R219" s="13">
        <f t="shared" si="155"/>
        <v>224</v>
      </c>
      <c r="S219" s="13">
        <f t="shared" si="156"/>
        <v>51</v>
      </c>
      <c r="T219" s="13">
        <f t="shared" si="157"/>
        <v>0</v>
      </c>
      <c r="U219" s="13">
        <f t="shared" si="162"/>
        <v>1</v>
      </c>
      <c r="V219" s="13">
        <f t="shared" ref="V219:V236" si="267">SUM(Q219:U219)</f>
        <v>278</v>
      </c>
      <c r="W219" s="13" t="str">
        <f t="shared" ref="W219:W236" si="268">REPT("0",2-LEN(RIGHT(DEC2HEX(V219), 2)))&amp;RIGHT(DEC2HEX(V219), 2)</f>
        <v>16</v>
      </c>
      <c r="X219" s="13">
        <f t="shared" ref="X219:X236" si="269">SUM(R219:W219)</f>
        <v>554</v>
      </c>
      <c r="Y219" s="13" t="str">
        <f t="shared" ref="Y219:Y236" si="270">REPT("0",2-LEN(RIGHT(DEC2HEX(X219), 2)))&amp;RIGHT(DEC2HEX(X219), 2)</f>
        <v>2A</v>
      </c>
      <c r="Z219" s="119"/>
      <c r="AA219" s="119"/>
      <c r="AB219" s="119"/>
      <c r="AC219" s="119"/>
      <c r="AD219" s="119"/>
      <c r="AE219" s="119"/>
      <c r="AF219" s="119"/>
      <c r="AG219" s="119"/>
      <c r="AH219" s="119"/>
      <c r="AJ219" s="64"/>
      <c r="AK219" s="64" t="s">
        <v>2227</v>
      </c>
    </row>
    <row r="220" spans="2:37" ht="16.5" customHeight="1">
      <c r="B220" s="122" t="s">
        <v>1825</v>
      </c>
      <c r="C220" s="122" t="str">
        <f t="shared" si="265"/>
        <v>FF02E033000217</v>
      </c>
      <c r="D220" s="60" t="s">
        <v>17</v>
      </c>
      <c r="E220" s="60" t="s">
        <v>15</v>
      </c>
      <c r="F220" s="60" t="s">
        <v>1853</v>
      </c>
      <c r="G220" s="60" t="s">
        <v>16</v>
      </c>
      <c r="H220" s="60" t="s">
        <v>17</v>
      </c>
      <c r="I220" s="12" t="str">
        <f t="shared" si="266"/>
        <v>17</v>
      </c>
      <c r="J220" s="12"/>
      <c r="K220" s="12"/>
      <c r="L220" s="12"/>
      <c r="M220" s="12"/>
      <c r="N220" s="12"/>
      <c r="O220" s="12"/>
      <c r="P220" s="12"/>
      <c r="Q220" s="13">
        <f t="shared" si="154"/>
        <v>2</v>
      </c>
      <c r="R220" s="13">
        <f t="shared" si="155"/>
        <v>224</v>
      </c>
      <c r="S220" s="13">
        <f t="shared" si="156"/>
        <v>51</v>
      </c>
      <c r="T220" s="13">
        <f t="shared" si="157"/>
        <v>0</v>
      </c>
      <c r="U220" s="13">
        <f t="shared" si="162"/>
        <v>2</v>
      </c>
      <c r="V220" s="13">
        <f t="shared" si="267"/>
        <v>279</v>
      </c>
      <c r="W220" s="13" t="str">
        <f t="shared" si="268"/>
        <v>17</v>
      </c>
      <c r="X220" s="13">
        <f t="shared" si="269"/>
        <v>556</v>
      </c>
      <c r="Y220" s="13" t="str">
        <f t="shared" si="270"/>
        <v>2C</v>
      </c>
      <c r="Z220" s="119"/>
      <c r="AA220" s="119"/>
      <c r="AB220" s="119"/>
      <c r="AC220" s="119"/>
      <c r="AD220" s="119"/>
      <c r="AE220" s="119"/>
      <c r="AF220" s="119"/>
      <c r="AG220" s="119"/>
      <c r="AH220" s="119"/>
      <c r="AJ220" s="64"/>
      <c r="AK220" s="64" t="s">
        <v>2228</v>
      </c>
    </row>
    <row r="221" spans="2:37" ht="16.5" customHeight="1">
      <c r="B221" s="122" t="s">
        <v>1826</v>
      </c>
      <c r="C221" s="122" t="str">
        <f t="shared" si="265"/>
        <v>FF02E034000016</v>
      </c>
      <c r="D221" s="60" t="s">
        <v>17</v>
      </c>
      <c r="E221" s="60" t="s">
        <v>15</v>
      </c>
      <c r="F221" s="60" t="s">
        <v>1854</v>
      </c>
      <c r="G221" s="60" t="s">
        <v>16</v>
      </c>
      <c r="H221" s="60" t="s">
        <v>16</v>
      </c>
      <c r="I221" s="12" t="str">
        <f t="shared" si="266"/>
        <v>16</v>
      </c>
      <c r="J221" s="12"/>
      <c r="K221" s="12"/>
      <c r="L221" s="12"/>
      <c r="M221" s="12"/>
      <c r="N221" s="12"/>
      <c r="O221" s="12"/>
      <c r="P221" s="12"/>
      <c r="Q221" s="13">
        <f t="shared" si="154"/>
        <v>2</v>
      </c>
      <c r="R221" s="13">
        <f t="shared" si="155"/>
        <v>224</v>
      </c>
      <c r="S221" s="13">
        <f t="shared" si="156"/>
        <v>52</v>
      </c>
      <c r="T221" s="13">
        <f t="shared" si="157"/>
        <v>0</v>
      </c>
      <c r="U221" s="13">
        <f t="shared" si="162"/>
        <v>0</v>
      </c>
      <c r="V221" s="13">
        <f t="shared" si="267"/>
        <v>278</v>
      </c>
      <c r="W221" s="13" t="str">
        <f t="shared" si="268"/>
        <v>16</v>
      </c>
      <c r="X221" s="13">
        <f t="shared" si="269"/>
        <v>554</v>
      </c>
      <c r="Y221" s="13" t="str">
        <f t="shared" si="270"/>
        <v>2A</v>
      </c>
      <c r="Z221" s="119"/>
      <c r="AA221" s="119"/>
      <c r="AB221" s="119"/>
      <c r="AC221" s="119"/>
      <c r="AD221" s="119"/>
      <c r="AE221" s="119"/>
      <c r="AF221" s="119"/>
      <c r="AG221" s="119"/>
      <c r="AH221" s="119"/>
      <c r="AJ221" s="64"/>
      <c r="AK221" s="64" t="s">
        <v>2229</v>
      </c>
    </row>
    <row r="222" spans="2:37" ht="16.5" customHeight="1">
      <c r="B222" s="122" t="s">
        <v>1827</v>
      </c>
      <c r="C222" s="122" t="str">
        <f t="shared" si="265"/>
        <v>FF02E034000117</v>
      </c>
      <c r="D222" s="60" t="s">
        <v>17</v>
      </c>
      <c r="E222" s="60" t="s">
        <v>15</v>
      </c>
      <c r="F222" s="60" t="s">
        <v>1854</v>
      </c>
      <c r="G222" s="60" t="s">
        <v>16</v>
      </c>
      <c r="H222" s="60" t="s">
        <v>24</v>
      </c>
      <c r="I222" s="12" t="str">
        <f t="shared" si="266"/>
        <v>17</v>
      </c>
      <c r="J222" s="12"/>
      <c r="K222" s="12"/>
      <c r="L222" s="12"/>
      <c r="M222" s="12"/>
      <c r="N222" s="12"/>
      <c r="O222" s="12"/>
      <c r="P222" s="12"/>
      <c r="Q222" s="13">
        <f t="shared" ref="Q222:Q285" si="271">HEX2DEC(D222)</f>
        <v>2</v>
      </c>
      <c r="R222" s="13">
        <f t="shared" ref="R222:R285" si="272">HEX2DEC(E222)</f>
        <v>224</v>
      </c>
      <c r="S222" s="13">
        <f t="shared" ref="S222:S285" si="273">HEX2DEC(F222)</f>
        <v>52</v>
      </c>
      <c r="T222" s="13">
        <f t="shared" ref="T222:T285" si="274">HEX2DEC(G222)</f>
        <v>0</v>
      </c>
      <c r="U222" s="13">
        <f t="shared" si="162"/>
        <v>1</v>
      </c>
      <c r="V222" s="13">
        <f t="shared" si="267"/>
        <v>279</v>
      </c>
      <c r="W222" s="13" t="str">
        <f t="shared" si="268"/>
        <v>17</v>
      </c>
      <c r="X222" s="13">
        <f t="shared" si="269"/>
        <v>556</v>
      </c>
      <c r="Y222" s="13" t="str">
        <f t="shared" si="270"/>
        <v>2C</v>
      </c>
      <c r="Z222" s="119"/>
      <c r="AA222" s="119"/>
      <c r="AB222" s="119"/>
      <c r="AC222" s="119"/>
      <c r="AD222" s="119"/>
      <c r="AE222" s="119"/>
      <c r="AF222" s="119"/>
      <c r="AG222" s="119"/>
      <c r="AH222" s="119"/>
      <c r="AJ222" s="64"/>
      <c r="AK222" s="64" t="s">
        <v>2230</v>
      </c>
    </row>
    <row r="223" spans="2:37" ht="16.5" customHeight="1">
      <c r="B223" s="122" t="s">
        <v>1828</v>
      </c>
      <c r="C223" s="122" t="str">
        <f t="shared" si="265"/>
        <v>FF02E035000017</v>
      </c>
      <c r="D223" s="60" t="s">
        <v>17</v>
      </c>
      <c r="E223" s="60" t="s">
        <v>15</v>
      </c>
      <c r="F223" s="60" t="s">
        <v>1855</v>
      </c>
      <c r="G223" s="60" t="s">
        <v>16</v>
      </c>
      <c r="H223" s="60" t="s">
        <v>16</v>
      </c>
      <c r="I223" s="12" t="str">
        <f t="shared" si="266"/>
        <v>17</v>
      </c>
      <c r="J223" s="12"/>
      <c r="K223" s="12"/>
      <c r="L223" s="12"/>
      <c r="M223" s="12"/>
      <c r="N223" s="12"/>
      <c r="O223" s="12"/>
      <c r="P223" s="12"/>
      <c r="Q223" s="13">
        <f t="shared" si="271"/>
        <v>2</v>
      </c>
      <c r="R223" s="13">
        <f t="shared" si="272"/>
        <v>224</v>
      </c>
      <c r="S223" s="13">
        <f t="shared" si="273"/>
        <v>53</v>
      </c>
      <c r="T223" s="13">
        <f t="shared" si="274"/>
        <v>0</v>
      </c>
      <c r="U223" s="13">
        <f t="shared" ref="U223:U286" si="275">HEX2DEC(H223)</f>
        <v>0</v>
      </c>
      <c r="V223" s="13">
        <f t="shared" si="267"/>
        <v>279</v>
      </c>
      <c r="W223" s="13" t="str">
        <f t="shared" si="268"/>
        <v>17</v>
      </c>
      <c r="X223" s="13">
        <f t="shared" si="269"/>
        <v>556</v>
      </c>
      <c r="Y223" s="13" t="str">
        <f t="shared" si="270"/>
        <v>2C</v>
      </c>
      <c r="Z223" s="119"/>
      <c r="AA223" s="119"/>
      <c r="AB223" s="119"/>
      <c r="AC223" s="119"/>
      <c r="AD223" s="119"/>
      <c r="AE223" s="119"/>
      <c r="AF223" s="119"/>
      <c r="AG223" s="119"/>
      <c r="AH223" s="119"/>
      <c r="AJ223" s="64"/>
      <c r="AK223" s="64" t="s">
        <v>2231</v>
      </c>
    </row>
    <row r="224" spans="2:37" ht="16.5" customHeight="1">
      <c r="B224" s="122" t="s">
        <v>1829</v>
      </c>
      <c r="C224" s="122" t="str">
        <f t="shared" si="265"/>
        <v>FF02E035000118</v>
      </c>
      <c r="D224" s="60" t="s">
        <v>17</v>
      </c>
      <c r="E224" s="60" t="s">
        <v>15</v>
      </c>
      <c r="F224" s="60" t="s">
        <v>1855</v>
      </c>
      <c r="G224" s="60" t="s">
        <v>16</v>
      </c>
      <c r="H224" s="60" t="s">
        <v>24</v>
      </c>
      <c r="I224" s="12" t="str">
        <f t="shared" si="266"/>
        <v>18</v>
      </c>
      <c r="J224" s="12"/>
      <c r="K224" s="12"/>
      <c r="L224" s="12"/>
      <c r="M224" s="12"/>
      <c r="N224" s="12"/>
      <c r="O224" s="12"/>
      <c r="P224" s="12"/>
      <c r="Q224" s="13">
        <f t="shared" si="271"/>
        <v>2</v>
      </c>
      <c r="R224" s="13">
        <f t="shared" si="272"/>
        <v>224</v>
      </c>
      <c r="S224" s="13">
        <f t="shared" si="273"/>
        <v>53</v>
      </c>
      <c r="T224" s="13">
        <f t="shared" si="274"/>
        <v>0</v>
      </c>
      <c r="U224" s="13">
        <f t="shared" si="275"/>
        <v>1</v>
      </c>
      <c r="V224" s="13">
        <f t="shared" si="267"/>
        <v>280</v>
      </c>
      <c r="W224" s="13" t="str">
        <f t="shared" si="268"/>
        <v>18</v>
      </c>
      <c r="X224" s="13">
        <f t="shared" si="269"/>
        <v>558</v>
      </c>
      <c r="Y224" s="13" t="str">
        <f t="shared" si="270"/>
        <v>2E</v>
      </c>
      <c r="Z224" s="119"/>
      <c r="AA224" s="119"/>
      <c r="AB224" s="119"/>
      <c r="AC224" s="119"/>
      <c r="AD224" s="119"/>
      <c r="AE224" s="119"/>
      <c r="AF224" s="119"/>
      <c r="AG224" s="119"/>
      <c r="AH224" s="119"/>
      <c r="AJ224" s="64"/>
      <c r="AK224" s="64" t="s">
        <v>2232</v>
      </c>
    </row>
    <row r="225" spans="2:37" ht="16.5" customHeight="1">
      <c r="B225" s="122" t="s">
        <v>1830</v>
      </c>
      <c r="C225" s="122" t="str">
        <f t="shared" si="265"/>
        <v>FF02E035000219</v>
      </c>
      <c r="D225" s="60" t="s">
        <v>17</v>
      </c>
      <c r="E225" s="60" t="s">
        <v>15</v>
      </c>
      <c r="F225" s="60" t="s">
        <v>1855</v>
      </c>
      <c r="G225" s="60" t="s">
        <v>16</v>
      </c>
      <c r="H225" s="60" t="s">
        <v>17</v>
      </c>
      <c r="I225" s="12" t="str">
        <f t="shared" si="266"/>
        <v>19</v>
      </c>
      <c r="J225" s="12"/>
      <c r="K225" s="12"/>
      <c r="L225" s="12"/>
      <c r="M225" s="12"/>
      <c r="N225" s="12"/>
      <c r="O225" s="12"/>
      <c r="P225" s="12"/>
      <c r="Q225" s="13">
        <f t="shared" si="271"/>
        <v>2</v>
      </c>
      <c r="R225" s="13">
        <f t="shared" si="272"/>
        <v>224</v>
      </c>
      <c r="S225" s="13">
        <f t="shared" si="273"/>
        <v>53</v>
      </c>
      <c r="T225" s="13">
        <f t="shared" si="274"/>
        <v>0</v>
      </c>
      <c r="U225" s="13">
        <f t="shared" si="275"/>
        <v>2</v>
      </c>
      <c r="V225" s="13">
        <f t="shared" si="267"/>
        <v>281</v>
      </c>
      <c r="W225" s="13" t="str">
        <f t="shared" si="268"/>
        <v>19</v>
      </c>
      <c r="X225" s="13">
        <f t="shared" si="269"/>
        <v>560</v>
      </c>
      <c r="Y225" s="13" t="str">
        <f t="shared" si="270"/>
        <v>30</v>
      </c>
      <c r="Z225" s="119"/>
      <c r="AA225" s="119"/>
      <c r="AB225" s="119"/>
      <c r="AC225" s="119"/>
      <c r="AD225" s="119"/>
      <c r="AE225" s="119"/>
      <c r="AF225" s="119"/>
      <c r="AG225" s="119"/>
      <c r="AH225" s="119"/>
      <c r="AJ225" s="64"/>
      <c r="AK225" s="64" t="s">
        <v>2233</v>
      </c>
    </row>
    <row r="226" spans="2:37" ht="16.5" customHeight="1">
      <c r="B226" s="122" t="s">
        <v>1831</v>
      </c>
      <c r="C226" s="122" t="str">
        <f t="shared" si="265"/>
        <v>FF02E03500031A</v>
      </c>
      <c r="D226" s="60" t="s">
        <v>17</v>
      </c>
      <c r="E226" s="60" t="s">
        <v>15</v>
      </c>
      <c r="F226" s="60" t="s">
        <v>1855</v>
      </c>
      <c r="G226" s="60" t="s">
        <v>16</v>
      </c>
      <c r="H226" s="60" t="s">
        <v>91</v>
      </c>
      <c r="I226" s="12" t="str">
        <f t="shared" si="266"/>
        <v>1A</v>
      </c>
      <c r="J226" s="12"/>
      <c r="K226" s="12"/>
      <c r="L226" s="12"/>
      <c r="M226" s="12"/>
      <c r="N226" s="12"/>
      <c r="O226" s="12"/>
      <c r="P226" s="12"/>
      <c r="Q226" s="13">
        <f t="shared" si="271"/>
        <v>2</v>
      </c>
      <c r="R226" s="13">
        <f t="shared" si="272"/>
        <v>224</v>
      </c>
      <c r="S226" s="13">
        <f t="shared" si="273"/>
        <v>53</v>
      </c>
      <c r="T226" s="13">
        <f t="shared" si="274"/>
        <v>0</v>
      </c>
      <c r="U226" s="13">
        <f t="shared" si="275"/>
        <v>3</v>
      </c>
      <c r="V226" s="13">
        <f t="shared" si="267"/>
        <v>282</v>
      </c>
      <c r="W226" s="13" t="str">
        <f t="shared" si="268"/>
        <v>1A</v>
      </c>
      <c r="X226" s="13">
        <f t="shared" si="269"/>
        <v>562</v>
      </c>
      <c r="Y226" s="13" t="str">
        <f t="shared" si="270"/>
        <v>32</v>
      </c>
      <c r="Z226" s="119"/>
      <c r="AA226" s="119"/>
      <c r="AB226" s="119"/>
      <c r="AC226" s="119"/>
      <c r="AD226" s="119"/>
      <c r="AE226" s="119"/>
      <c r="AF226" s="119"/>
      <c r="AG226" s="119"/>
      <c r="AH226" s="119"/>
      <c r="AJ226" s="64"/>
      <c r="AK226" s="64" t="s">
        <v>2234</v>
      </c>
    </row>
    <row r="227" spans="2:37" ht="16.5" customHeight="1">
      <c r="B227" s="122" t="s">
        <v>1832</v>
      </c>
      <c r="C227" s="122" t="str">
        <f t="shared" si="265"/>
        <v>FF02E036000018</v>
      </c>
      <c r="D227" s="60" t="s">
        <v>17</v>
      </c>
      <c r="E227" s="60" t="s">
        <v>15</v>
      </c>
      <c r="F227" s="60" t="s">
        <v>1856</v>
      </c>
      <c r="G227" s="60" t="s">
        <v>16</v>
      </c>
      <c r="H227" s="60" t="s">
        <v>16</v>
      </c>
      <c r="I227" s="12" t="str">
        <f t="shared" si="266"/>
        <v>18</v>
      </c>
      <c r="J227" s="12"/>
      <c r="K227" s="12"/>
      <c r="L227" s="12"/>
      <c r="M227" s="12"/>
      <c r="N227" s="12"/>
      <c r="O227" s="12"/>
      <c r="P227" s="12"/>
      <c r="Q227" s="13">
        <f t="shared" si="271"/>
        <v>2</v>
      </c>
      <c r="R227" s="13">
        <f t="shared" si="272"/>
        <v>224</v>
      </c>
      <c r="S227" s="13">
        <f t="shared" si="273"/>
        <v>54</v>
      </c>
      <c r="T227" s="13">
        <f t="shared" si="274"/>
        <v>0</v>
      </c>
      <c r="U227" s="13">
        <f t="shared" si="275"/>
        <v>0</v>
      </c>
      <c r="V227" s="13">
        <f t="shared" si="267"/>
        <v>280</v>
      </c>
      <c r="W227" s="13" t="str">
        <f t="shared" si="268"/>
        <v>18</v>
      </c>
      <c r="X227" s="13">
        <f t="shared" si="269"/>
        <v>558</v>
      </c>
      <c r="Y227" s="13" t="str">
        <f t="shared" si="270"/>
        <v>2E</v>
      </c>
      <c r="Z227" s="119"/>
      <c r="AA227" s="119"/>
      <c r="AB227" s="119"/>
      <c r="AC227" s="119"/>
      <c r="AD227" s="119"/>
      <c r="AE227" s="119"/>
      <c r="AF227" s="119"/>
      <c r="AG227" s="119"/>
      <c r="AH227" s="119"/>
      <c r="AJ227" s="64"/>
      <c r="AK227" s="64" t="s">
        <v>2235</v>
      </c>
    </row>
    <row r="228" spans="2:37" ht="16.5" customHeight="1">
      <c r="B228" s="122" t="s">
        <v>1833</v>
      </c>
      <c r="C228" s="122" t="str">
        <f t="shared" si="265"/>
        <v>FF02E036002038</v>
      </c>
      <c r="D228" s="60" t="s">
        <v>17</v>
      </c>
      <c r="E228" s="60" t="s">
        <v>15</v>
      </c>
      <c r="F228" s="60" t="s">
        <v>1856</v>
      </c>
      <c r="G228" s="60" t="s">
        <v>16</v>
      </c>
      <c r="H228" s="60" t="s">
        <v>133</v>
      </c>
      <c r="I228" s="12" t="str">
        <f t="shared" si="266"/>
        <v>38</v>
      </c>
      <c r="J228" s="12"/>
      <c r="K228" s="12"/>
      <c r="L228" s="12"/>
      <c r="M228" s="12"/>
      <c r="N228" s="12"/>
      <c r="O228" s="12"/>
      <c r="P228" s="12"/>
      <c r="Q228" s="13">
        <f t="shared" si="271"/>
        <v>2</v>
      </c>
      <c r="R228" s="13">
        <f t="shared" si="272"/>
        <v>224</v>
      </c>
      <c r="S228" s="13">
        <f t="shared" si="273"/>
        <v>54</v>
      </c>
      <c r="T228" s="13">
        <f t="shared" si="274"/>
        <v>0</v>
      </c>
      <c r="U228" s="13">
        <f t="shared" si="275"/>
        <v>32</v>
      </c>
      <c r="V228" s="13">
        <f t="shared" si="267"/>
        <v>312</v>
      </c>
      <c r="W228" s="13" t="str">
        <f t="shared" si="268"/>
        <v>38</v>
      </c>
      <c r="X228" s="13">
        <f t="shared" si="269"/>
        <v>622</v>
      </c>
      <c r="Y228" s="13" t="str">
        <f t="shared" si="270"/>
        <v>6E</v>
      </c>
      <c r="Z228" s="119"/>
      <c r="AA228" s="119"/>
      <c r="AB228" s="119"/>
      <c r="AC228" s="119"/>
      <c r="AD228" s="119"/>
      <c r="AE228" s="119"/>
      <c r="AF228" s="119"/>
      <c r="AG228" s="119"/>
      <c r="AH228" s="119"/>
      <c r="AJ228" s="64"/>
      <c r="AK228" s="64" t="s">
        <v>2236</v>
      </c>
    </row>
    <row r="229" spans="2:37" ht="17.25">
      <c r="B229" s="122" t="s">
        <v>1834</v>
      </c>
      <c r="C229" s="122" t="str">
        <f t="shared" si="265"/>
        <v>FF02E03600647C</v>
      </c>
      <c r="D229" s="60" t="s">
        <v>17</v>
      </c>
      <c r="E229" s="60" t="s">
        <v>15</v>
      </c>
      <c r="F229" s="60" t="s">
        <v>1856</v>
      </c>
      <c r="G229" s="60" t="s">
        <v>16</v>
      </c>
      <c r="H229" s="60" t="s">
        <v>128</v>
      </c>
      <c r="I229" s="12" t="str">
        <f t="shared" si="266"/>
        <v>7C</v>
      </c>
      <c r="J229" s="12"/>
      <c r="K229" s="12"/>
      <c r="L229" s="12"/>
      <c r="M229" s="12"/>
      <c r="N229" s="12"/>
      <c r="O229" s="12"/>
      <c r="P229" s="12"/>
      <c r="Q229" s="13">
        <f t="shared" si="271"/>
        <v>2</v>
      </c>
      <c r="R229" s="13">
        <f t="shared" si="272"/>
        <v>224</v>
      </c>
      <c r="S229" s="13">
        <f t="shared" si="273"/>
        <v>54</v>
      </c>
      <c r="T229" s="13">
        <f t="shared" si="274"/>
        <v>0</v>
      </c>
      <c r="U229" s="13">
        <f t="shared" si="275"/>
        <v>100</v>
      </c>
      <c r="V229" s="13">
        <f t="shared" si="267"/>
        <v>380</v>
      </c>
      <c r="W229" s="13" t="str">
        <f t="shared" si="268"/>
        <v>7C</v>
      </c>
      <c r="X229" s="13">
        <f t="shared" si="269"/>
        <v>758</v>
      </c>
      <c r="Y229" s="13" t="str">
        <f t="shared" si="270"/>
        <v>F6</v>
      </c>
      <c r="Z229" s="119"/>
      <c r="AA229" s="119"/>
      <c r="AB229" s="119"/>
      <c r="AC229" s="119"/>
      <c r="AD229" s="119"/>
      <c r="AE229" s="119"/>
      <c r="AF229" s="119"/>
      <c r="AG229" s="119"/>
      <c r="AH229" s="119"/>
      <c r="AJ229" s="64"/>
      <c r="AK229" s="64" t="s">
        <v>2237</v>
      </c>
    </row>
    <row r="230" spans="2:37" ht="16.5" customHeight="1">
      <c r="B230" s="122" t="s">
        <v>1835</v>
      </c>
      <c r="C230" s="122" t="str">
        <f t="shared" si="265"/>
        <v>FF02E037000019</v>
      </c>
      <c r="D230" s="60" t="s">
        <v>17</v>
      </c>
      <c r="E230" s="60" t="s">
        <v>15</v>
      </c>
      <c r="F230" s="60" t="s">
        <v>1857</v>
      </c>
      <c r="G230" s="60" t="s">
        <v>16</v>
      </c>
      <c r="H230" s="60" t="s">
        <v>16</v>
      </c>
      <c r="I230" s="12" t="str">
        <f t="shared" si="266"/>
        <v>19</v>
      </c>
      <c r="J230" s="12"/>
      <c r="K230" s="12"/>
      <c r="L230" s="12"/>
      <c r="M230" s="12"/>
      <c r="N230" s="12"/>
      <c r="O230" s="12"/>
      <c r="P230" s="12"/>
      <c r="Q230" s="13">
        <f t="shared" si="271"/>
        <v>2</v>
      </c>
      <c r="R230" s="13">
        <f t="shared" si="272"/>
        <v>224</v>
      </c>
      <c r="S230" s="13">
        <f t="shared" si="273"/>
        <v>55</v>
      </c>
      <c r="T230" s="13">
        <f t="shared" si="274"/>
        <v>0</v>
      </c>
      <c r="U230" s="13">
        <f t="shared" si="275"/>
        <v>0</v>
      </c>
      <c r="V230" s="13">
        <f t="shared" si="267"/>
        <v>281</v>
      </c>
      <c r="W230" s="13" t="str">
        <f t="shared" si="268"/>
        <v>19</v>
      </c>
      <c r="X230" s="13">
        <f t="shared" si="269"/>
        <v>560</v>
      </c>
      <c r="Y230" s="13" t="str">
        <f t="shared" si="270"/>
        <v>30</v>
      </c>
      <c r="Z230" s="119"/>
      <c r="AA230" s="119"/>
      <c r="AB230" s="119"/>
      <c r="AC230" s="119"/>
      <c r="AD230" s="119"/>
      <c r="AE230" s="119"/>
      <c r="AF230" s="119"/>
      <c r="AG230" s="119"/>
      <c r="AH230" s="119"/>
      <c r="AJ230" s="64"/>
      <c r="AK230" s="64" t="s">
        <v>2238</v>
      </c>
    </row>
    <row r="231" spans="2:37" ht="16.5" customHeight="1">
      <c r="B231" s="122" t="s">
        <v>1836</v>
      </c>
      <c r="C231" s="122" t="str">
        <f t="shared" si="265"/>
        <v>FF02E03700011A</v>
      </c>
      <c r="D231" s="60" t="s">
        <v>17</v>
      </c>
      <c r="E231" s="60" t="s">
        <v>15</v>
      </c>
      <c r="F231" s="60" t="s">
        <v>1857</v>
      </c>
      <c r="G231" s="60" t="s">
        <v>16</v>
      </c>
      <c r="H231" s="60" t="s">
        <v>24</v>
      </c>
      <c r="I231" s="12" t="str">
        <f t="shared" si="266"/>
        <v>1A</v>
      </c>
      <c r="J231" s="12"/>
      <c r="K231" s="12"/>
      <c r="L231" s="12"/>
      <c r="M231" s="12"/>
      <c r="N231" s="12"/>
      <c r="O231" s="12"/>
      <c r="P231" s="12"/>
      <c r="Q231" s="13">
        <f t="shared" si="271"/>
        <v>2</v>
      </c>
      <c r="R231" s="13">
        <f t="shared" si="272"/>
        <v>224</v>
      </c>
      <c r="S231" s="13">
        <f t="shared" si="273"/>
        <v>55</v>
      </c>
      <c r="T231" s="13">
        <f t="shared" si="274"/>
        <v>0</v>
      </c>
      <c r="U231" s="13">
        <f t="shared" si="275"/>
        <v>1</v>
      </c>
      <c r="V231" s="13">
        <f t="shared" si="267"/>
        <v>282</v>
      </c>
      <c r="W231" s="13" t="str">
        <f t="shared" si="268"/>
        <v>1A</v>
      </c>
      <c r="X231" s="13">
        <f t="shared" si="269"/>
        <v>562</v>
      </c>
      <c r="Y231" s="13" t="str">
        <f t="shared" si="270"/>
        <v>32</v>
      </c>
      <c r="Z231" s="119"/>
      <c r="AA231" s="119"/>
      <c r="AB231" s="119"/>
      <c r="AC231" s="119"/>
      <c r="AD231" s="119"/>
      <c r="AE231" s="119"/>
      <c r="AF231" s="119"/>
      <c r="AG231" s="119"/>
      <c r="AH231" s="119"/>
      <c r="AJ231" s="64"/>
      <c r="AK231" s="64" t="s">
        <v>2239</v>
      </c>
    </row>
    <row r="232" spans="2:37" ht="16.5" customHeight="1">
      <c r="B232" s="122" t="s">
        <v>1838</v>
      </c>
      <c r="C232" s="122" t="str">
        <f t="shared" si="265"/>
        <v>FF02E03800001A</v>
      </c>
      <c r="D232" s="60" t="s">
        <v>17</v>
      </c>
      <c r="E232" s="60" t="s">
        <v>15</v>
      </c>
      <c r="F232" s="60" t="s">
        <v>1858</v>
      </c>
      <c r="G232" s="60" t="s">
        <v>16</v>
      </c>
      <c r="H232" s="60" t="s">
        <v>16</v>
      </c>
      <c r="I232" s="12" t="str">
        <f t="shared" si="266"/>
        <v>1A</v>
      </c>
      <c r="J232" s="12"/>
      <c r="K232" s="12"/>
      <c r="L232" s="12"/>
      <c r="M232" s="12"/>
      <c r="N232" s="12"/>
      <c r="O232" s="12"/>
      <c r="P232" s="12"/>
      <c r="Q232" s="13">
        <f t="shared" si="271"/>
        <v>2</v>
      </c>
      <c r="R232" s="13">
        <f t="shared" si="272"/>
        <v>224</v>
      </c>
      <c r="S232" s="13">
        <f t="shared" si="273"/>
        <v>56</v>
      </c>
      <c r="T232" s="13">
        <f t="shared" si="274"/>
        <v>0</v>
      </c>
      <c r="U232" s="13">
        <f t="shared" si="275"/>
        <v>0</v>
      </c>
      <c r="V232" s="13">
        <f t="shared" si="267"/>
        <v>282</v>
      </c>
      <c r="W232" s="13" t="str">
        <f t="shared" si="268"/>
        <v>1A</v>
      </c>
      <c r="X232" s="13">
        <f t="shared" si="269"/>
        <v>562</v>
      </c>
      <c r="Y232" s="13" t="str">
        <f t="shared" si="270"/>
        <v>32</v>
      </c>
      <c r="Z232" s="119"/>
      <c r="AA232" s="119"/>
      <c r="AB232" s="119"/>
      <c r="AC232" s="119"/>
      <c r="AD232" s="119"/>
      <c r="AE232" s="119"/>
      <c r="AF232" s="119"/>
      <c r="AG232" s="119"/>
      <c r="AH232" s="119"/>
      <c r="AJ232" s="64"/>
      <c r="AK232" s="64" t="s">
        <v>2240</v>
      </c>
    </row>
    <row r="233" spans="2:37" ht="16.5" customHeight="1">
      <c r="B233" s="122" t="s">
        <v>1837</v>
      </c>
      <c r="C233" s="122" t="str">
        <f t="shared" si="265"/>
        <v>FF02E03800011B</v>
      </c>
      <c r="D233" s="60" t="s">
        <v>17</v>
      </c>
      <c r="E233" s="60" t="s">
        <v>15</v>
      </c>
      <c r="F233" s="60" t="s">
        <v>1858</v>
      </c>
      <c r="G233" s="60" t="s">
        <v>16</v>
      </c>
      <c r="H233" s="60" t="s">
        <v>24</v>
      </c>
      <c r="I233" s="12" t="str">
        <f t="shared" si="266"/>
        <v>1B</v>
      </c>
      <c r="J233" s="12"/>
      <c r="K233" s="12"/>
      <c r="L233" s="12"/>
      <c r="M233" s="12"/>
      <c r="N233" s="12"/>
      <c r="O233" s="12"/>
      <c r="P233" s="12"/>
      <c r="Q233" s="13">
        <f t="shared" si="271"/>
        <v>2</v>
      </c>
      <c r="R233" s="13">
        <f t="shared" si="272"/>
        <v>224</v>
      </c>
      <c r="S233" s="13">
        <f t="shared" si="273"/>
        <v>56</v>
      </c>
      <c r="T233" s="13">
        <f t="shared" si="274"/>
        <v>0</v>
      </c>
      <c r="U233" s="13">
        <f t="shared" si="275"/>
        <v>1</v>
      </c>
      <c r="V233" s="13">
        <f t="shared" si="267"/>
        <v>283</v>
      </c>
      <c r="W233" s="13" t="str">
        <f t="shared" si="268"/>
        <v>1B</v>
      </c>
      <c r="X233" s="13">
        <f t="shared" si="269"/>
        <v>564</v>
      </c>
      <c r="Y233" s="13" t="str">
        <f t="shared" si="270"/>
        <v>34</v>
      </c>
      <c r="Z233" s="119"/>
      <c r="AA233" s="119"/>
      <c r="AB233" s="119"/>
      <c r="AC233" s="119"/>
      <c r="AD233" s="119"/>
      <c r="AE233" s="119"/>
      <c r="AF233" s="119"/>
      <c r="AG233" s="119"/>
      <c r="AH233" s="119"/>
      <c r="AJ233" s="64"/>
      <c r="AK233" s="64" t="s">
        <v>2241</v>
      </c>
    </row>
    <row r="234" spans="2:37" ht="16.5" customHeight="1">
      <c r="B234" s="122" t="s">
        <v>1839</v>
      </c>
      <c r="C234" s="122" t="str">
        <f t="shared" si="265"/>
        <v>FF02E03900001B</v>
      </c>
      <c r="D234" s="60" t="s">
        <v>17</v>
      </c>
      <c r="E234" s="60" t="s">
        <v>15</v>
      </c>
      <c r="F234" s="60" t="s">
        <v>1859</v>
      </c>
      <c r="G234" s="60" t="s">
        <v>16</v>
      </c>
      <c r="H234" s="60" t="s">
        <v>16</v>
      </c>
      <c r="I234" s="12" t="str">
        <f t="shared" si="266"/>
        <v>1B</v>
      </c>
      <c r="J234" s="12"/>
      <c r="K234" s="12"/>
      <c r="L234" s="12"/>
      <c r="M234" s="12"/>
      <c r="N234" s="12"/>
      <c r="O234" s="12"/>
      <c r="P234" s="12"/>
      <c r="Q234" s="13">
        <f t="shared" si="271"/>
        <v>2</v>
      </c>
      <c r="R234" s="13">
        <f t="shared" si="272"/>
        <v>224</v>
      </c>
      <c r="S234" s="13">
        <f t="shared" si="273"/>
        <v>57</v>
      </c>
      <c r="T234" s="13">
        <f t="shared" si="274"/>
        <v>0</v>
      </c>
      <c r="U234" s="13">
        <f t="shared" si="275"/>
        <v>0</v>
      </c>
      <c r="V234" s="13">
        <f t="shared" si="267"/>
        <v>283</v>
      </c>
      <c r="W234" s="13" t="str">
        <f t="shared" si="268"/>
        <v>1B</v>
      </c>
      <c r="X234" s="13">
        <f t="shared" si="269"/>
        <v>564</v>
      </c>
      <c r="Y234" s="13" t="str">
        <f t="shared" si="270"/>
        <v>34</v>
      </c>
      <c r="Z234" s="119"/>
      <c r="AA234" s="119"/>
      <c r="AB234" s="119"/>
      <c r="AC234" s="119"/>
      <c r="AD234" s="119"/>
      <c r="AE234" s="119"/>
      <c r="AF234" s="119"/>
      <c r="AG234" s="119"/>
      <c r="AH234" s="119"/>
      <c r="AJ234" s="64"/>
      <c r="AK234" s="64" t="s">
        <v>2242</v>
      </c>
    </row>
    <row r="235" spans="2:37" ht="16.5" customHeight="1">
      <c r="B235" s="122" t="s">
        <v>1840</v>
      </c>
      <c r="C235" s="122" t="str">
        <f t="shared" si="265"/>
        <v>FF02E03900011C</v>
      </c>
      <c r="D235" s="60" t="s">
        <v>17</v>
      </c>
      <c r="E235" s="60" t="s">
        <v>15</v>
      </c>
      <c r="F235" s="60" t="s">
        <v>1859</v>
      </c>
      <c r="G235" s="60" t="s">
        <v>16</v>
      </c>
      <c r="H235" s="60" t="s">
        <v>24</v>
      </c>
      <c r="I235" s="12" t="str">
        <f t="shared" si="266"/>
        <v>1C</v>
      </c>
      <c r="J235" s="12"/>
      <c r="K235" s="12"/>
      <c r="L235" s="12"/>
      <c r="M235" s="12"/>
      <c r="N235" s="12"/>
      <c r="O235" s="12"/>
      <c r="P235" s="12"/>
      <c r="Q235" s="13">
        <f t="shared" si="271"/>
        <v>2</v>
      </c>
      <c r="R235" s="13">
        <f t="shared" si="272"/>
        <v>224</v>
      </c>
      <c r="S235" s="13">
        <f t="shared" si="273"/>
        <v>57</v>
      </c>
      <c r="T235" s="13">
        <f t="shared" si="274"/>
        <v>0</v>
      </c>
      <c r="U235" s="13">
        <f t="shared" si="275"/>
        <v>1</v>
      </c>
      <c r="V235" s="13">
        <f t="shared" si="267"/>
        <v>284</v>
      </c>
      <c r="W235" s="13" t="str">
        <f t="shared" si="268"/>
        <v>1C</v>
      </c>
      <c r="X235" s="13">
        <f t="shared" si="269"/>
        <v>566</v>
      </c>
      <c r="Y235" s="13" t="str">
        <f t="shared" si="270"/>
        <v>36</v>
      </c>
      <c r="Z235" s="119"/>
      <c r="AA235" s="119"/>
      <c r="AB235" s="119"/>
      <c r="AC235" s="119"/>
      <c r="AD235" s="119"/>
      <c r="AE235" s="119"/>
      <c r="AF235" s="119"/>
      <c r="AG235" s="119"/>
      <c r="AH235" s="119"/>
      <c r="AJ235" s="64"/>
      <c r="AK235" s="64" t="s">
        <v>2243</v>
      </c>
    </row>
    <row r="236" spans="2:37" ht="16.5" customHeight="1">
      <c r="B236" s="122" t="s">
        <v>1841</v>
      </c>
      <c r="C236" s="122" t="str">
        <f t="shared" si="265"/>
        <v>FF02E03A00001C</v>
      </c>
      <c r="D236" s="60" t="s">
        <v>17</v>
      </c>
      <c r="E236" s="60" t="s">
        <v>15</v>
      </c>
      <c r="F236" s="60" t="s">
        <v>1860</v>
      </c>
      <c r="G236" s="60" t="s">
        <v>16</v>
      </c>
      <c r="H236" s="60" t="s">
        <v>16</v>
      </c>
      <c r="I236" s="12" t="str">
        <f t="shared" si="266"/>
        <v>1C</v>
      </c>
      <c r="J236" s="12"/>
      <c r="K236" s="12"/>
      <c r="L236" s="12"/>
      <c r="M236" s="12"/>
      <c r="N236" s="12"/>
      <c r="O236" s="12"/>
      <c r="P236" s="12"/>
      <c r="Q236" s="13">
        <f t="shared" si="271"/>
        <v>2</v>
      </c>
      <c r="R236" s="13">
        <f t="shared" si="272"/>
        <v>224</v>
      </c>
      <c r="S236" s="13">
        <f t="shared" si="273"/>
        <v>58</v>
      </c>
      <c r="T236" s="13">
        <f t="shared" si="274"/>
        <v>0</v>
      </c>
      <c r="U236" s="13">
        <f t="shared" si="275"/>
        <v>0</v>
      </c>
      <c r="V236" s="13">
        <f t="shared" si="267"/>
        <v>284</v>
      </c>
      <c r="W236" s="13" t="str">
        <f t="shared" si="268"/>
        <v>1C</v>
      </c>
      <c r="X236" s="13">
        <f t="shared" si="269"/>
        <v>566</v>
      </c>
      <c r="Y236" s="13" t="str">
        <f t="shared" si="270"/>
        <v>36</v>
      </c>
      <c r="Z236" s="119"/>
      <c r="AA236" s="119"/>
      <c r="AB236" s="119"/>
      <c r="AC236" s="119"/>
      <c r="AD236" s="119"/>
      <c r="AE236" s="119"/>
      <c r="AF236" s="119"/>
      <c r="AG236" s="119"/>
      <c r="AH236" s="119"/>
      <c r="AJ236" s="64"/>
      <c r="AK236" s="64" t="s">
        <v>2244</v>
      </c>
    </row>
    <row r="237" spans="2:37" ht="16.5" customHeight="1">
      <c r="B237" s="122" t="s">
        <v>1842</v>
      </c>
      <c r="C237" s="122" t="str">
        <f t="shared" si="265"/>
        <v>FF02E03A00011D</v>
      </c>
      <c r="D237" s="60" t="s">
        <v>17</v>
      </c>
      <c r="E237" s="60" t="s">
        <v>15</v>
      </c>
      <c r="F237" s="60" t="s">
        <v>1860</v>
      </c>
      <c r="G237" s="60" t="s">
        <v>16</v>
      </c>
      <c r="H237" s="60" t="s">
        <v>24</v>
      </c>
      <c r="I237" s="12" t="str">
        <f t="shared" ref="I237:I296" si="276">W237</f>
        <v>1D</v>
      </c>
      <c r="J237" s="12"/>
      <c r="K237" s="12"/>
      <c r="L237" s="12"/>
      <c r="M237" s="12"/>
      <c r="N237" s="12"/>
      <c r="O237" s="12"/>
      <c r="P237" s="12"/>
      <c r="Q237" s="13">
        <f t="shared" si="271"/>
        <v>2</v>
      </c>
      <c r="R237" s="13">
        <f t="shared" si="272"/>
        <v>224</v>
      </c>
      <c r="S237" s="13">
        <f t="shared" si="273"/>
        <v>58</v>
      </c>
      <c r="T237" s="13">
        <f t="shared" si="274"/>
        <v>0</v>
      </c>
      <c r="U237" s="13">
        <f t="shared" si="275"/>
        <v>1</v>
      </c>
      <c r="V237" s="13">
        <f t="shared" ref="V237:V296" si="277">SUM(Q237:U237)</f>
        <v>285</v>
      </c>
      <c r="W237" s="13" t="str">
        <f t="shared" ref="W237:W296" si="278">REPT("0",2-LEN(RIGHT(DEC2HEX(V237), 2)))&amp;RIGHT(DEC2HEX(V237), 2)</f>
        <v>1D</v>
      </c>
      <c r="X237" s="13">
        <f t="shared" ref="X237:X296" si="279">SUM(R237:W237)</f>
        <v>568</v>
      </c>
      <c r="Y237" s="13" t="str">
        <f t="shared" ref="Y237:Y296" si="280">REPT("0",2-LEN(RIGHT(DEC2HEX(X237), 2)))&amp;RIGHT(DEC2HEX(X237), 2)</f>
        <v>38</v>
      </c>
      <c r="Z237" s="119"/>
      <c r="AA237" s="119"/>
      <c r="AB237" s="119"/>
      <c r="AC237" s="119"/>
      <c r="AD237" s="119"/>
      <c r="AE237" s="119"/>
      <c r="AF237" s="119"/>
      <c r="AG237" s="119"/>
      <c r="AH237" s="119"/>
      <c r="AJ237" s="64"/>
      <c r="AK237" s="64" t="s">
        <v>2245</v>
      </c>
    </row>
    <row r="238" spans="2:37" ht="16.5" customHeight="1">
      <c r="B238" s="122" t="s">
        <v>1843</v>
      </c>
      <c r="C238" s="122" t="str">
        <f t="shared" si="265"/>
        <v>FF02E03B00001D</v>
      </c>
      <c r="D238" s="60" t="s">
        <v>17</v>
      </c>
      <c r="E238" s="60" t="s">
        <v>15</v>
      </c>
      <c r="F238" s="60" t="s">
        <v>1861</v>
      </c>
      <c r="G238" s="60" t="s">
        <v>16</v>
      </c>
      <c r="H238" s="60" t="s">
        <v>16</v>
      </c>
      <c r="I238" s="12" t="str">
        <f t="shared" si="276"/>
        <v>1D</v>
      </c>
      <c r="J238" s="12"/>
      <c r="K238" s="12"/>
      <c r="L238" s="12"/>
      <c r="M238" s="12"/>
      <c r="N238" s="12"/>
      <c r="O238" s="12"/>
      <c r="P238" s="12"/>
      <c r="Q238" s="13">
        <f t="shared" si="271"/>
        <v>2</v>
      </c>
      <c r="R238" s="13">
        <f t="shared" si="272"/>
        <v>224</v>
      </c>
      <c r="S238" s="13">
        <f t="shared" si="273"/>
        <v>59</v>
      </c>
      <c r="T238" s="13">
        <f t="shared" si="274"/>
        <v>0</v>
      </c>
      <c r="U238" s="13">
        <f t="shared" si="275"/>
        <v>0</v>
      </c>
      <c r="V238" s="13">
        <f t="shared" si="277"/>
        <v>285</v>
      </c>
      <c r="W238" s="13" t="str">
        <f t="shared" si="278"/>
        <v>1D</v>
      </c>
      <c r="X238" s="13">
        <f t="shared" si="279"/>
        <v>568</v>
      </c>
      <c r="Y238" s="13" t="str">
        <f t="shared" si="280"/>
        <v>38</v>
      </c>
      <c r="Z238" s="119"/>
      <c r="AA238" s="119"/>
      <c r="AB238" s="119"/>
      <c r="AC238" s="119"/>
      <c r="AD238" s="119"/>
      <c r="AE238" s="119"/>
      <c r="AF238" s="119"/>
      <c r="AG238" s="119"/>
      <c r="AH238" s="119"/>
      <c r="AJ238" s="64"/>
      <c r="AK238" s="64" t="s">
        <v>2246</v>
      </c>
    </row>
    <row r="239" spans="2:37" ht="16.5" customHeight="1">
      <c r="B239" s="122" t="s">
        <v>1844</v>
      </c>
      <c r="C239" s="122" t="str">
        <f t="shared" si="265"/>
        <v>FF02E03B00011E</v>
      </c>
      <c r="D239" s="60" t="s">
        <v>17</v>
      </c>
      <c r="E239" s="60" t="s">
        <v>15</v>
      </c>
      <c r="F239" s="60" t="s">
        <v>1861</v>
      </c>
      <c r="G239" s="60" t="s">
        <v>16</v>
      </c>
      <c r="H239" s="60" t="s">
        <v>24</v>
      </c>
      <c r="I239" s="12" t="str">
        <f t="shared" si="276"/>
        <v>1E</v>
      </c>
      <c r="J239" s="12"/>
      <c r="K239" s="12"/>
      <c r="L239" s="12"/>
      <c r="M239" s="12"/>
      <c r="N239" s="12"/>
      <c r="O239" s="12"/>
      <c r="P239" s="12"/>
      <c r="Q239" s="13">
        <f t="shared" si="271"/>
        <v>2</v>
      </c>
      <c r="R239" s="13">
        <f t="shared" si="272"/>
        <v>224</v>
      </c>
      <c r="S239" s="13">
        <f t="shared" si="273"/>
        <v>59</v>
      </c>
      <c r="T239" s="13">
        <f t="shared" si="274"/>
        <v>0</v>
      </c>
      <c r="U239" s="13">
        <f t="shared" si="275"/>
        <v>1</v>
      </c>
      <c r="V239" s="13">
        <f t="shared" si="277"/>
        <v>286</v>
      </c>
      <c r="W239" s="13" t="str">
        <f t="shared" si="278"/>
        <v>1E</v>
      </c>
      <c r="X239" s="13">
        <f t="shared" si="279"/>
        <v>570</v>
      </c>
      <c r="Y239" s="13" t="str">
        <f t="shared" si="280"/>
        <v>3A</v>
      </c>
      <c r="Z239" s="119"/>
      <c r="AA239" s="119"/>
      <c r="AB239" s="119"/>
      <c r="AC239" s="119"/>
      <c r="AD239" s="119"/>
      <c r="AE239" s="119"/>
      <c r="AF239" s="119"/>
      <c r="AG239" s="119"/>
      <c r="AH239" s="119"/>
      <c r="AJ239" s="64"/>
      <c r="AK239" s="64" t="s">
        <v>2247</v>
      </c>
    </row>
    <row r="240" spans="2:37" ht="16.5" customHeight="1">
      <c r="B240" s="122" t="s">
        <v>1845</v>
      </c>
      <c r="C240" s="122" t="str">
        <f t="shared" si="265"/>
        <v>FF02E03B00021F</v>
      </c>
      <c r="D240" s="60" t="s">
        <v>17</v>
      </c>
      <c r="E240" s="60" t="s">
        <v>15</v>
      </c>
      <c r="F240" s="60" t="s">
        <v>1861</v>
      </c>
      <c r="G240" s="60" t="s">
        <v>16</v>
      </c>
      <c r="H240" s="60" t="s">
        <v>17</v>
      </c>
      <c r="I240" s="12" t="str">
        <f t="shared" si="276"/>
        <v>1F</v>
      </c>
      <c r="J240" s="12"/>
      <c r="K240" s="12"/>
      <c r="L240" s="12"/>
      <c r="M240" s="12"/>
      <c r="N240" s="12"/>
      <c r="O240" s="12"/>
      <c r="P240" s="12"/>
      <c r="Q240" s="13">
        <f t="shared" si="271"/>
        <v>2</v>
      </c>
      <c r="R240" s="13">
        <f t="shared" si="272"/>
        <v>224</v>
      </c>
      <c r="S240" s="13">
        <f t="shared" si="273"/>
        <v>59</v>
      </c>
      <c r="T240" s="13">
        <f t="shared" si="274"/>
        <v>0</v>
      </c>
      <c r="U240" s="13">
        <f t="shared" si="275"/>
        <v>2</v>
      </c>
      <c r="V240" s="13">
        <f t="shared" si="277"/>
        <v>287</v>
      </c>
      <c r="W240" s="13" t="str">
        <f t="shared" si="278"/>
        <v>1F</v>
      </c>
      <c r="X240" s="13">
        <f t="shared" si="279"/>
        <v>572</v>
      </c>
      <c r="Y240" s="13" t="str">
        <f t="shared" si="280"/>
        <v>3C</v>
      </c>
      <c r="Z240" s="119"/>
      <c r="AA240" s="119"/>
      <c r="AB240" s="119"/>
      <c r="AC240" s="119"/>
      <c r="AD240" s="119"/>
      <c r="AE240" s="119"/>
      <c r="AF240" s="119"/>
      <c r="AG240" s="119"/>
      <c r="AH240" s="119"/>
      <c r="AJ240" s="64"/>
      <c r="AK240" s="64" t="s">
        <v>2248</v>
      </c>
    </row>
    <row r="241" spans="2:37" ht="16.5" customHeight="1">
      <c r="B241" s="122" t="s">
        <v>1846</v>
      </c>
      <c r="C241" s="122" t="str">
        <f t="shared" si="265"/>
        <v>FF02E03B000320</v>
      </c>
      <c r="D241" s="60" t="s">
        <v>17</v>
      </c>
      <c r="E241" s="60" t="s">
        <v>15</v>
      </c>
      <c r="F241" s="60" t="s">
        <v>1861</v>
      </c>
      <c r="G241" s="60" t="s">
        <v>16</v>
      </c>
      <c r="H241" s="60" t="s">
        <v>91</v>
      </c>
      <c r="I241" s="12" t="str">
        <f t="shared" si="276"/>
        <v>20</v>
      </c>
      <c r="J241" s="12"/>
      <c r="K241" s="12"/>
      <c r="L241" s="12"/>
      <c r="M241" s="12"/>
      <c r="N241" s="12"/>
      <c r="O241" s="12"/>
      <c r="P241" s="12"/>
      <c r="Q241" s="13">
        <f t="shared" si="271"/>
        <v>2</v>
      </c>
      <c r="R241" s="13">
        <f t="shared" si="272"/>
        <v>224</v>
      </c>
      <c r="S241" s="13">
        <f t="shared" si="273"/>
        <v>59</v>
      </c>
      <c r="T241" s="13">
        <f t="shared" si="274"/>
        <v>0</v>
      </c>
      <c r="U241" s="13">
        <f t="shared" si="275"/>
        <v>3</v>
      </c>
      <c r="V241" s="13">
        <f t="shared" si="277"/>
        <v>288</v>
      </c>
      <c r="W241" s="13" t="str">
        <f t="shared" si="278"/>
        <v>20</v>
      </c>
      <c r="X241" s="13">
        <f t="shared" si="279"/>
        <v>574</v>
      </c>
      <c r="Y241" s="13" t="str">
        <f t="shared" si="280"/>
        <v>3E</v>
      </c>
      <c r="Z241" s="119"/>
      <c r="AA241" s="119"/>
      <c r="AB241" s="119"/>
      <c r="AC241" s="119"/>
      <c r="AD241" s="119"/>
      <c r="AE241" s="119"/>
      <c r="AF241" s="119"/>
      <c r="AG241" s="119"/>
      <c r="AH241" s="119"/>
      <c r="AJ241" s="64"/>
      <c r="AK241" s="64" t="s">
        <v>2249</v>
      </c>
    </row>
    <row r="242" spans="2:37" ht="16.5" customHeight="1">
      <c r="B242" s="122" t="s">
        <v>1847</v>
      </c>
      <c r="C242" s="122" t="str">
        <f t="shared" si="265"/>
        <v>FF02E03C00001E</v>
      </c>
      <c r="D242" s="60" t="s">
        <v>17</v>
      </c>
      <c r="E242" s="60" t="s">
        <v>15</v>
      </c>
      <c r="F242" s="60" t="s">
        <v>1325</v>
      </c>
      <c r="G242" s="60" t="s">
        <v>16</v>
      </c>
      <c r="H242" s="60" t="s">
        <v>16</v>
      </c>
      <c r="I242" s="12" t="str">
        <f t="shared" si="276"/>
        <v>1E</v>
      </c>
      <c r="J242" s="12"/>
      <c r="K242" s="12"/>
      <c r="L242" s="12"/>
      <c r="M242" s="12"/>
      <c r="N242" s="12"/>
      <c r="O242" s="12"/>
      <c r="P242" s="12"/>
      <c r="Q242" s="13">
        <f t="shared" si="271"/>
        <v>2</v>
      </c>
      <c r="R242" s="13">
        <f t="shared" si="272"/>
        <v>224</v>
      </c>
      <c r="S242" s="13">
        <f t="shared" si="273"/>
        <v>60</v>
      </c>
      <c r="T242" s="13">
        <f t="shared" si="274"/>
        <v>0</v>
      </c>
      <c r="U242" s="13">
        <f t="shared" si="275"/>
        <v>0</v>
      </c>
      <c r="V242" s="13">
        <f t="shared" si="277"/>
        <v>286</v>
      </c>
      <c r="W242" s="13" t="str">
        <f t="shared" si="278"/>
        <v>1E</v>
      </c>
      <c r="X242" s="13">
        <f t="shared" si="279"/>
        <v>570</v>
      </c>
      <c r="Y242" s="13" t="str">
        <f t="shared" si="280"/>
        <v>3A</v>
      </c>
      <c r="Z242" s="119"/>
      <c r="AA242" s="119"/>
      <c r="AB242" s="119"/>
      <c r="AC242" s="119"/>
      <c r="AD242" s="119"/>
      <c r="AE242" s="119"/>
      <c r="AF242" s="119"/>
      <c r="AG242" s="119"/>
      <c r="AH242" s="119"/>
      <c r="AJ242" s="64"/>
      <c r="AK242" s="64" t="s">
        <v>2250</v>
      </c>
    </row>
    <row r="243" spans="2:37" ht="16.5" customHeight="1">
      <c r="B243" s="122" t="s">
        <v>1848</v>
      </c>
      <c r="C243" s="122" t="str">
        <f t="shared" si="265"/>
        <v>FF02E03C00011F</v>
      </c>
      <c r="D243" s="60" t="s">
        <v>17</v>
      </c>
      <c r="E243" s="60" t="s">
        <v>15</v>
      </c>
      <c r="F243" s="60" t="s">
        <v>1325</v>
      </c>
      <c r="G243" s="60" t="s">
        <v>16</v>
      </c>
      <c r="H243" s="60" t="s">
        <v>24</v>
      </c>
      <c r="I243" s="12" t="str">
        <f t="shared" si="276"/>
        <v>1F</v>
      </c>
      <c r="J243" s="12"/>
      <c r="K243" s="12"/>
      <c r="L243" s="12"/>
      <c r="M243" s="12"/>
      <c r="N243" s="12"/>
      <c r="O243" s="12"/>
      <c r="P243" s="12"/>
      <c r="Q243" s="13">
        <f t="shared" si="271"/>
        <v>2</v>
      </c>
      <c r="R243" s="13">
        <f t="shared" si="272"/>
        <v>224</v>
      </c>
      <c r="S243" s="13">
        <f t="shared" si="273"/>
        <v>60</v>
      </c>
      <c r="T243" s="13">
        <f t="shared" si="274"/>
        <v>0</v>
      </c>
      <c r="U243" s="13">
        <f t="shared" si="275"/>
        <v>1</v>
      </c>
      <c r="V243" s="13">
        <f t="shared" si="277"/>
        <v>287</v>
      </c>
      <c r="W243" s="13" t="str">
        <f t="shared" si="278"/>
        <v>1F</v>
      </c>
      <c r="X243" s="13">
        <f t="shared" si="279"/>
        <v>572</v>
      </c>
      <c r="Y243" s="13" t="str">
        <f t="shared" si="280"/>
        <v>3C</v>
      </c>
      <c r="Z243" s="119"/>
      <c r="AA243" s="119"/>
      <c r="AB243" s="119"/>
      <c r="AC243" s="119"/>
      <c r="AD243" s="119"/>
      <c r="AE243" s="119"/>
      <c r="AF243" s="119"/>
      <c r="AG243" s="119"/>
      <c r="AH243" s="119"/>
      <c r="AJ243" s="64"/>
      <c r="AK243" s="64" t="s">
        <v>2251</v>
      </c>
    </row>
    <row r="244" spans="2:37" ht="16.5" customHeight="1">
      <c r="B244" s="122" t="s">
        <v>1849</v>
      </c>
      <c r="C244" s="122" t="str">
        <f t="shared" si="265"/>
        <v>FF02E03C000220</v>
      </c>
      <c r="D244" s="60" t="s">
        <v>17</v>
      </c>
      <c r="E244" s="60" t="s">
        <v>15</v>
      </c>
      <c r="F244" s="60" t="s">
        <v>1325</v>
      </c>
      <c r="G244" s="60" t="s">
        <v>16</v>
      </c>
      <c r="H244" s="60" t="s">
        <v>17</v>
      </c>
      <c r="I244" s="12" t="str">
        <f t="shared" si="276"/>
        <v>20</v>
      </c>
      <c r="J244" s="12"/>
      <c r="K244" s="12"/>
      <c r="L244" s="12"/>
      <c r="M244" s="12"/>
      <c r="N244" s="12"/>
      <c r="O244" s="12"/>
      <c r="P244" s="12"/>
      <c r="Q244" s="13">
        <f t="shared" si="271"/>
        <v>2</v>
      </c>
      <c r="R244" s="13">
        <f t="shared" si="272"/>
        <v>224</v>
      </c>
      <c r="S244" s="13">
        <f t="shared" si="273"/>
        <v>60</v>
      </c>
      <c r="T244" s="13">
        <f t="shared" si="274"/>
        <v>0</v>
      </c>
      <c r="U244" s="13">
        <f t="shared" si="275"/>
        <v>2</v>
      </c>
      <c r="V244" s="13">
        <f t="shared" si="277"/>
        <v>288</v>
      </c>
      <c r="W244" s="13" t="str">
        <f t="shared" si="278"/>
        <v>20</v>
      </c>
      <c r="X244" s="13">
        <f t="shared" si="279"/>
        <v>574</v>
      </c>
      <c r="Y244" s="13" t="str">
        <f t="shared" si="280"/>
        <v>3E</v>
      </c>
      <c r="Z244" s="119"/>
      <c r="AA244" s="119"/>
      <c r="AB244" s="119"/>
      <c r="AC244" s="119"/>
      <c r="AD244" s="119"/>
      <c r="AE244" s="119"/>
      <c r="AF244" s="119"/>
      <c r="AG244" s="119"/>
      <c r="AH244" s="119"/>
      <c r="AJ244" s="64"/>
      <c r="AK244" s="64" t="s">
        <v>2252</v>
      </c>
    </row>
    <row r="245" spans="2:37" ht="16.5" customHeight="1">
      <c r="B245" s="122" t="s">
        <v>1850</v>
      </c>
      <c r="C245" s="122" t="str">
        <f t="shared" si="265"/>
        <v>FF02E03C000321</v>
      </c>
      <c r="D245" s="60" t="s">
        <v>17</v>
      </c>
      <c r="E245" s="60" t="s">
        <v>15</v>
      </c>
      <c r="F245" s="60" t="s">
        <v>1325</v>
      </c>
      <c r="G245" s="60" t="s">
        <v>16</v>
      </c>
      <c r="H245" s="60" t="s">
        <v>91</v>
      </c>
      <c r="I245" s="12" t="str">
        <f t="shared" si="276"/>
        <v>21</v>
      </c>
      <c r="J245" s="12"/>
      <c r="K245" s="12"/>
      <c r="L245" s="12"/>
      <c r="M245" s="12"/>
      <c r="N245" s="12"/>
      <c r="O245" s="12"/>
      <c r="P245" s="12"/>
      <c r="Q245" s="13">
        <f t="shared" si="271"/>
        <v>2</v>
      </c>
      <c r="R245" s="13">
        <f t="shared" si="272"/>
        <v>224</v>
      </c>
      <c r="S245" s="13">
        <f t="shared" si="273"/>
        <v>60</v>
      </c>
      <c r="T245" s="13">
        <f t="shared" si="274"/>
        <v>0</v>
      </c>
      <c r="U245" s="13">
        <f t="shared" si="275"/>
        <v>3</v>
      </c>
      <c r="V245" s="13">
        <f t="shared" si="277"/>
        <v>289</v>
      </c>
      <c r="W245" s="13" t="str">
        <f t="shared" si="278"/>
        <v>21</v>
      </c>
      <c r="X245" s="13">
        <f t="shared" si="279"/>
        <v>576</v>
      </c>
      <c r="Y245" s="13" t="str">
        <f t="shared" si="280"/>
        <v>40</v>
      </c>
      <c r="Z245" s="119"/>
      <c r="AA245" s="119"/>
      <c r="AB245" s="119"/>
      <c r="AC245" s="119"/>
      <c r="AD245" s="119"/>
      <c r="AE245" s="119"/>
      <c r="AF245" s="119"/>
      <c r="AG245" s="119"/>
      <c r="AH245" s="119"/>
      <c r="AJ245" s="64"/>
      <c r="AK245" s="64" t="s">
        <v>2253</v>
      </c>
    </row>
    <row r="246" spans="2:37" ht="16.5" customHeight="1">
      <c r="B246" s="122" t="s">
        <v>1851</v>
      </c>
      <c r="C246" s="122" t="str">
        <f t="shared" si="265"/>
        <v>FF02E03E000020</v>
      </c>
      <c r="D246" s="60" t="s">
        <v>17</v>
      </c>
      <c r="E246" s="60" t="s">
        <v>15</v>
      </c>
      <c r="F246" s="60" t="s">
        <v>1862</v>
      </c>
      <c r="G246" s="60" t="s">
        <v>16</v>
      </c>
      <c r="H246" s="60" t="s">
        <v>16</v>
      </c>
      <c r="I246" s="12" t="str">
        <f t="shared" si="276"/>
        <v>20</v>
      </c>
      <c r="J246" s="12"/>
      <c r="K246" s="12"/>
      <c r="L246" s="12"/>
      <c r="M246" s="12"/>
      <c r="N246" s="12"/>
      <c r="O246" s="12"/>
      <c r="P246" s="12"/>
      <c r="Q246" s="13">
        <f t="shared" si="271"/>
        <v>2</v>
      </c>
      <c r="R246" s="13">
        <f t="shared" si="272"/>
        <v>224</v>
      </c>
      <c r="S246" s="13">
        <f t="shared" si="273"/>
        <v>62</v>
      </c>
      <c r="T246" s="13">
        <f t="shared" si="274"/>
        <v>0</v>
      </c>
      <c r="U246" s="13">
        <f t="shared" si="275"/>
        <v>0</v>
      </c>
      <c r="V246" s="13">
        <f t="shared" si="277"/>
        <v>288</v>
      </c>
      <c r="W246" s="13" t="str">
        <f t="shared" si="278"/>
        <v>20</v>
      </c>
      <c r="X246" s="13">
        <f t="shared" si="279"/>
        <v>574</v>
      </c>
      <c r="Y246" s="13" t="str">
        <f t="shared" si="280"/>
        <v>3E</v>
      </c>
      <c r="Z246" s="119"/>
      <c r="AA246" s="119"/>
      <c r="AB246" s="119"/>
      <c r="AC246" s="119"/>
      <c r="AD246" s="119"/>
      <c r="AE246" s="119"/>
      <c r="AF246" s="119"/>
      <c r="AG246" s="119"/>
      <c r="AH246" s="119"/>
      <c r="AJ246" s="64"/>
      <c r="AK246" s="64" t="s">
        <v>2254</v>
      </c>
    </row>
    <row r="247" spans="2:37" ht="16.5" customHeight="1">
      <c r="B247" s="122" t="s">
        <v>1852</v>
      </c>
      <c r="C247" s="122" t="str">
        <f t="shared" si="265"/>
        <v>FF02E03F000021</v>
      </c>
      <c r="D247" s="60" t="s">
        <v>17</v>
      </c>
      <c r="E247" s="60" t="s">
        <v>15</v>
      </c>
      <c r="F247" s="60" t="s">
        <v>1389</v>
      </c>
      <c r="G247" s="60" t="s">
        <v>16</v>
      </c>
      <c r="H247" s="60" t="s">
        <v>16</v>
      </c>
      <c r="I247" s="12" t="str">
        <f t="shared" si="276"/>
        <v>21</v>
      </c>
      <c r="J247" s="12"/>
      <c r="K247" s="12"/>
      <c r="L247" s="12"/>
      <c r="M247" s="12"/>
      <c r="N247" s="12"/>
      <c r="O247" s="12"/>
      <c r="P247" s="12"/>
      <c r="Q247" s="13">
        <f t="shared" si="271"/>
        <v>2</v>
      </c>
      <c r="R247" s="13">
        <f t="shared" si="272"/>
        <v>224</v>
      </c>
      <c r="S247" s="13">
        <f t="shared" si="273"/>
        <v>63</v>
      </c>
      <c r="T247" s="13">
        <f t="shared" si="274"/>
        <v>0</v>
      </c>
      <c r="U247" s="13">
        <f t="shared" si="275"/>
        <v>0</v>
      </c>
      <c r="V247" s="13">
        <f t="shared" si="277"/>
        <v>289</v>
      </c>
      <c r="W247" s="13" t="str">
        <f t="shared" si="278"/>
        <v>21</v>
      </c>
      <c r="X247" s="13">
        <f t="shared" si="279"/>
        <v>576</v>
      </c>
      <c r="Y247" s="13" t="str">
        <f t="shared" si="280"/>
        <v>40</v>
      </c>
      <c r="Z247" s="119"/>
      <c r="AA247" s="119"/>
      <c r="AB247" s="119"/>
      <c r="AC247" s="119"/>
      <c r="AD247" s="119"/>
      <c r="AE247" s="119"/>
      <c r="AF247" s="119"/>
      <c r="AG247" s="119"/>
      <c r="AH247" s="119"/>
      <c r="AJ247" s="64"/>
      <c r="AK247" s="64" t="s">
        <v>2255</v>
      </c>
    </row>
    <row r="248" spans="2:37" s="126" customFormat="1" ht="16.5" customHeight="1">
      <c r="B248" s="122" t="s">
        <v>1952</v>
      </c>
      <c r="C248" s="122" t="s">
        <v>1614</v>
      </c>
      <c r="D248" s="123" t="s">
        <v>17</v>
      </c>
      <c r="E248" s="123"/>
      <c r="F248" s="123"/>
      <c r="G248" s="123"/>
      <c r="H248" s="123"/>
      <c r="I248" s="122" t="str">
        <f t="shared" si="276"/>
        <v>02</v>
      </c>
      <c r="J248" s="122"/>
      <c r="K248" s="122"/>
      <c r="L248" s="122"/>
      <c r="M248" s="122"/>
      <c r="N248" s="122"/>
      <c r="O248" s="122"/>
      <c r="P248" s="122"/>
      <c r="Q248" s="124">
        <f t="shared" si="271"/>
        <v>2</v>
      </c>
      <c r="R248" s="124">
        <f t="shared" si="272"/>
        <v>0</v>
      </c>
      <c r="S248" s="124">
        <f t="shared" si="273"/>
        <v>0</v>
      </c>
      <c r="T248" s="124">
        <f t="shared" si="274"/>
        <v>0</v>
      </c>
      <c r="U248" s="124">
        <f t="shared" si="275"/>
        <v>0</v>
      </c>
      <c r="V248" s="124">
        <f t="shared" si="277"/>
        <v>2</v>
      </c>
      <c r="W248" s="124" t="str">
        <f t="shared" si="278"/>
        <v>02</v>
      </c>
      <c r="X248" s="124">
        <f t="shared" si="279"/>
        <v>2</v>
      </c>
      <c r="Y248" s="124" t="str">
        <f t="shared" si="280"/>
        <v>02</v>
      </c>
      <c r="Z248" s="125"/>
      <c r="AA248" s="125"/>
      <c r="AB248" s="125"/>
      <c r="AC248" s="125"/>
      <c r="AD248" s="125"/>
      <c r="AE248" s="125"/>
      <c r="AF248" s="125"/>
      <c r="AG248" s="125"/>
      <c r="AH248" s="125"/>
      <c r="AJ248" s="127"/>
      <c r="AK248" s="127" t="s">
        <v>1613</v>
      </c>
    </row>
    <row r="249" spans="2:37" s="126" customFormat="1" ht="16.5" customHeight="1">
      <c r="B249" s="122" t="s">
        <v>1908</v>
      </c>
      <c r="C249" s="122" t="str">
        <f t="shared" ref="C249:C292" si="281">"FF"&amp;D249&amp;E249&amp;""&amp;F249&amp;G249&amp;H249&amp;I249</f>
        <v>FF02E1A0000083</v>
      </c>
      <c r="D249" s="123" t="s">
        <v>17</v>
      </c>
      <c r="E249" s="123" t="s">
        <v>161</v>
      </c>
      <c r="F249" s="123" t="s">
        <v>23</v>
      </c>
      <c r="G249" s="123" t="s">
        <v>16</v>
      </c>
      <c r="H249" s="123" t="s">
        <v>16</v>
      </c>
      <c r="I249" s="122" t="str">
        <f t="shared" si="276"/>
        <v>83</v>
      </c>
      <c r="J249" s="122"/>
      <c r="K249" s="122"/>
      <c r="L249" s="122"/>
      <c r="M249" s="122"/>
      <c r="N249" s="122"/>
      <c r="O249" s="122"/>
      <c r="P249" s="122"/>
      <c r="Q249" s="124">
        <f t="shared" si="271"/>
        <v>2</v>
      </c>
      <c r="R249" s="124">
        <f t="shared" si="272"/>
        <v>225</v>
      </c>
      <c r="S249" s="124">
        <f t="shared" si="273"/>
        <v>160</v>
      </c>
      <c r="T249" s="124">
        <f t="shared" si="274"/>
        <v>0</v>
      </c>
      <c r="U249" s="124">
        <f t="shared" si="275"/>
        <v>0</v>
      </c>
      <c r="V249" s="124">
        <f t="shared" si="277"/>
        <v>387</v>
      </c>
      <c r="W249" s="124" t="str">
        <f t="shared" si="278"/>
        <v>83</v>
      </c>
      <c r="X249" s="124">
        <f t="shared" si="279"/>
        <v>772</v>
      </c>
      <c r="Y249" s="124" t="str">
        <f t="shared" si="280"/>
        <v>04</v>
      </c>
      <c r="Z249" s="125"/>
      <c r="AA249" s="125"/>
      <c r="AB249" s="125"/>
      <c r="AC249" s="125"/>
      <c r="AD249" s="125"/>
      <c r="AE249" s="125"/>
      <c r="AF249" s="125"/>
      <c r="AG249" s="125"/>
      <c r="AH249" s="125"/>
      <c r="AJ249" s="127"/>
      <c r="AK249" s="127" t="s">
        <v>2256</v>
      </c>
    </row>
    <row r="250" spans="2:37" ht="17.25">
      <c r="B250" s="122" t="s">
        <v>1909</v>
      </c>
      <c r="C250" s="122" t="str">
        <f t="shared" si="281"/>
        <v>FF02E0A1000083</v>
      </c>
      <c r="D250" s="60" t="s">
        <v>17</v>
      </c>
      <c r="E250" s="60" t="s">
        <v>15</v>
      </c>
      <c r="F250" s="60" t="s">
        <v>80</v>
      </c>
      <c r="G250" s="60" t="s">
        <v>16</v>
      </c>
      <c r="H250" s="60" t="s">
        <v>16</v>
      </c>
      <c r="I250" s="12" t="str">
        <f t="shared" si="276"/>
        <v>83</v>
      </c>
      <c r="J250" s="12"/>
      <c r="K250" s="12"/>
      <c r="L250" s="12"/>
      <c r="M250" s="12"/>
      <c r="N250" s="12"/>
      <c r="O250" s="12"/>
      <c r="P250" s="12"/>
      <c r="Q250" s="13">
        <f t="shared" si="271"/>
        <v>2</v>
      </c>
      <c r="R250" s="13">
        <f t="shared" si="272"/>
        <v>224</v>
      </c>
      <c r="S250" s="13">
        <f t="shared" si="273"/>
        <v>161</v>
      </c>
      <c r="T250" s="13">
        <f t="shared" si="274"/>
        <v>0</v>
      </c>
      <c r="U250" s="13">
        <f t="shared" si="275"/>
        <v>0</v>
      </c>
      <c r="V250" s="13">
        <f t="shared" si="277"/>
        <v>387</v>
      </c>
      <c r="W250" s="13" t="str">
        <f t="shared" si="278"/>
        <v>83</v>
      </c>
      <c r="X250" s="13">
        <f t="shared" si="279"/>
        <v>772</v>
      </c>
      <c r="Y250" s="13" t="str">
        <f t="shared" si="280"/>
        <v>04</v>
      </c>
      <c r="Z250" s="119"/>
      <c r="AA250" s="119"/>
      <c r="AB250" s="119"/>
      <c r="AC250" s="119"/>
      <c r="AD250" s="119"/>
      <c r="AE250" s="119"/>
      <c r="AF250" s="119"/>
      <c r="AG250" s="119"/>
      <c r="AH250" s="119"/>
      <c r="AJ250" s="64"/>
      <c r="AK250" s="64" t="s">
        <v>2257</v>
      </c>
    </row>
    <row r="251" spans="2:37" ht="17.25">
      <c r="B251" s="122" t="s">
        <v>1910</v>
      </c>
      <c r="C251" s="122" t="str">
        <f t="shared" si="281"/>
        <v>FF02E0A1007F02</v>
      </c>
      <c r="D251" s="60" t="s">
        <v>17</v>
      </c>
      <c r="E251" s="60" t="s">
        <v>15</v>
      </c>
      <c r="F251" s="60" t="s">
        <v>80</v>
      </c>
      <c r="G251" s="60" t="s">
        <v>16</v>
      </c>
      <c r="H251" s="60" t="s">
        <v>1388</v>
      </c>
      <c r="I251" s="12" t="str">
        <f t="shared" si="276"/>
        <v>02</v>
      </c>
      <c r="J251" s="12"/>
      <c r="K251" s="12"/>
      <c r="L251" s="12"/>
      <c r="M251" s="12"/>
      <c r="N251" s="12"/>
      <c r="O251" s="12"/>
      <c r="P251" s="12"/>
      <c r="Q251" s="13">
        <f t="shared" si="271"/>
        <v>2</v>
      </c>
      <c r="R251" s="13">
        <f t="shared" si="272"/>
        <v>224</v>
      </c>
      <c r="S251" s="13">
        <f t="shared" si="273"/>
        <v>161</v>
      </c>
      <c r="T251" s="13">
        <f t="shared" si="274"/>
        <v>0</v>
      </c>
      <c r="U251" s="13">
        <f t="shared" si="275"/>
        <v>127</v>
      </c>
      <c r="V251" s="13">
        <f t="shared" si="277"/>
        <v>514</v>
      </c>
      <c r="W251" s="13" t="str">
        <f t="shared" si="278"/>
        <v>02</v>
      </c>
      <c r="X251" s="13">
        <f t="shared" si="279"/>
        <v>1026</v>
      </c>
      <c r="Y251" s="13" t="str">
        <f t="shared" si="280"/>
        <v>02</v>
      </c>
      <c r="Z251" s="119"/>
      <c r="AA251" s="119"/>
      <c r="AB251" s="119"/>
      <c r="AC251" s="119"/>
      <c r="AD251" s="119"/>
      <c r="AE251" s="119"/>
      <c r="AF251" s="119"/>
      <c r="AG251" s="119"/>
      <c r="AH251" s="119"/>
      <c r="AJ251" s="64"/>
      <c r="AK251" s="64" t="s">
        <v>2258</v>
      </c>
    </row>
    <row r="252" spans="2:37" ht="17.25">
      <c r="B252" s="122" t="s">
        <v>1911</v>
      </c>
      <c r="C252" s="122" t="str">
        <f t="shared" si="281"/>
        <v>FF02E0A100FF82</v>
      </c>
      <c r="D252" s="60" t="s">
        <v>17</v>
      </c>
      <c r="E252" s="60" t="s">
        <v>15</v>
      </c>
      <c r="F252" s="60" t="s">
        <v>80</v>
      </c>
      <c r="G252" s="60" t="s">
        <v>16</v>
      </c>
      <c r="H252" s="60" t="s">
        <v>9</v>
      </c>
      <c r="I252" s="12" t="str">
        <f t="shared" si="276"/>
        <v>82</v>
      </c>
      <c r="J252" s="12"/>
      <c r="K252" s="12"/>
      <c r="L252" s="12"/>
      <c r="M252" s="12"/>
      <c r="N252" s="12"/>
      <c r="O252" s="12"/>
      <c r="P252" s="12"/>
      <c r="Q252" s="13">
        <f t="shared" si="271"/>
        <v>2</v>
      </c>
      <c r="R252" s="13">
        <f t="shared" si="272"/>
        <v>224</v>
      </c>
      <c r="S252" s="13">
        <f t="shared" si="273"/>
        <v>161</v>
      </c>
      <c r="T252" s="13">
        <f t="shared" si="274"/>
        <v>0</v>
      </c>
      <c r="U252" s="13">
        <f t="shared" si="275"/>
        <v>255</v>
      </c>
      <c r="V252" s="13">
        <f t="shared" si="277"/>
        <v>642</v>
      </c>
      <c r="W252" s="13" t="str">
        <f t="shared" si="278"/>
        <v>82</v>
      </c>
      <c r="X252" s="13">
        <f t="shared" si="279"/>
        <v>1282</v>
      </c>
      <c r="Y252" s="13" t="str">
        <f t="shared" si="280"/>
        <v>02</v>
      </c>
      <c r="Z252" s="119"/>
      <c r="AA252" s="119"/>
      <c r="AB252" s="119"/>
      <c r="AC252" s="119"/>
      <c r="AD252" s="119"/>
      <c r="AE252" s="119"/>
      <c r="AF252" s="119"/>
      <c r="AG252" s="119"/>
      <c r="AH252" s="119"/>
      <c r="AJ252" s="64"/>
      <c r="AK252" s="64" t="s">
        <v>2259</v>
      </c>
    </row>
    <row r="253" spans="2:37" ht="16.5" customHeight="1">
      <c r="B253" s="122" t="s">
        <v>1912</v>
      </c>
      <c r="C253" s="122" t="str">
        <f t="shared" si="281"/>
        <v>FF02E0A2000084</v>
      </c>
      <c r="D253" s="60" t="s">
        <v>17</v>
      </c>
      <c r="E253" s="60" t="s">
        <v>15</v>
      </c>
      <c r="F253" s="60" t="s">
        <v>1953</v>
      </c>
      <c r="G253" s="60" t="s">
        <v>16</v>
      </c>
      <c r="H253" s="60" t="s">
        <v>16</v>
      </c>
      <c r="I253" s="12" t="str">
        <f t="shared" si="276"/>
        <v>84</v>
      </c>
      <c r="J253" s="12"/>
      <c r="K253" s="12"/>
      <c r="L253" s="12"/>
      <c r="M253" s="12"/>
      <c r="N253" s="12"/>
      <c r="O253" s="12"/>
      <c r="P253" s="12"/>
      <c r="Q253" s="13">
        <f t="shared" si="271"/>
        <v>2</v>
      </c>
      <c r="R253" s="13">
        <f t="shared" si="272"/>
        <v>224</v>
      </c>
      <c r="S253" s="13">
        <f t="shared" si="273"/>
        <v>162</v>
      </c>
      <c r="T253" s="13">
        <f t="shared" si="274"/>
        <v>0</v>
      </c>
      <c r="U253" s="13">
        <f t="shared" si="275"/>
        <v>0</v>
      </c>
      <c r="V253" s="13">
        <f t="shared" si="277"/>
        <v>388</v>
      </c>
      <c r="W253" s="13" t="str">
        <f t="shared" si="278"/>
        <v>84</v>
      </c>
      <c r="X253" s="13">
        <f t="shared" si="279"/>
        <v>774</v>
      </c>
      <c r="Y253" s="13" t="str">
        <f t="shared" si="280"/>
        <v>06</v>
      </c>
      <c r="Z253" s="119"/>
      <c r="AA253" s="119"/>
      <c r="AB253" s="119"/>
      <c r="AC253" s="119"/>
      <c r="AD253" s="119"/>
      <c r="AE253" s="119"/>
      <c r="AF253" s="119"/>
      <c r="AG253" s="119"/>
      <c r="AH253" s="119"/>
      <c r="AJ253" s="64"/>
      <c r="AK253" s="64" t="s">
        <v>2260</v>
      </c>
    </row>
    <row r="254" spans="2:37" ht="17.25">
      <c r="B254" s="122" t="s">
        <v>1913</v>
      </c>
      <c r="C254" s="122" t="str">
        <f t="shared" si="281"/>
        <v>FF02E0A2007F03</v>
      </c>
      <c r="D254" s="60" t="s">
        <v>17</v>
      </c>
      <c r="E254" s="60" t="s">
        <v>15</v>
      </c>
      <c r="F254" s="60" t="s">
        <v>1953</v>
      </c>
      <c r="G254" s="60" t="s">
        <v>16</v>
      </c>
      <c r="H254" s="60" t="s">
        <v>1388</v>
      </c>
      <c r="I254" s="12" t="str">
        <f t="shared" si="276"/>
        <v>03</v>
      </c>
      <c r="J254" s="12"/>
      <c r="K254" s="12"/>
      <c r="L254" s="12"/>
      <c r="M254" s="12"/>
      <c r="N254" s="12"/>
      <c r="O254" s="12"/>
      <c r="P254" s="12"/>
      <c r="Q254" s="13">
        <f t="shared" si="271"/>
        <v>2</v>
      </c>
      <c r="R254" s="13">
        <f t="shared" si="272"/>
        <v>224</v>
      </c>
      <c r="S254" s="13">
        <f t="shared" si="273"/>
        <v>162</v>
      </c>
      <c r="T254" s="13">
        <f t="shared" si="274"/>
        <v>0</v>
      </c>
      <c r="U254" s="13">
        <f t="shared" si="275"/>
        <v>127</v>
      </c>
      <c r="V254" s="13">
        <f t="shared" si="277"/>
        <v>515</v>
      </c>
      <c r="W254" s="13" t="str">
        <f t="shared" si="278"/>
        <v>03</v>
      </c>
      <c r="X254" s="13">
        <f t="shared" si="279"/>
        <v>1028</v>
      </c>
      <c r="Y254" s="13" t="str">
        <f t="shared" si="280"/>
        <v>04</v>
      </c>
      <c r="Z254" s="119"/>
      <c r="AA254" s="119"/>
      <c r="AB254" s="119"/>
      <c r="AC254" s="119"/>
      <c r="AD254" s="119"/>
      <c r="AE254" s="119"/>
      <c r="AF254" s="119"/>
      <c r="AG254" s="119"/>
      <c r="AH254" s="119"/>
      <c r="AJ254" s="64"/>
      <c r="AK254" s="64" t="s">
        <v>2261</v>
      </c>
    </row>
    <row r="255" spans="2:37" ht="17.25">
      <c r="B255" s="122" t="s">
        <v>1914</v>
      </c>
      <c r="C255" s="122" t="str">
        <f t="shared" si="281"/>
        <v>FF02E0A200FF83</v>
      </c>
      <c r="D255" s="60" t="s">
        <v>17</v>
      </c>
      <c r="E255" s="60" t="s">
        <v>15</v>
      </c>
      <c r="F255" s="60" t="s">
        <v>1953</v>
      </c>
      <c r="G255" s="60" t="s">
        <v>16</v>
      </c>
      <c r="H255" s="60" t="s">
        <v>9</v>
      </c>
      <c r="I255" s="12" t="str">
        <f t="shared" si="276"/>
        <v>83</v>
      </c>
      <c r="J255" s="12"/>
      <c r="K255" s="12"/>
      <c r="L255" s="12"/>
      <c r="M255" s="12"/>
      <c r="N255" s="12"/>
      <c r="O255" s="12"/>
      <c r="P255" s="12"/>
      <c r="Q255" s="13">
        <f t="shared" si="271"/>
        <v>2</v>
      </c>
      <c r="R255" s="13">
        <f t="shared" si="272"/>
        <v>224</v>
      </c>
      <c r="S255" s="13">
        <f t="shared" si="273"/>
        <v>162</v>
      </c>
      <c r="T255" s="13">
        <f t="shared" si="274"/>
        <v>0</v>
      </c>
      <c r="U255" s="13">
        <f t="shared" si="275"/>
        <v>255</v>
      </c>
      <c r="V255" s="13">
        <f t="shared" si="277"/>
        <v>643</v>
      </c>
      <c r="W255" s="13" t="str">
        <f t="shared" si="278"/>
        <v>83</v>
      </c>
      <c r="X255" s="13">
        <f t="shared" si="279"/>
        <v>1284</v>
      </c>
      <c r="Y255" s="13" t="str">
        <f t="shared" si="280"/>
        <v>04</v>
      </c>
      <c r="Z255" s="119"/>
      <c r="AA255" s="119"/>
      <c r="AB255" s="119"/>
      <c r="AC255" s="119"/>
      <c r="AD255" s="119"/>
      <c r="AE255" s="119"/>
      <c r="AF255" s="119"/>
      <c r="AG255" s="119"/>
      <c r="AH255" s="119"/>
      <c r="AJ255" s="64"/>
      <c r="AK255" s="64" t="s">
        <v>2262</v>
      </c>
    </row>
    <row r="256" spans="2:37" ht="16.5" customHeight="1">
      <c r="B256" s="122" t="s">
        <v>1915</v>
      </c>
      <c r="C256" s="122" t="str">
        <f t="shared" si="281"/>
        <v>FF02E0A3000085</v>
      </c>
      <c r="D256" s="60" t="s">
        <v>17</v>
      </c>
      <c r="E256" s="60" t="s">
        <v>15</v>
      </c>
      <c r="F256" s="60" t="s">
        <v>1954</v>
      </c>
      <c r="G256" s="60" t="s">
        <v>16</v>
      </c>
      <c r="H256" s="60" t="s">
        <v>16</v>
      </c>
      <c r="I256" s="12" t="str">
        <f t="shared" si="276"/>
        <v>85</v>
      </c>
      <c r="J256" s="12"/>
      <c r="K256" s="12"/>
      <c r="L256" s="12"/>
      <c r="M256" s="12"/>
      <c r="N256" s="12"/>
      <c r="O256" s="12"/>
      <c r="P256" s="12"/>
      <c r="Q256" s="13">
        <f t="shared" si="271"/>
        <v>2</v>
      </c>
      <c r="R256" s="13">
        <f t="shared" si="272"/>
        <v>224</v>
      </c>
      <c r="S256" s="13">
        <f t="shared" si="273"/>
        <v>163</v>
      </c>
      <c r="T256" s="13">
        <f t="shared" si="274"/>
        <v>0</v>
      </c>
      <c r="U256" s="13">
        <f t="shared" si="275"/>
        <v>0</v>
      </c>
      <c r="V256" s="13">
        <f t="shared" si="277"/>
        <v>389</v>
      </c>
      <c r="W256" s="13" t="str">
        <f t="shared" si="278"/>
        <v>85</v>
      </c>
      <c r="X256" s="13">
        <f t="shared" si="279"/>
        <v>776</v>
      </c>
      <c r="Y256" s="13" t="str">
        <f t="shared" si="280"/>
        <v>08</v>
      </c>
      <c r="Z256" s="119"/>
      <c r="AA256" s="119"/>
      <c r="AB256" s="119"/>
      <c r="AC256" s="119"/>
      <c r="AD256" s="119"/>
      <c r="AE256" s="119"/>
      <c r="AF256" s="119"/>
      <c r="AG256" s="119"/>
      <c r="AH256" s="119"/>
      <c r="AJ256" s="64"/>
      <c r="AK256" s="64" t="s">
        <v>2263</v>
      </c>
    </row>
    <row r="257" spans="2:37" ht="16.5" customHeight="1">
      <c r="B257" s="122" t="s">
        <v>1916</v>
      </c>
      <c r="C257" s="122" t="str">
        <f t="shared" si="281"/>
        <v>FF02E0A3007F04</v>
      </c>
      <c r="D257" s="60" t="s">
        <v>17</v>
      </c>
      <c r="E257" s="60" t="s">
        <v>15</v>
      </c>
      <c r="F257" s="60" t="s">
        <v>1954</v>
      </c>
      <c r="G257" s="60" t="s">
        <v>16</v>
      </c>
      <c r="H257" s="60" t="s">
        <v>1388</v>
      </c>
      <c r="I257" s="12" t="str">
        <f t="shared" si="276"/>
        <v>04</v>
      </c>
      <c r="J257" s="12"/>
      <c r="K257" s="12"/>
      <c r="L257" s="12"/>
      <c r="M257" s="12"/>
      <c r="N257" s="12"/>
      <c r="O257" s="12"/>
      <c r="P257" s="12"/>
      <c r="Q257" s="13">
        <f t="shared" si="271"/>
        <v>2</v>
      </c>
      <c r="R257" s="13">
        <f t="shared" si="272"/>
        <v>224</v>
      </c>
      <c r="S257" s="13">
        <f t="shared" si="273"/>
        <v>163</v>
      </c>
      <c r="T257" s="13">
        <f t="shared" si="274"/>
        <v>0</v>
      </c>
      <c r="U257" s="13">
        <f t="shared" si="275"/>
        <v>127</v>
      </c>
      <c r="V257" s="13">
        <f t="shared" si="277"/>
        <v>516</v>
      </c>
      <c r="W257" s="13" t="str">
        <f t="shared" si="278"/>
        <v>04</v>
      </c>
      <c r="X257" s="13">
        <f t="shared" si="279"/>
        <v>1030</v>
      </c>
      <c r="Y257" s="13" t="str">
        <f t="shared" si="280"/>
        <v>06</v>
      </c>
      <c r="Z257" s="119"/>
      <c r="AA257" s="119"/>
      <c r="AB257" s="119"/>
      <c r="AC257" s="119"/>
      <c r="AD257" s="119"/>
      <c r="AE257" s="119"/>
      <c r="AF257" s="119"/>
      <c r="AG257" s="119"/>
      <c r="AH257" s="119"/>
      <c r="AJ257" s="64"/>
      <c r="AK257" s="64" t="s">
        <v>2264</v>
      </c>
    </row>
    <row r="258" spans="2:37" ht="16.5" customHeight="1">
      <c r="B258" s="122" t="s">
        <v>1917</v>
      </c>
      <c r="C258" s="122" t="str">
        <f t="shared" si="281"/>
        <v>FF02E0A300FF84</v>
      </c>
      <c r="D258" s="60" t="s">
        <v>17</v>
      </c>
      <c r="E258" s="60" t="s">
        <v>15</v>
      </c>
      <c r="F258" s="60" t="s">
        <v>1954</v>
      </c>
      <c r="G258" s="60" t="s">
        <v>16</v>
      </c>
      <c r="H258" s="60" t="s">
        <v>9</v>
      </c>
      <c r="I258" s="12" t="str">
        <f t="shared" si="276"/>
        <v>84</v>
      </c>
      <c r="J258" s="12"/>
      <c r="K258" s="12"/>
      <c r="L258" s="12"/>
      <c r="M258" s="12"/>
      <c r="N258" s="12"/>
      <c r="O258" s="12"/>
      <c r="P258" s="12"/>
      <c r="Q258" s="13">
        <f t="shared" si="271"/>
        <v>2</v>
      </c>
      <c r="R258" s="13">
        <f t="shared" si="272"/>
        <v>224</v>
      </c>
      <c r="S258" s="13">
        <f t="shared" si="273"/>
        <v>163</v>
      </c>
      <c r="T258" s="13">
        <f t="shared" si="274"/>
        <v>0</v>
      </c>
      <c r="U258" s="13">
        <f t="shared" si="275"/>
        <v>255</v>
      </c>
      <c r="V258" s="13">
        <f t="shared" si="277"/>
        <v>644</v>
      </c>
      <c r="W258" s="13" t="str">
        <f t="shared" si="278"/>
        <v>84</v>
      </c>
      <c r="X258" s="13">
        <f t="shared" si="279"/>
        <v>1286</v>
      </c>
      <c r="Y258" s="13" t="str">
        <f t="shared" si="280"/>
        <v>06</v>
      </c>
      <c r="Z258" s="119"/>
      <c r="AA258" s="119"/>
      <c r="AB258" s="119"/>
      <c r="AC258" s="119"/>
      <c r="AD258" s="119"/>
      <c r="AE258" s="119"/>
      <c r="AF258" s="119"/>
      <c r="AG258" s="119"/>
      <c r="AH258" s="119"/>
      <c r="AJ258" s="64"/>
      <c r="AK258" s="64" t="s">
        <v>2265</v>
      </c>
    </row>
    <row r="259" spans="2:37" ht="16.5" customHeight="1">
      <c r="B259" s="122" t="s">
        <v>1918</v>
      </c>
      <c r="C259" s="122" t="str">
        <f t="shared" si="281"/>
        <v>FF02E0A4000086</v>
      </c>
      <c r="D259" s="60" t="s">
        <v>17</v>
      </c>
      <c r="E259" s="60" t="s">
        <v>15</v>
      </c>
      <c r="F259" s="60" t="s">
        <v>1955</v>
      </c>
      <c r="G259" s="60" t="s">
        <v>16</v>
      </c>
      <c r="H259" s="60" t="s">
        <v>16</v>
      </c>
      <c r="I259" s="12" t="str">
        <f t="shared" si="276"/>
        <v>86</v>
      </c>
      <c r="J259" s="12"/>
      <c r="K259" s="12"/>
      <c r="L259" s="12"/>
      <c r="M259" s="12"/>
      <c r="N259" s="12"/>
      <c r="O259" s="12"/>
      <c r="P259" s="12"/>
      <c r="Q259" s="13">
        <f t="shared" si="271"/>
        <v>2</v>
      </c>
      <c r="R259" s="13">
        <f t="shared" si="272"/>
        <v>224</v>
      </c>
      <c r="S259" s="13">
        <f t="shared" si="273"/>
        <v>164</v>
      </c>
      <c r="T259" s="13">
        <f t="shared" si="274"/>
        <v>0</v>
      </c>
      <c r="U259" s="13">
        <f t="shared" si="275"/>
        <v>0</v>
      </c>
      <c r="V259" s="13">
        <f t="shared" si="277"/>
        <v>390</v>
      </c>
      <c r="W259" s="13" t="str">
        <f t="shared" si="278"/>
        <v>86</v>
      </c>
      <c r="X259" s="13">
        <f t="shared" si="279"/>
        <v>778</v>
      </c>
      <c r="Y259" s="13" t="str">
        <f t="shared" si="280"/>
        <v>0A</v>
      </c>
      <c r="Z259" s="119"/>
      <c r="AA259" s="119"/>
      <c r="AB259" s="119"/>
      <c r="AC259" s="119"/>
      <c r="AD259" s="119"/>
      <c r="AE259" s="119"/>
      <c r="AF259" s="119"/>
      <c r="AG259" s="119"/>
      <c r="AH259" s="119"/>
      <c r="AJ259" s="64"/>
      <c r="AK259" s="64" t="s">
        <v>2266</v>
      </c>
    </row>
    <row r="260" spans="2:37" ht="16.5" customHeight="1">
      <c r="B260" s="122" t="s">
        <v>1919</v>
      </c>
      <c r="C260" s="122" t="str">
        <f t="shared" si="281"/>
        <v>FF02E0A4007F05</v>
      </c>
      <c r="D260" s="60" t="s">
        <v>17</v>
      </c>
      <c r="E260" s="60" t="s">
        <v>15</v>
      </c>
      <c r="F260" s="60" t="s">
        <v>1955</v>
      </c>
      <c r="G260" s="60" t="s">
        <v>16</v>
      </c>
      <c r="H260" s="60" t="s">
        <v>1388</v>
      </c>
      <c r="I260" s="12" t="str">
        <f t="shared" si="276"/>
        <v>05</v>
      </c>
      <c r="J260" s="12"/>
      <c r="K260" s="12"/>
      <c r="L260" s="12"/>
      <c r="M260" s="12"/>
      <c r="N260" s="12"/>
      <c r="O260" s="12"/>
      <c r="P260" s="12"/>
      <c r="Q260" s="13">
        <f t="shared" si="271"/>
        <v>2</v>
      </c>
      <c r="R260" s="13">
        <f t="shared" si="272"/>
        <v>224</v>
      </c>
      <c r="S260" s="13">
        <f t="shared" si="273"/>
        <v>164</v>
      </c>
      <c r="T260" s="13">
        <f t="shared" si="274"/>
        <v>0</v>
      </c>
      <c r="U260" s="13">
        <f t="shared" si="275"/>
        <v>127</v>
      </c>
      <c r="V260" s="13">
        <f t="shared" si="277"/>
        <v>517</v>
      </c>
      <c r="W260" s="13" t="str">
        <f t="shared" si="278"/>
        <v>05</v>
      </c>
      <c r="X260" s="13">
        <f t="shared" si="279"/>
        <v>1032</v>
      </c>
      <c r="Y260" s="13" t="str">
        <f t="shared" si="280"/>
        <v>08</v>
      </c>
      <c r="Z260" s="119"/>
      <c r="AA260" s="119"/>
      <c r="AB260" s="119"/>
      <c r="AC260" s="119"/>
      <c r="AD260" s="119"/>
      <c r="AE260" s="119"/>
      <c r="AF260" s="119"/>
      <c r="AG260" s="119"/>
      <c r="AH260" s="119"/>
      <c r="AJ260" s="64"/>
      <c r="AK260" s="64" t="s">
        <v>2267</v>
      </c>
    </row>
    <row r="261" spans="2:37" ht="16.5" customHeight="1">
      <c r="B261" s="122" t="s">
        <v>1920</v>
      </c>
      <c r="C261" s="122" t="str">
        <f t="shared" si="281"/>
        <v>FF02E0A400FF85</v>
      </c>
      <c r="D261" s="60" t="s">
        <v>17</v>
      </c>
      <c r="E261" s="60" t="s">
        <v>15</v>
      </c>
      <c r="F261" s="60" t="s">
        <v>1955</v>
      </c>
      <c r="G261" s="60" t="s">
        <v>16</v>
      </c>
      <c r="H261" s="60" t="s">
        <v>9</v>
      </c>
      <c r="I261" s="12" t="str">
        <f t="shared" si="276"/>
        <v>85</v>
      </c>
      <c r="J261" s="12"/>
      <c r="K261" s="12"/>
      <c r="L261" s="12"/>
      <c r="M261" s="12"/>
      <c r="N261" s="12"/>
      <c r="O261" s="12"/>
      <c r="P261" s="12"/>
      <c r="Q261" s="13">
        <f t="shared" si="271"/>
        <v>2</v>
      </c>
      <c r="R261" s="13">
        <f t="shared" si="272"/>
        <v>224</v>
      </c>
      <c r="S261" s="13">
        <f t="shared" si="273"/>
        <v>164</v>
      </c>
      <c r="T261" s="13">
        <f t="shared" si="274"/>
        <v>0</v>
      </c>
      <c r="U261" s="13">
        <f t="shared" si="275"/>
        <v>255</v>
      </c>
      <c r="V261" s="13">
        <f t="shared" si="277"/>
        <v>645</v>
      </c>
      <c r="W261" s="13" t="str">
        <f t="shared" si="278"/>
        <v>85</v>
      </c>
      <c r="X261" s="13">
        <f t="shared" si="279"/>
        <v>1288</v>
      </c>
      <c r="Y261" s="13" t="str">
        <f t="shared" si="280"/>
        <v>08</v>
      </c>
      <c r="Z261" s="119"/>
      <c r="AA261" s="119"/>
      <c r="AB261" s="119"/>
      <c r="AC261" s="119"/>
      <c r="AD261" s="119"/>
      <c r="AE261" s="119"/>
      <c r="AF261" s="119"/>
      <c r="AG261" s="119"/>
      <c r="AH261" s="119"/>
      <c r="AJ261" s="64"/>
      <c r="AK261" s="64" t="s">
        <v>2268</v>
      </c>
    </row>
    <row r="262" spans="2:37" ht="16.5" customHeight="1">
      <c r="B262" s="122" t="s">
        <v>1921</v>
      </c>
      <c r="C262" s="122" t="str">
        <f t="shared" si="281"/>
        <v>FF02E0A5000087</v>
      </c>
      <c r="D262" s="60" t="s">
        <v>17</v>
      </c>
      <c r="E262" s="60" t="s">
        <v>15</v>
      </c>
      <c r="F262" s="60" t="s">
        <v>1956</v>
      </c>
      <c r="G262" s="60" t="s">
        <v>16</v>
      </c>
      <c r="H262" s="60" t="s">
        <v>16</v>
      </c>
      <c r="I262" s="12" t="str">
        <f t="shared" si="276"/>
        <v>87</v>
      </c>
      <c r="J262" s="12"/>
      <c r="K262" s="12"/>
      <c r="L262" s="12"/>
      <c r="M262" s="12"/>
      <c r="N262" s="12"/>
      <c r="O262" s="12"/>
      <c r="P262" s="12"/>
      <c r="Q262" s="13">
        <f t="shared" si="271"/>
        <v>2</v>
      </c>
      <c r="R262" s="13">
        <f t="shared" si="272"/>
        <v>224</v>
      </c>
      <c r="S262" s="13">
        <f t="shared" si="273"/>
        <v>165</v>
      </c>
      <c r="T262" s="13">
        <f t="shared" si="274"/>
        <v>0</v>
      </c>
      <c r="U262" s="13">
        <f t="shared" si="275"/>
        <v>0</v>
      </c>
      <c r="V262" s="13">
        <f t="shared" si="277"/>
        <v>391</v>
      </c>
      <c r="W262" s="13" t="str">
        <f t="shared" si="278"/>
        <v>87</v>
      </c>
      <c r="X262" s="13">
        <f t="shared" si="279"/>
        <v>780</v>
      </c>
      <c r="Y262" s="13" t="str">
        <f t="shared" si="280"/>
        <v>0C</v>
      </c>
      <c r="Z262" s="119"/>
      <c r="AA262" s="119"/>
      <c r="AB262" s="119"/>
      <c r="AC262" s="119"/>
      <c r="AD262" s="119"/>
      <c r="AE262" s="119"/>
      <c r="AF262" s="119"/>
      <c r="AG262" s="119"/>
      <c r="AH262" s="119"/>
      <c r="AJ262" s="64"/>
      <c r="AK262" s="64" t="s">
        <v>2269</v>
      </c>
    </row>
    <row r="263" spans="2:37" ht="16.5" customHeight="1">
      <c r="B263" s="122" t="s">
        <v>1922</v>
      </c>
      <c r="C263" s="122" t="str">
        <f t="shared" si="281"/>
        <v>FF02E0A50032B9</v>
      </c>
      <c r="D263" s="60" t="s">
        <v>17</v>
      </c>
      <c r="E263" s="60" t="s">
        <v>15</v>
      </c>
      <c r="F263" s="60" t="s">
        <v>1956</v>
      </c>
      <c r="G263" s="60" t="s">
        <v>16</v>
      </c>
      <c r="H263" s="60" t="s">
        <v>1330</v>
      </c>
      <c r="I263" s="12" t="str">
        <f t="shared" ref="I263:I280" si="282">W263</f>
        <v>B9</v>
      </c>
      <c r="J263" s="12"/>
      <c r="K263" s="12"/>
      <c r="L263" s="12"/>
      <c r="M263" s="12"/>
      <c r="N263" s="12"/>
      <c r="O263" s="12"/>
      <c r="P263" s="12"/>
      <c r="Q263" s="13">
        <f t="shared" si="271"/>
        <v>2</v>
      </c>
      <c r="R263" s="13">
        <f t="shared" si="272"/>
        <v>224</v>
      </c>
      <c r="S263" s="13">
        <f t="shared" si="273"/>
        <v>165</v>
      </c>
      <c r="T263" s="13">
        <f t="shared" si="274"/>
        <v>0</v>
      </c>
      <c r="U263" s="13">
        <f t="shared" si="275"/>
        <v>50</v>
      </c>
      <c r="V263" s="13">
        <f t="shared" ref="V263:V280" si="283">SUM(Q263:U263)</f>
        <v>441</v>
      </c>
      <c r="W263" s="13" t="str">
        <f t="shared" ref="W263:W280" si="284">REPT("0",2-LEN(RIGHT(DEC2HEX(V263), 2)))&amp;RIGHT(DEC2HEX(V263), 2)</f>
        <v>B9</v>
      </c>
      <c r="X263" s="13">
        <f t="shared" ref="X263:X280" si="285">SUM(R263:W263)</f>
        <v>880</v>
      </c>
      <c r="Y263" s="13" t="str">
        <f t="shared" ref="Y263:Y280" si="286">REPT("0",2-LEN(RIGHT(DEC2HEX(X263), 2)))&amp;RIGHT(DEC2HEX(X263), 2)</f>
        <v>70</v>
      </c>
      <c r="Z263" s="119"/>
      <c r="AA263" s="119"/>
      <c r="AB263" s="119"/>
      <c r="AC263" s="119"/>
      <c r="AD263" s="119"/>
      <c r="AE263" s="119"/>
      <c r="AF263" s="119"/>
      <c r="AG263" s="119"/>
      <c r="AH263" s="119"/>
      <c r="AJ263" s="64"/>
      <c r="AK263" s="64" t="s">
        <v>2270</v>
      </c>
    </row>
    <row r="264" spans="2:37" ht="17.25">
      <c r="B264" s="122" t="s">
        <v>1923</v>
      </c>
      <c r="C264" s="122" t="str">
        <f t="shared" si="281"/>
        <v>FF02E0A50064EB</v>
      </c>
      <c r="D264" s="60" t="s">
        <v>17</v>
      </c>
      <c r="E264" s="60" t="s">
        <v>15</v>
      </c>
      <c r="F264" s="60" t="s">
        <v>1956</v>
      </c>
      <c r="G264" s="60" t="s">
        <v>16</v>
      </c>
      <c r="H264" s="60" t="s">
        <v>128</v>
      </c>
      <c r="I264" s="12" t="str">
        <f t="shared" si="282"/>
        <v>EB</v>
      </c>
      <c r="J264" s="12"/>
      <c r="K264" s="12"/>
      <c r="L264" s="12"/>
      <c r="M264" s="12"/>
      <c r="N264" s="12"/>
      <c r="O264" s="12"/>
      <c r="P264" s="12"/>
      <c r="Q264" s="13">
        <f t="shared" si="271"/>
        <v>2</v>
      </c>
      <c r="R264" s="13">
        <f t="shared" si="272"/>
        <v>224</v>
      </c>
      <c r="S264" s="13">
        <f t="shared" si="273"/>
        <v>165</v>
      </c>
      <c r="T264" s="13">
        <f t="shared" si="274"/>
        <v>0</v>
      </c>
      <c r="U264" s="13">
        <f t="shared" si="275"/>
        <v>100</v>
      </c>
      <c r="V264" s="13">
        <f t="shared" si="283"/>
        <v>491</v>
      </c>
      <c r="W264" s="13" t="str">
        <f t="shared" si="284"/>
        <v>EB</v>
      </c>
      <c r="X264" s="13">
        <f t="shared" si="285"/>
        <v>980</v>
      </c>
      <c r="Y264" s="13" t="str">
        <f t="shared" si="286"/>
        <v>D4</v>
      </c>
      <c r="Z264" s="119"/>
      <c r="AA264" s="119"/>
      <c r="AB264" s="119"/>
      <c r="AC264" s="119"/>
      <c r="AD264" s="119"/>
      <c r="AE264" s="119"/>
      <c r="AF264" s="119"/>
      <c r="AG264" s="119"/>
      <c r="AH264" s="119"/>
      <c r="AJ264" s="64"/>
      <c r="AK264" s="64" t="s">
        <v>2271</v>
      </c>
    </row>
    <row r="265" spans="2:37" ht="16.5" customHeight="1">
      <c r="B265" s="122" t="s">
        <v>1924</v>
      </c>
      <c r="C265" s="122" t="str">
        <f t="shared" si="281"/>
        <v>FF02E0A6000088</v>
      </c>
      <c r="D265" s="60" t="s">
        <v>17</v>
      </c>
      <c r="E265" s="60" t="s">
        <v>15</v>
      </c>
      <c r="F265" s="60" t="s">
        <v>1957</v>
      </c>
      <c r="G265" s="60" t="s">
        <v>16</v>
      </c>
      <c r="H265" s="60" t="s">
        <v>16</v>
      </c>
      <c r="I265" s="12" t="str">
        <f t="shared" si="282"/>
        <v>88</v>
      </c>
      <c r="J265" s="12"/>
      <c r="K265" s="12"/>
      <c r="L265" s="12"/>
      <c r="M265" s="12"/>
      <c r="N265" s="12"/>
      <c r="O265" s="12"/>
      <c r="P265" s="12"/>
      <c r="Q265" s="13">
        <f t="shared" si="271"/>
        <v>2</v>
      </c>
      <c r="R265" s="13">
        <f t="shared" si="272"/>
        <v>224</v>
      </c>
      <c r="S265" s="13">
        <f t="shared" si="273"/>
        <v>166</v>
      </c>
      <c r="T265" s="13">
        <f t="shared" si="274"/>
        <v>0</v>
      </c>
      <c r="U265" s="13">
        <f t="shared" si="275"/>
        <v>0</v>
      </c>
      <c r="V265" s="13">
        <f t="shared" si="283"/>
        <v>392</v>
      </c>
      <c r="W265" s="13" t="str">
        <f t="shared" si="284"/>
        <v>88</v>
      </c>
      <c r="X265" s="13">
        <f t="shared" si="285"/>
        <v>782</v>
      </c>
      <c r="Y265" s="13" t="str">
        <f t="shared" si="286"/>
        <v>0E</v>
      </c>
      <c r="Z265" s="119"/>
      <c r="AA265" s="119"/>
      <c r="AB265" s="119"/>
      <c r="AC265" s="119"/>
      <c r="AD265" s="119"/>
      <c r="AE265" s="119"/>
      <c r="AF265" s="119"/>
      <c r="AG265" s="119"/>
      <c r="AH265" s="119"/>
      <c r="AJ265" s="64"/>
      <c r="AK265" s="64" t="s">
        <v>2272</v>
      </c>
    </row>
    <row r="266" spans="2:37" ht="16.5" customHeight="1">
      <c r="B266" s="122" t="s">
        <v>1925</v>
      </c>
      <c r="C266" s="122" t="str">
        <f t="shared" si="281"/>
        <v>FF02E0A60032BA</v>
      </c>
      <c r="D266" s="60" t="s">
        <v>17</v>
      </c>
      <c r="E266" s="60" t="s">
        <v>15</v>
      </c>
      <c r="F266" s="60" t="s">
        <v>1957</v>
      </c>
      <c r="G266" s="60" t="s">
        <v>16</v>
      </c>
      <c r="H266" s="60" t="s">
        <v>1330</v>
      </c>
      <c r="I266" s="12" t="str">
        <f t="shared" si="282"/>
        <v>BA</v>
      </c>
      <c r="J266" s="12"/>
      <c r="K266" s="12"/>
      <c r="L266" s="12"/>
      <c r="M266" s="12"/>
      <c r="N266" s="12"/>
      <c r="O266" s="12"/>
      <c r="P266" s="12"/>
      <c r="Q266" s="13">
        <f t="shared" si="271"/>
        <v>2</v>
      </c>
      <c r="R266" s="13">
        <f t="shared" si="272"/>
        <v>224</v>
      </c>
      <c r="S266" s="13">
        <f t="shared" si="273"/>
        <v>166</v>
      </c>
      <c r="T266" s="13">
        <f t="shared" si="274"/>
        <v>0</v>
      </c>
      <c r="U266" s="13">
        <f t="shared" si="275"/>
        <v>50</v>
      </c>
      <c r="V266" s="13">
        <f t="shared" si="283"/>
        <v>442</v>
      </c>
      <c r="W266" s="13" t="str">
        <f t="shared" si="284"/>
        <v>BA</v>
      </c>
      <c r="X266" s="13">
        <f t="shared" si="285"/>
        <v>882</v>
      </c>
      <c r="Y266" s="13" t="str">
        <f t="shared" si="286"/>
        <v>72</v>
      </c>
      <c r="Z266" s="119"/>
      <c r="AA266" s="119"/>
      <c r="AB266" s="119"/>
      <c r="AC266" s="119"/>
      <c r="AD266" s="119"/>
      <c r="AE266" s="119"/>
      <c r="AF266" s="119"/>
      <c r="AG266" s="119"/>
      <c r="AH266" s="119"/>
      <c r="AJ266" s="64"/>
      <c r="AK266" s="64" t="s">
        <v>2273</v>
      </c>
    </row>
    <row r="267" spans="2:37" ht="17.25">
      <c r="B267" s="122" t="s">
        <v>1926</v>
      </c>
      <c r="C267" s="122" t="str">
        <f t="shared" si="281"/>
        <v>FF02E0A60064EC</v>
      </c>
      <c r="D267" s="60" t="s">
        <v>17</v>
      </c>
      <c r="E267" s="60" t="s">
        <v>15</v>
      </c>
      <c r="F267" s="60" t="s">
        <v>1957</v>
      </c>
      <c r="G267" s="60" t="s">
        <v>16</v>
      </c>
      <c r="H267" s="60" t="s">
        <v>128</v>
      </c>
      <c r="I267" s="12" t="str">
        <f t="shared" si="282"/>
        <v>EC</v>
      </c>
      <c r="J267" s="12"/>
      <c r="K267" s="12"/>
      <c r="L267" s="12"/>
      <c r="M267" s="12"/>
      <c r="N267" s="12"/>
      <c r="O267" s="12"/>
      <c r="P267" s="12"/>
      <c r="Q267" s="13">
        <f t="shared" si="271"/>
        <v>2</v>
      </c>
      <c r="R267" s="13">
        <f t="shared" si="272"/>
        <v>224</v>
      </c>
      <c r="S267" s="13">
        <f t="shared" si="273"/>
        <v>166</v>
      </c>
      <c r="T267" s="13">
        <f t="shared" si="274"/>
        <v>0</v>
      </c>
      <c r="U267" s="13">
        <f t="shared" si="275"/>
        <v>100</v>
      </c>
      <c r="V267" s="13">
        <f t="shared" si="283"/>
        <v>492</v>
      </c>
      <c r="W267" s="13" t="str">
        <f t="shared" si="284"/>
        <v>EC</v>
      </c>
      <c r="X267" s="13">
        <f t="shared" si="285"/>
        <v>982</v>
      </c>
      <c r="Y267" s="13" t="str">
        <f t="shared" si="286"/>
        <v>D6</v>
      </c>
      <c r="Z267" s="119"/>
      <c r="AA267" s="119"/>
      <c r="AB267" s="119"/>
      <c r="AC267" s="119"/>
      <c r="AD267" s="119"/>
      <c r="AE267" s="119"/>
      <c r="AF267" s="119"/>
      <c r="AG267" s="119"/>
      <c r="AH267" s="119"/>
      <c r="AJ267" s="64"/>
      <c r="AK267" s="64" t="s">
        <v>2274</v>
      </c>
    </row>
    <row r="268" spans="2:37" ht="16.5" customHeight="1">
      <c r="B268" s="122" t="s">
        <v>1927</v>
      </c>
      <c r="C268" s="122" t="str">
        <f t="shared" si="281"/>
        <v>FF02E0A7000089</v>
      </c>
      <c r="D268" s="60" t="s">
        <v>17</v>
      </c>
      <c r="E268" s="60" t="s">
        <v>15</v>
      </c>
      <c r="F268" s="60" t="s">
        <v>1958</v>
      </c>
      <c r="G268" s="60" t="s">
        <v>16</v>
      </c>
      <c r="H268" s="60" t="s">
        <v>16</v>
      </c>
      <c r="I268" s="12" t="str">
        <f t="shared" si="282"/>
        <v>89</v>
      </c>
      <c r="J268" s="12"/>
      <c r="K268" s="12"/>
      <c r="L268" s="12"/>
      <c r="M268" s="12"/>
      <c r="N268" s="12"/>
      <c r="O268" s="12"/>
      <c r="P268" s="12"/>
      <c r="Q268" s="13">
        <f t="shared" si="271"/>
        <v>2</v>
      </c>
      <c r="R268" s="13">
        <f t="shared" si="272"/>
        <v>224</v>
      </c>
      <c r="S268" s="13">
        <f t="shared" si="273"/>
        <v>167</v>
      </c>
      <c r="T268" s="13">
        <f t="shared" si="274"/>
        <v>0</v>
      </c>
      <c r="U268" s="13">
        <f t="shared" si="275"/>
        <v>0</v>
      </c>
      <c r="V268" s="13">
        <f t="shared" si="283"/>
        <v>393</v>
      </c>
      <c r="W268" s="13" t="str">
        <f t="shared" si="284"/>
        <v>89</v>
      </c>
      <c r="X268" s="13">
        <f t="shared" si="285"/>
        <v>784</v>
      </c>
      <c r="Y268" s="13" t="str">
        <f t="shared" si="286"/>
        <v>10</v>
      </c>
      <c r="Z268" s="119"/>
      <c r="AA268" s="119"/>
      <c r="AB268" s="119"/>
      <c r="AC268" s="119"/>
      <c r="AD268" s="119"/>
      <c r="AE268" s="119"/>
      <c r="AF268" s="119"/>
      <c r="AG268" s="119"/>
      <c r="AH268" s="119"/>
      <c r="AJ268" s="64"/>
      <c r="AK268" s="64" t="s">
        <v>2275</v>
      </c>
    </row>
    <row r="269" spans="2:37" ht="17.25">
      <c r="B269" s="122" t="s">
        <v>1928</v>
      </c>
      <c r="C269" s="122" t="str">
        <f t="shared" si="281"/>
        <v>FF02E0A700018A</v>
      </c>
      <c r="D269" s="60" t="s">
        <v>17</v>
      </c>
      <c r="E269" s="60" t="s">
        <v>15</v>
      </c>
      <c r="F269" s="60" t="s">
        <v>1958</v>
      </c>
      <c r="G269" s="60" t="s">
        <v>16</v>
      </c>
      <c r="H269" s="60" t="s">
        <v>24</v>
      </c>
      <c r="I269" s="12" t="str">
        <f t="shared" si="282"/>
        <v>8A</v>
      </c>
      <c r="J269" s="12"/>
      <c r="K269" s="12"/>
      <c r="L269" s="12"/>
      <c r="M269" s="12"/>
      <c r="N269" s="12"/>
      <c r="O269" s="12"/>
      <c r="P269" s="12"/>
      <c r="Q269" s="13">
        <f t="shared" si="271"/>
        <v>2</v>
      </c>
      <c r="R269" s="13">
        <f t="shared" si="272"/>
        <v>224</v>
      </c>
      <c r="S269" s="13">
        <f t="shared" si="273"/>
        <v>167</v>
      </c>
      <c r="T269" s="13">
        <f t="shared" si="274"/>
        <v>0</v>
      </c>
      <c r="U269" s="13">
        <f t="shared" si="275"/>
        <v>1</v>
      </c>
      <c r="V269" s="13">
        <f t="shared" si="283"/>
        <v>394</v>
      </c>
      <c r="W269" s="13" t="str">
        <f t="shared" si="284"/>
        <v>8A</v>
      </c>
      <c r="X269" s="13">
        <f t="shared" si="285"/>
        <v>786</v>
      </c>
      <c r="Y269" s="13" t="str">
        <f t="shared" si="286"/>
        <v>12</v>
      </c>
      <c r="Z269" s="119"/>
      <c r="AA269" s="119"/>
      <c r="AB269" s="119"/>
      <c r="AC269" s="119"/>
      <c r="AD269" s="119"/>
      <c r="AE269" s="119"/>
      <c r="AF269" s="119"/>
      <c r="AG269" s="119"/>
      <c r="AH269" s="119"/>
      <c r="AJ269" s="64"/>
      <c r="AK269" s="64" t="s">
        <v>2276</v>
      </c>
    </row>
    <row r="270" spans="2:37" ht="17.25">
      <c r="B270" s="122" t="s">
        <v>1929</v>
      </c>
      <c r="C270" s="122" t="str">
        <f t="shared" si="281"/>
        <v>FF02E0A800008A</v>
      </c>
      <c r="D270" s="60" t="s">
        <v>17</v>
      </c>
      <c r="E270" s="60" t="s">
        <v>15</v>
      </c>
      <c r="F270" s="60" t="s">
        <v>1725</v>
      </c>
      <c r="G270" s="60" t="s">
        <v>16</v>
      </c>
      <c r="H270" s="60" t="s">
        <v>16</v>
      </c>
      <c r="I270" s="12" t="str">
        <f t="shared" si="282"/>
        <v>8A</v>
      </c>
      <c r="J270" s="12"/>
      <c r="K270" s="12"/>
      <c r="L270" s="12"/>
      <c r="M270" s="12"/>
      <c r="N270" s="12"/>
      <c r="O270" s="12"/>
      <c r="P270" s="12"/>
      <c r="Q270" s="13">
        <f t="shared" si="271"/>
        <v>2</v>
      </c>
      <c r="R270" s="13">
        <f t="shared" si="272"/>
        <v>224</v>
      </c>
      <c r="S270" s="13">
        <f t="shared" si="273"/>
        <v>168</v>
      </c>
      <c r="T270" s="13">
        <f t="shared" si="274"/>
        <v>0</v>
      </c>
      <c r="U270" s="13">
        <f t="shared" si="275"/>
        <v>0</v>
      </c>
      <c r="V270" s="13">
        <f t="shared" si="283"/>
        <v>394</v>
      </c>
      <c r="W270" s="13" t="str">
        <f t="shared" si="284"/>
        <v>8A</v>
      </c>
      <c r="X270" s="13">
        <f t="shared" si="285"/>
        <v>786</v>
      </c>
      <c r="Y270" s="13" t="str">
        <f t="shared" si="286"/>
        <v>12</v>
      </c>
      <c r="Z270" s="119"/>
      <c r="AA270" s="119"/>
      <c r="AB270" s="119"/>
      <c r="AC270" s="119"/>
      <c r="AD270" s="119"/>
      <c r="AE270" s="119"/>
      <c r="AF270" s="119"/>
      <c r="AG270" s="119"/>
      <c r="AH270" s="119"/>
      <c r="AJ270" s="64"/>
      <c r="AK270" s="64" t="s">
        <v>2277</v>
      </c>
    </row>
    <row r="271" spans="2:37" ht="17.25">
      <c r="B271" s="122" t="s">
        <v>1930</v>
      </c>
      <c r="C271" s="122" t="str">
        <f t="shared" si="281"/>
        <v>FF02E0A800018B</v>
      </c>
      <c r="D271" s="60" t="s">
        <v>17</v>
      </c>
      <c r="E271" s="60" t="s">
        <v>15</v>
      </c>
      <c r="F271" s="60" t="s">
        <v>1725</v>
      </c>
      <c r="G271" s="60" t="s">
        <v>16</v>
      </c>
      <c r="H271" s="60" t="s">
        <v>24</v>
      </c>
      <c r="I271" s="12" t="str">
        <f t="shared" si="282"/>
        <v>8B</v>
      </c>
      <c r="J271" s="12"/>
      <c r="K271" s="12"/>
      <c r="L271" s="12"/>
      <c r="M271" s="12"/>
      <c r="N271" s="12"/>
      <c r="O271" s="12"/>
      <c r="P271" s="12"/>
      <c r="Q271" s="13">
        <f t="shared" si="271"/>
        <v>2</v>
      </c>
      <c r="R271" s="13">
        <f t="shared" si="272"/>
        <v>224</v>
      </c>
      <c r="S271" s="13">
        <f t="shared" si="273"/>
        <v>168</v>
      </c>
      <c r="T271" s="13">
        <f t="shared" si="274"/>
        <v>0</v>
      </c>
      <c r="U271" s="13">
        <f t="shared" si="275"/>
        <v>1</v>
      </c>
      <c r="V271" s="13">
        <f t="shared" si="283"/>
        <v>395</v>
      </c>
      <c r="W271" s="13" t="str">
        <f t="shared" si="284"/>
        <v>8B</v>
      </c>
      <c r="X271" s="13">
        <f t="shared" si="285"/>
        <v>788</v>
      </c>
      <c r="Y271" s="13" t="str">
        <f t="shared" si="286"/>
        <v>14</v>
      </c>
      <c r="Z271" s="119"/>
      <c r="AA271" s="119"/>
      <c r="AB271" s="119"/>
      <c r="AC271" s="119"/>
      <c r="AD271" s="119"/>
      <c r="AE271" s="119"/>
      <c r="AF271" s="119"/>
      <c r="AG271" s="119"/>
      <c r="AH271" s="119"/>
      <c r="AJ271" s="64"/>
      <c r="AK271" s="64" t="s">
        <v>2278</v>
      </c>
    </row>
    <row r="272" spans="2:37" ht="17.25">
      <c r="B272" s="122" t="s">
        <v>1931</v>
      </c>
      <c r="C272" s="122" t="str">
        <f t="shared" si="281"/>
        <v>FF02E0A800028C</v>
      </c>
      <c r="D272" s="60" t="s">
        <v>17</v>
      </c>
      <c r="E272" s="60" t="s">
        <v>15</v>
      </c>
      <c r="F272" s="60" t="s">
        <v>1725</v>
      </c>
      <c r="G272" s="60" t="s">
        <v>16</v>
      </c>
      <c r="H272" s="60" t="s">
        <v>17</v>
      </c>
      <c r="I272" s="12" t="str">
        <f t="shared" si="282"/>
        <v>8C</v>
      </c>
      <c r="J272" s="12"/>
      <c r="K272" s="12"/>
      <c r="L272" s="12"/>
      <c r="M272" s="12"/>
      <c r="N272" s="12"/>
      <c r="O272" s="12"/>
      <c r="P272" s="12"/>
      <c r="Q272" s="13">
        <f t="shared" si="271"/>
        <v>2</v>
      </c>
      <c r="R272" s="13">
        <f t="shared" si="272"/>
        <v>224</v>
      </c>
      <c r="S272" s="13">
        <f t="shared" si="273"/>
        <v>168</v>
      </c>
      <c r="T272" s="13">
        <f t="shared" si="274"/>
        <v>0</v>
      </c>
      <c r="U272" s="13">
        <f t="shared" si="275"/>
        <v>2</v>
      </c>
      <c r="V272" s="13">
        <f t="shared" si="283"/>
        <v>396</v>
      </c>
      <c r="W272" s="13" t="str">
        <f t="shared" si="284"/>
        <v>8C</v>
      </c>
      <c r="X272" s="13">
        <f t="shared" si="285"/>
        <v>790</v>
      </c>
      <c r="Y272" s="13" t="str">
        <f t="shared" si="286"/>
        <v>16</v>
      </c>
      <c r="Z272" s="119"/>
      <c r="AA272" s="119"/>
      <c r="AB272" s="119"/>
      <c r="AC272" s="119"/>
      <c r="AD272" s="119"/>
      <c r="AE272" s="119"/>
      <c r="AF272" s="119"/>
      <c r="AG272" s="119"/>
      <c r="AH272" s="119"/>
      <c r="AJ272" s="64"/>
      <c r="AK272" s="64" t="s">
        <v>2279</v>
      </c>
    </row>
    <row r="273" spans="2:37" ht="17.25">
      <c r="B273" s="122" t="s">
        <v>1932</v>
      </c>
      <c r="C273" s="122" t="str">
        <f t="shared" si="281"/>
        <v>FF02E0A800038D</v>
      </c>
      <c r="D273" s="60" t="s">
        <v>17</v>
      </c>
      <c r="E273" s="60" t="s">
        <v>15</v>
      </c>
      <c r="F273" s="60" t="s">
        <v>1725</v>
      </c>
      <c r="G273" s="60" t="s">
        <v>16</v>
      </c>
      <c r="H273" s="60" t="s">
        <v>91</v>
      </c>
      <c r="I273" s="12" t="str">
        <f t="shared" si="282"/>
        <v>8D</v>
      </c>
      <c r="J273" s="12"/>
      <c r="K273" s="12"/>
      <c r="L273" s="12"/>
      <c r="M273" s="12"/>
      <c r="N273" s="12"/>
      <c r="O273" s="12"/>
      <c r="P273" s="12"/>
      <c r="Q273" s="13">
        <f t="shared" si="271"/>
        <v>2</v>
      </c>
      <c r="R273" s="13">
        <f t="shared" si="272"/>
        <v>224</v>
      </c>
      <c r="S273" s="13">
        <f t="shared" si="273"/>
        <v>168</v>
      </c>
      <c r="T273" s="13">
        <f t="shared" si="274"/>
        <v>0</v>
      </c>
      <c r="U273" s="13">
        <f t="shared" si="275"/>
        <v>3</v>
      </c>
      <c r="V273" s="13">
        <f t="shared" si="283"/>
        <v>397</v>
      </c>
      <c r="W273" s="13" t="str">
        <f t="shared" si="284"/>
        <v>8D</v>
      </c>
      <c r="X273" s="13">
        <f t="shared" si="285"/>
        <v>792</v>
      </c>
      <c r="Y273" s="13" t="str">
        <f t="shared" si="286"/>
        <v>18</v>
      </c>
      <c r="Z273" s="119"/>
      <c r="AA273" s="119"/>
      <c r="AB273" s="119"/>
      <c r="AC273" s="119"/>
      <c r="AD273" s="119"/>
      <c r="AE273" s="119"/>
      <c r="AF273" s="119"/>
      <c r="AG273" s="119"/>
      <c r="AH273" s="119"/>
      <c r="AJ273" s="64"/>
      <c r="AK273" s="64" t="s">
        <v>2280</v>
      </c>
    </row>
    <row r="274" spans="2:37" ht="17.25">
      <c r="B274" s="122" t="s">
        <v>1933</v>
      </c>
      <c r="C274" s="122" t="str">
        <f t="shared" si="281"/>
        <v>FF02E0A800048E</v>
      </c>
      <c r="D274" s="60" t="s">
        <v>17</v>
      </c>
      <c r="E274" s="60" t="s">
        <v>15</v>
      </c>
      <c r="F274" s="60" t="s">
        <v>1725</v>
      </c>
      <c r="G274" s="60" t="s">
        <v>16</v>
      </c>
      <c r="H274" s="60" t="s">
        <v>67</v>
      </c>
      <c r="I274" s="12" t="str">
        <f t="shared" si="282"/>
        <v>8E</v>
      </c>
      <c r="J274" s="12"/>
      <c r="K274" s="12"/>
      <c r="L274" s="12"/>
      <c r="M274" s="12"/>
      <c r="N274" s="12"/>
      <c r="O274" s="12"/>
      <c r="P274" s="12"/>
      <c r="Q274" s="13">
        <f t="shared" si="271"/>
        <v>2</v>
      </c>
      <c r="R274" s="13">
        <f t="shared" si="272"/>
        <v>224</v>
      </c>
      <c r="S274" s="13">
        <f t="shared" si="273"/>
        <v>168</v>
      </c>
      <c r="T274" s="13">
        <f t="shared" si="274"/>
        <v>0</v>
      </c>
      <c r="U274" s="13">
        <f t="shared" si="275"/>
        <v>4</v>
      </c>
      <c r="V274" s="13">
        <f t="shared" si="283"/>
        <v>398</v>
      </c>
      <c r="W274" s="13" t="str">
        <f t="shared" si="284"/>
        <v>8E</v>
      </c>
      <c r="X274" s="13">
        <f t="shared" si="285"/>
        <v>794</v>
      </c>
      <c r="Y274" s="13" t="str">
        <f t="shared" si="286"/>
        <v>1A</v>
      </c>
      <c r="Z274" s="119"/>
      <c r="AA274" s="119"/>
      <c r="AB274" s="119"/>
      <c r="AC274" s="119"/>
      <c r="AD274" s="119"/>
      <c r="AE274" s="119"/>
      <c r="AF274" s="119"/>
      <c r="AG274" s="119"/>
      <c r="AH274" s="119"/>
      <c r="AJ274" s="64"/>
      <c r="AK274" s="64" t="s">
        <v>2281</v>
      </c>
    </row>
    <row r="275" spans="2:37" ht="17.25">
      <c r="B275" s="122" t="s">
        <v>1934</v>
      </c>
      <c r="C275" s="122" t="str">
        <f t="shared" si="281"/>
        <v>FF02E0A800058F</v>
      </c>
      <c r="D275" s="60" t="s">
        <v>17</v>
      </c>
      <c r="E275" s="60" t="s">
        <v>15</v>
      </c>
      <c r="F275" s="60" t="s">
        <v>1725</v>
      </c>
      <c r="G275" s="60" t="s">
        <v>16</v>
      </c>
      <c r="H275" s="60" t="s">
        <v>92</v>
      </c>
      <c r="I275" s="12" t="str">
        <f t="shared" si="282"/>
        <v>8F</v>
      </c>
      <c r="J275" s="12"/>
      <c r="K275" s="12"/>
      <c r="L275" s="12"/>
      <c r="M275" s="12"/>
      <c r="N275" s="12"/>
      <c r="O275" s="12"/>
      <c r="P275" s="12"/>
      <c r="Q275" s="13">
        <f t="shared" si="271"/>
        <v>2</v>
      </c>
      <c r="R275" s="13">
        <f t="shared" si="272"/>
        <v>224</v>
      </c>
      <c r="S275" s="13">
        <f t="shared" si="273"/>
        <v>168</v>
      </c>
      <c r="T275" s="13">
        <f t="shared" si="274"/>
        <v>0</v>
      </c>
      <c r="U275" s="13">
        <f t="shared" si="275"/>
        <v>5</v>
      </c>
      <c r="V275" s="13">
        <f t="shared" si="283"/>
        <v>399</v>
      </c>
      <c r="W275" s="13" t="str">
        <f t="shared" si="284"/>
        <v>8F</v>
      </c>
      <c r="X275" s="13">
        <f t="shared" si="285"/>
        <v>796</v>
      </c>
      <c r="Y275" s="13" t="str">
        <f t="shared" si="286"/>
        <v>1C</v>
      </c>
      <c r="Z275" s="119"/>
      <c r="AA275" s="119"/>
      <c r="AB275" s="119"/>
      <c r="AC275" s="119"/>
      <c r="AD275" s="119"/>
      <c r="AE275" s="119"/>
      <c r="AF275" s="119"/>
      <c r="AG275" s="119"/>
      <c r="AH275" s="119"/>
      <c r="AJ275" s="64"/>
      <c r="AK275" s="64" t="s">
        <v>2282</v>
      </c>
    </row>
    <row r="276" spans="2:37" ht="17.25">
      <c r="B276" s="122" t="s">
        <v>1935</v>
      </c>
      <c r="C276" s="122" t="str">
        <f t="shared" si="281"/>
        <v>FF02E0A8000690</v>
      </c>
      <c r="D276" s="60" t="s">
        <v>17</v>
      </c>
      <c r="E276" s="60" t="s">
        <v>15</v>
      </c>
      <c r="F276" s="60" t="s">
        <v>1725</v>
      </c>
      <c r="G276" s="60" t="s">
        <v>16</v>
      </c>
      <c r="H276" s="60" t="s">
        <v>100</v>
      </c>
      <c r="I276" s="12" t="str">
        <f t="shared" si="282"/>
        <v>90</v>
      </c>
      <c r="J276" s="12"/>
      <c r="K276" s="12"/>
      <c r="L276" s="12"/>
      <c r="M276" s="12"/>
      <c r="N276" s="12"/>
      <c r="O276" s="12"/>
      <c r="P276" s="12"/>
      <c r="Q276" s="13">
        <f t="shared" si="271"/>
        <v>2</v>
      </c>
      <c r="R276" s="13">
        <f t="shared" si="272"/>
        <v>224</v>
      </c>
      <c r="S276" s="13">
        <f t="shared" si="273"/>
        <v>168</v>
      </c>
      <c r="T276" s="13">
        <f t="shared" si="274"/>
        <v>0</v>
      </c>
      <c r="U276" s="13">
        <f t="shared" si="275"/>
        <v>6</v>
      </c>
      <c r="V276" s="13">
        <f t="shared" si="283"/>
        <v>400</v>
      </c>
      <c r="W276" s="13" t="str">
        <f t="shared" si="284"/>
        <v>90</v>
      </c>
      <c r="X276" s="13">
        <f t="shared" si="285"/>
        <v>798</v>
      </c>
      <c r="Y276" s="13" t="str">
        <f t="shared" si="286"/>
        <v>1E</v>
      </c>
      <c r="Z276" s="119"/>
      <c r="AA276" s="119"/>
      <c r="AB276" s="119"/>
      <c r="AC276" s="119"/>
      <c r="AD276" s="119"/>
      <c r="AE276" s="119"/>
      <c r="AF276" s="119"/>
      <c r="AG276" s="119"/>
      <c r="AH276" s="119"/>
      <c r="AJ276" s="64"/>
      <c r="AK276" s="64" t="s">
        <v>2283</v>
      </c>
    </row>
    <row r="277" spans="2:37" ht="17.25">
      <c r="B277" s="122" t="s">
        <v>1936</v>
      </c>
      <c r="C277" s="122" t="str">
        <f t="shared" si="281"/>
        <v>FF02E0A8000791</v>
      </c>
      <c r="D277" s="60" t="s">
        <v>17</v>
      </c>
      <c r="E277" s="60" t="s">
        <v>15</v>
      </c>
      <c r="F277" s="60" t="s">
        <v>1725</v>
      </c>
      <c r="G277" s="60" t="s">
        <v>16</v>
      </c>
      <c r="H277" s="60" t="s">
        <v>101</v>
      </c>
      <c r="I277" s="12" t="str">
        <f t="shared" si="282"/>
        <v>91</v>
      </c>
      <c r="J277" s="12"/>
      <c r="K277" s="12"/>
      <c r="L277" s="12"/>
      <c r="M277" s="12"/>
      <c r="N277" s="12"/>
      <c r="O277" s="12"/>
      <c r="P277" s="12"/>
      <c r="Q277" s="13">
        <f t="shared" si="271"/>
        <v>2</v>
      </c>
      <c r="R277" s="13">
        <f t="shared" si="272"/>
        <v>224</v>
      </c>
      <c r="S277" s="13">
        <f t="shared" si="273"/>
        <v>168</v>
      </c>
      <c r="T277" s="13">
        <f t="shared" si="274"/>
        <v>0</v>
      </c>
      <c r="U277" s="13">
        <f t="shared" si="275"/>
        <v>7</v>
      </c>
      <c r="V277" s="13">
        <f t="shared" si="283"/>
        <v>401</v>
      </c>
      <c r="W277" s="13" t="str">
        <f t="shared" si="284"/>
        <v>91</v>
      </c>
      <c r="X277" s="13">
        <f t="shared" si="285"/>
        <v>800</v>
      </c>
      <c r="Y277" s="13" t="str">
        <f t="shared" si="286"/>
        <v>20</v>
      </c>
      <c r="Z277" s="119"/>
      <c r="AA277" s="119"/>
      <c r="AB277" s="119"/>
      <c r="AC277" s="119"/>
      <c r="AD277" s="119"/>
      <c r="AE277" s="119"/>
      <c r="AF277" s="119"/>
      <c r="AG277" s="119"/>
      <c r="AH277" s="119"/>
      <c r="AJ277" s="64"/>
      <c r="AK277" s="64" t="s">
        <v>2284</v>
      </c>
    </row>
    <row r="278" spans="2:37" ht="17.25">
      <c r="B278" s="122" t="s">
        <v>1937</v>
      </c>
      <c r="C278" s="122" t="str">
        <f t="shared" si="281"/>
        <v>FF02E0A8000892</v>
      </c>
      <c r="D278" s="60" t="s">
        <v>17</v>
      </c>
      <c r="E278" s="60" t="s">
        <v>15</v>
      </c>
      <c r="F278" s="60" t="s">
        <v>1725</v>
      </c>
      <c r="G278" s="60" t="s">
        <v>16</v>
      </c>
      <c r="H278" s="60" t="s">
        <v>1268</v>
      </c>
      <c r="I278" s="12" t="str">
        <f t="shared" si="282"/>
        <v>92</v>
      </c>
      <c r="J278" s="12"/>
      <c r="K278" s="12"/>
      <c r="L278" s="12"/>
      <c r="M278" s="12"/>
      <c r="N278" s="12"/>
      <c r="O278" s="12"/>
      <c r="P278" s="12"/>
      <c r="Q278" s="13">
        <f t="shared" si="271"/>
        <v>2</v>
      </c>
      <c r="R278" s="13">
        <f t="shared" si="272"/>
        <v>224</v>
      </c>
      <c r="S278" s="13">
        <f t="shared" si="273"/>
        <v>168</v>
      </c>
      <c r="T278" s="13">
        <f t="shared" si="274"/>
        <v>0</v>
      </c>
      <c r="U278" s="13">
        <f t="shared" si="275"/>
        <v>8</v>
      </c>
      <c r="V278" s="13">
        <f t="shared" si="283"/>
        <v>402</v>
      </c>
      <c r="W278" s="13" t="str">
        <f t="shared" si="284"/>
        <v>92</v>
      </c>
      <c r="X278" s="13">
        <f t="shared" si="285"/>
        <v>802</v>
      </c>
      <c r="Y278" s="13" t="str">
        <f t="shared" si="286"/>
        <v>22</v>
      </c>
      <c r="Z278" s="119"/>
      <c r="AA278" s="119"/>
      <c r="AB278" s="119"/>
      <c r="AC278" s="119"/>
      <c r="AD278" s="119"/>
      <c r="AE278" s="119"/>
      <c r="AF278" s="119"/>
      <c r="AG278" s="119"/>
      <c r="AH278" s="119"/>
      <c r="AJ278" s="64"/>
      <c r="AK278" s="64" t="s">
        <v>2285</v>
      </c>
    </row>
    <row r="279" spans="2:37" ht="17.25">
      <c r="B279" s="122" t="s">
        <v>1938</v>
      </c>
      <c r="C279" s="122" t="str">
        <f t="shared" si="281"/>
        <v>FF02E0A8000993</v>
      </c>
      <c r="D279" s="60" t="s">
        <v>17</v>
      </c>
      <c r="E279" s="60" t="s">
        <v>15</v>
      </c>
      <c r="F279" s="60" t="s">
        <v>1725</v>
      </c>
      <c r="G279" s="60" t="s">
        <v>16</v>
      </c>
      <c r="H279" s="60" t="s">
        <v>1520</v>
      </c>
      <c r="I279" s="12" t="str">
        <f t="shared" si="282"/>
        <v>93</v>
      </c>
      <c r="J279" s="12"/>
      <c r="K279" s="12"/>
      <c r="L279" s="12"/>
      <c r="M279" s="12"/>
      <c r="N279" s="12"/>
      <c r="O279" s="12"/>
      <c r="P279" s="12"/>
      <c r="Q279" s="13">
        <f t="shared" si="271"/>
        <v>2</v>
      </c>
      <c r="R279" s="13">
        <f t="shared" si="272"/>
        <v>224</v>
      </c>
      <c r="S279" s="13">
        <f t="shared" si="273"/>
        <v>168</v>
      </c>
      <c r="T279" s="13">
        <f t="shared" si="274"/>
        <v>0</v>
      </c>
      <c r="U279" s="13">
        <f t="shared" si="275"/>
        <v>9</v>
      </c>
      <c r="V279" s="13">
        <f t="shared" si="283"/>
        <v>403</v>
      </c>
      <c r="W279" s="13" t="str">
        <f t="shared" si="284"/>
        <v>93</v>
      </c>
      <c r="X279" s="13">
        <f t="shared" si="285"/>
        <v>804</v>
      </c>
      <c r="Y279" s="13" t="str">
        <f t="shared" si="286"/>
        <v>24</v>
      </c>
      <c r="Z279" s="119"/>
      <c r="AA279" s="119"/>
      <c r="AB279" s="119"/>
      <c r="AC279" s="119"/>
      <c r="AD279" s="119"/>
      <c r="AE279" s="119"/>
      <c r="AF279" s="119"/>
      <c r="AG279" s="119"/>
      <c r="AH279" s="119"/>
      <c r="AJ279" s="64"/>
      <c r="AK279" s="64" t="s">
        <v>2286</v>
      </c>
    </row>
    <row r="280" spans="2:37" ht="17.25">
      <c r="B280" s="122" t="s">
        <v>1939</v>
      </c>
      <c r="C280" s="122" t="str">
        <f t="shared" si="281"/>
        <v>FF02E0A8000A94</v>
      </c>
      <c r="D280" s="60" t="s">
        <v>17</v>
      </c>
      <c r="E280" s="60" t="s">
        <v>15</v>
      </c>
      <c r="F280" s="60" t="s">
        <v>1725</v>
      </c>
      <c r="G280" s="60" t="s">
        <v>16</v>
      </c>
      <c r="H280" s="60" t="s">
        <v>61</v>
      </c>
      <c r="I280" s="12" t="str">
        <f t="shared" si="282"/>
        <v>94</v>
      </c>
      <c r="J280" s="12"/>
      <c r="K280" s="12"/>
      <c r="L280" s="12"/>
      <c r="M280" s="12"/>
      <c r="N280" s="12"/>
      <c r="O280" s="12"/>
      <c r="P280" s="12"/>
      <c r="Q280" s="13">
        <f t="shared" si="271"/>
        <v>2</v>
      </c>
      <c r="R280" s="13">
        <f t="shared" si="272"/>
        <v>224</v>
      </c>
      <c r="S280" s="13">
        <f t="shared" si="273"/>
        <v>168</v>
      </c>
      <c r="T280" s="13">
        <f t="shared" si="274"/>
        <v>0</v>
      </c>
      <c r="U280" s="13">
        <f t="shared" si="275"/>
        <v>10</v>
      </c>
      <c r="V280" s="13">
        <f t="shared" si="283"/>
        <v>404</v>
      </c>
      <c r="W280" s="13" t="str">
        <f t="shared" si="284"/>
        <v>94</v>
      </c>
      <c r="X280" s="13">
        <f t="shared" si="285"/>
        <v>806</v>
      </c>
      <c r="Y280" s="13" t="str">
        <f t="shared" si="286"/>
        <v>26</v>
      </c>
      <c r="Z280" s="119"/>
      <c r="AA280" s="119"/>
      <c r="AB280" s="119"/>
      <c r="AC280" s="119"/>
      <c r="AD280" s="119"/>
      <c r="AE280" s="119"/>
      <c r="AF280" s="119"/>
      <c r="AG280" s="119"/>
      <c r="AH280" s="119"/>
      <c r="AJ280" s="64"/>
      <c r="AK280" s="64" t="s">
        <v>2287</v>
      </c>
    </row>
    <row r="281" spans="2:37" ht="17.25">
      <c r="B281" s="122" t="s">
        <v>1940</v>
      </c>
      <c r="C281" s="122" t="str">
        <f t="shared" si="281"/>
        <v>FF02E0A8000B95</v>
      </c>
      <c r="D281" s="60" t="s">
        <v>17</v>
      </c>
      <c r="E281" s="60" t="s">
        <v>15</v>
      </c>
      <c r="F281" s="60" t="s">
        <v>1725</v>
      </c>
      <c r="G281" s="60" t="s">
        <v>16</v>
      </c>
      <c r="H281" s="60" t="s">
        <v>1713</v>
      </c>
      <c r="I281" s="12" t="str">
        <f t="shared" ref="I281:I291" si="287">W281</f>
        <v>95</v>
      </c>
      <c r="J281" s="12"/>
      <c r="K281" s="12"/>
      <c r="L281" s="12"/>
      <c r="M281" s="12"/>
      <c r="N281" s="12"/>
      <c r="O281" s="12"/>
      <c r="P281" s="12"/>
      <c r="Q281" s="13">
        <f t="shared" si="271"/>
        <v>2</v>
      </c>
      <c r="R281" s="13">
        <f t="shared" si="272"/>
        <v>224</v>
      </c>
      <c r="S281" s="13">
        <f t="shared" si="273"/>
        <v>168</v>
      </c>
      <c r="T281" s="13">
        <f t="shared" si="274"/>
        <v>0</v>
      </c>
      <c r="U281" s="13">
        <f t="shared" si="275"/>
        <v>11</v>
      </c>
      <c r="V281" s="13">
        <f t="shared" ref="V281:V291" si="288">SUM(Q281:U281)</f>
        <v>405</v>
      </c>
      <c r="W281" s="13" t="str">
        <f t="shared" ref="W281:W291" si="289">REPT("0",2-LEN(RIGHT(DEC2HEX(V281), 2)))&amp;RIGHT(DEC2HEX(V281), 2)</f>
        <v>95</v>
      </c>
      <c r="X281" s="13">
        <f t="shared" ref="X281:X291" si="290">SUM(R281:W281)</f>
        <v>808</v>
      </c>
      <c r="Y281" s="13" t="str">
        <f t="shared" ref="Y281:Y291" si="291">REPT("0",2-LEN(RIGHT(DEC2HEX(X281), 2)))&amp;RIGHT(DEC2HEX(X281), 2)</f>
        <v>28</v>
      </c>
      <c r="Z281" s="119"/>
      <c r="AA281" s="119"/>
      <c r="AB281" s="119"/>
      <c r="AC281" s="119"/>
      <c r="AD281" s="119"/>
      <c r="AE281" s="119"/>
      <c r="AF281" s="119"/>
      <c r="AG281" s="119"/>
      <c r="AH281" s="119"/>
      <c r="AJ281" s="64"/>
      <c r="AK281" s="64" t="s">
        <v>2288</v>
      </c>
    </row>
    <row r="282" spans="2:37" ht="17.25">
      <c r="B282" s="122" t="s">
        <v>1941</v>
      </c>
      <c r="C282" s="122" t="str">
        <f t="shared" si="281"/>
        <v>FF02E0A8000C96</v>
      </c>
      <c r="D282" s="60" t="s">
        <v>17</v>
      </c>
      <c r="E282" s="60" t="s">
        <v>15</v>
      </c>
      <c r="F282" s="60" t="s">
        <v>1725</v>
      </c>
      <c r="G282" s="60" t="s">
        <v>16</v>
      </c>
      <c r="H282" s="60" t="s">
        <v>1394</v>
      </c>
      <c r="I282" s="12" t="str">
        <f t="shared" si="287"/>
        <v>96</v>
      </c>
      <c r="J282" s="12"/>
      <c r="K282" s="12"/>
      <c r="L282" s="12"/>
      <c r="M282" s="12"/>
      <c r="N282" s="12"/>
      <c r="O282" s="12"/>
      <c r="P282" s="12"/>
      <c r="Q282" s="13">
        <f t="shared" si="271"/>
        <v>2</v>
      </c>
      <c r="R282" s="13">
        <f t="shared" si="272"/>
        <v>224</v>
      </c>
      <c r="S282" s="13">
        <f t="shared" si="273"/>
        <v>168</v>
      </c>
      <c r="T282" s="13">
        <f t="shared" si="274"/>
        <v>0</v>
      </c>
      <c r="U282" s="13">
        <f t="shared" si="275"/>
        <v>12</v>
      </c>
      <c r="V282" s="13">
        <f t="shared" si="288"/>
        <v>406</v>
      </c>
      <c r="W282" s="13" t="str">
        <f t="shared" si="289"/>
        <v>96</v>
      </c>
      <c r="X282" s="13">
        <f t="shared" si="290"/>
        <v>810</v>
      </c>
      <c r="Y282" s="13" t="str">
        <f t="shared" si="291"/>
        <v>2A</v>
      </c>
      <c r="Z282" s="119"/>
      <c r="AA282" s="119"/>
      <c r="AB282" s="119"/>
      <c r="AC282" s="119"/>
      <c r="AD282" s="119"/>
      <c r="AE282" s="119"/>
      <c r="AF282" s="119"/>
      <c r="AG282" s="119"/>
      <c r="AH282" s="119"/>
      <c r="AJ282" s="64"/>
      <c r="AK282" s="64" t="s">
        <v>2289</v>
      </c>
    </row>
    <row r="283" spans="2:37" ht="17.25">
      <c r="B283" s="122" t="s">
        <v>1942</v>
      </c>
      <c r="C283" s="122" t="str">
        <f t="shared" si="281"/>
        <v>FF02E0A8000D97</v>
      </c>
      <c r="D283" s="60" t="s">
        <v>17</v>
      </c>
      <c r="E283" s="60" t="s">
        <v>15</v>
      </c>
      <c r="F283" s="60" t="s">
        <v>1725</v>
      </c>
      <c r="G283" s="60" t="s">
        <v>16</v>
      </c>
      <c r="H283" s="60" t="s">
        <v>1959</v>
      </c>
      <c r="I283" s="12" t="str">
        <f t="shared" si="287"/>
        <v>97</v>
      </c>
      <c r="J283" s="12"/>
      <c r="K283" s="12"/>
      <c r="L283" s="12"/>
      <c r="M283" s="12"/>
      <c r="N283" s="12"/>
      <c r="O283" s="12"/>
      <c r="P283" s="12"/>
      <c r="Q283" s="13">
        <f t="shared" si="271"/>
        <v>2</v>
      </c>
      <c r="R283" s="13">
        <f t="shared" si="272"/>
        <v>224</v>
      </c>
      <c r="S283" s="13">
        <f t="shared" si="273"/>
        <v>168</v>
      </c>
      <c r="T283" s="13">
        <f t="shared" si="274"/>
        <v>0</v>
      </c>
      <c r="U283" s="13">
        <f t="shared" si="275"/>
        <v>13</v>
      </c>
      <c r="V283" s="13">
        <f t="shared" si="288"/>
        <v>407</v>
      </c>
      <c r="W283" s="13" t="str">
        <f t="shared" si="289"/>
        <v>97</v>
      </c>
      <c r="X283" s="13">
        <f t="shared" si="290"/>
        <v>812</v>
      </c>
      <c r="Y283" s="13" t="str">
        <f t="shared" si="291"/>
        <v>2C</v>
      </c>
      <c r="Z283" s="119"/>
      <c r="AA283" s="119"/>
      <c r="AB283" s="119"/>
      <c r="AC283" s="119"/>
      <c r="AD283" s="119"/>
      <c r="AE283" s="119"/>
      <c r="AF283" s="119"/>
      <c r="AG283" s="119"/>
      <c r="AH283" s="119"/>
      <c r="AJ283" s="64"/>
      <c r="AK283" s="64" t="s">
        <v>2290</v>
      </c>
    </row>
    <row r="284" spans="2:37" ht="17.25">
      <c r="B284" s="122" t="s">
        <v>1943</v>
      </c>
      <c r="C284" s="122" t="str">
        <f t="shared" si="281"/>
        <v>FF02E0A8000E98</v>
      </c>
      <c r="D284" s="60" t="s">
        <v>17</v>
      </c>
      <c r="E284" s="60" t="s">
        <v>15</v>
      </c>
      <c r="F284" s="60" t="s">
        <v>1725</v>
      </c>
      <c r="G284" s="60" t="s">
        <v>16</v>
      </c>
      <c r="H284" s="60" t="s">
        <v>1960</v>
      </c>
      <c r="I284" s="12" t="str">
        <f t="shared" si="287"/>
        <v>98</v>
      </c>
      <c r="J284" s="12"/>
      <c r="K284" s="12"/>
      <c r="L284" s="12"/>
      <c r="M284" s="12"/>
      <c r="N284" s="12"/>
      <c r="O284" s="12"/>
      <c r="P284" s="12"/>
      <c r="Q284" s="13">
        <f t="shared" si="271"/>
        <v>2</v>
      </c>
      <c r="R284" s="13">
        <f t="shared" si="272"/>
        <v>224</v>
      </c>
      <c r="S284" s="13">
        <f t="shared" si="273"/>
        <v>168</v>
      </c>
      <c r="T284" s="13">
        <f t="shared" si="274"/>
        <v>0</v>
      </c>
      <c r="U284" s="13">
        <f t="shared" si="275"/>
        <v>14</v>
      </c>
      <c r="V284" s="13">
        <f t="shared" si="288"/>
        <v>408</v>
      </c>
      <c r="W284" s="13" t="str">
        <f t="shared" si="289"/>
        <v>98</v>
      </c>
      <c r="X284" s="13">
        <f t="shared" si="290"/>
        <v>814</v>
      </c>
      <c r="Y284" s="13" t="str">
        <f t="shared" si="291"/>
        <v>2E</v>
      </c>
      <c r="Z284" s="119"/>
      <c r="AA284" s="119"/>
      <c r="AB284" s="119"/>
      <c r="AC284" s="119"/>
      <c r="AD284" s="119"/>
      <c r="AE284" s="119"/>
      <c r="AF284" s="119"/>
      <c r="AG284" s="119"/>
      <c r="AH284" s="119"/>
      <c r="AJ284" s="64"/>
      <c r="AK284" s="64" t="s">
        <v>2291</v>
      </c>
    </row>
    <row r="285" spans="2:37" ht="17.25">
      <c r="B285" s="122" t="s">
        <v>1944</v>
      </c>
      <c r="C285" s="122" t="str">
        <f t="shared" si="281"/>
        <v>FF02E0A8000F99</v>
      </c>
      <c r="D285" s="60" t="s">
        <v>17</v>
      </c>
      <c r="E285" s="60" t="s">
        <v>15</v>
      </c>
      <c r="F285" s="60" t="s">
        <v>1725</v>
      </c>
      <c r="G285" s="60" t="s">
        <v>16</v>
      </c>
      <c r="H285" s="60" t="s">
        <v>78</v>
      </c>
      <c r="I285" s="12" t="str">
        <f t="shared" si="287"/>
        <v>99</v>
      </c>
      <c r="J285" s="12"/>
      <c r="K285" s="12"/>
      <c r="L285" s="12"/>
      <c r="M285" s="12"/>
      <c r="N285" s="12"/>
      <c r="O285" s="12"/>
      <c r="P285" s="12"/>
      <c r="Q285" s="13">
        <f t="shared" si="271"/>
        <v>2</v>
      </c>
      <c r="R285" s="13">
        <f t="shared" si="272"/>
        <v>224</v>
      </c>
      <c r="S285" s="13">
        <f t="shared" si="273"/>
        <v>168</v>
      </c>
      <c r="T285" s="13">
        <f t="shared" si="274"/>
        <v>0</v>
      </c>
      <c r="U285" s="13">
        <f t="shared" si="275"/>
        <v>15</v>
      </c>
      <c r="V285" s="13">
        <f t="shared" si="288"/>
        <v>409</v>
      </c>
      <c r="W285" s="13" t="str">
        <f t="shared" si="289"/>
        <v>99</v>
      </c>
      <c r="X285" s="13">
        <f t="shared" si="290"/>
        <v>816</v>
      </c>
      <c r="Y285" s="13" t="str">
        <f t="shared" si="291"/>
        <v>30</v>
      </c>
      <c r="Z285" s="119"/>
      <c r="AA285" s="119"/>
      <c r="AB285" s="119"/>
      <c r="AC285" s="119"/>
      <c r="AD285" s="119"/>
      <c r="AE285" s="119"/>
      <c r="AF285" s="119"/>
      <c r="AG285" s="119"/>
      <c r="AH285" s="119"/>
      <c r="AJ285" s="64"/>
      <c r="AK285" s="64" t="s">
        <v>2292</v>
      </c>
    </row>
    <row r="286" spans="2:37" ht="17.25">
      <c r="B286" s="122" t="s">
        <v>1945</v>
      </c>
      <c r="C286" s="122" t="str">
        <f t="shared" si="281"/>
        <v>FF02E0A800109A</v>
      </c>
      <c r="D286" s="60" t="s">
        <v>17</v>
      </c>
      <c r="E286" s="60" t="s">
        <v>15</v>
      </c>
      <c r="F286" s="60" t="s">
        <v>1725</v>
      </c>
      <c r="G286" s="60" t="s">
        <v>16</v>
      </c>
      <c r="H286" s="60" t="s">
        <v>109</v>
      </c>
      <c r="I286" s="12" t="str">
        <f t="shared" si="287"/>
        <v>9A</v>
      </c>
      <c r="J286" s="12"/>
      <c r="K286" s="12"/>
      <c r="L286" s="12"/>
      <c r="M286" s="12"/>
      <c r="N286" s="12"/>
      <c r="O286" s="12"/>
      <c r="P286" s="12"/>
      <c r="Q286" s="13">
        <f t="shared" ref="Q286:Q343" si="292">HEX2DEC(D286)</f>
        <v>2</v>
      </c>
      <c r="R286" s="13">
        <f t="shared" ref="R286:R343" si="293">HEX2DEC(E286)</f>
        <v>224</v>
      </c>
      <c r="S286" s="13">
        <f t="shared" ref="S286:S343" si="294">HEX2DEC(F286)</f>
        <v>168</v>
      </c>
      <c r="T286" s="13">
        <f t="shared" ref="T286:T343" si="295">HEX2DEC(G286)</f>
        <v>0</v>
      </c>
      <c r="U286" s="13">
        <f t="shared" si="275"/>
        <v>16</v>
      </c>
      <c r="V286" s="13">
        <f t="shared" si="288"/>
        <v>410</v>
      </c>
      <c r="W286" s="13" t="str">
        <f t="shared" si="289"/>
        <v>9A</v>
      </c>
      <c r="X286" s="13">
        <f t="shared" si="290"/>
        <v>818</v>
      </c>
      <c r="Y286" s="13" t="str">
        <f t="shared" si="291"/>
        <v>32</v>
      </c>
      <c r="Z286" s="119"/>
      <c r="AA286" s="119"/>
      <c r="AB286" s="119"/>
      <c r="AC286" s="119"/>
      <c r="AD286" s="119"/>
      <c r="AE286" s="119"/>
      <c r="AF286" s="119"/>
      <c r="AG286" s="119"/>
      <c r="AH286" s="119"/>
      <c r="AJ286" s="64"/>
      <c r="AK286" s="64" t="s">
        <v>2293</v>
      </c>
    </row>
    <row r="287" spans="2:37" ht="17.25">
      <c r="B287" s="122" t="s">
        <v>1946</v>
      </c>
      <c r="C287" s="122" t="str">
        <f t="shared" si="281"/>
        <v>FF02E0A800119B</v>
      </c>
      <c r="D287" s="60" t="s">
        <v>17</v>
      </c>
      <c r="E287" s="60" t="s">
        <v>15</v>
      </c>
      <c r="F287" s="60" t="s">
        <v>1725</v>
      </c>
      <c r="G287" s="60" t="s">
        <v>16</v>
      </c>
      <c r="H287" s="60" t="s">
        <v>110</v>
      </c>
      <c r="I287" s="12" t="str">
        <f t="shared" si="287"/>
        <v>9B</v>
      </c>
      <c r="J287" s="12"/>
      <c r="K287" s="12"/>
      <c r="L287" s="12"/>
      <c r="M287" s="12"/>
      <c r="N287" s="12"/>
      <c r="O287" s="12"/>
      <c r="P287" s="12"/>
      <c r="Q287" s="13">
        <f t="shared" si="292"/>
        <v>2</v>
      </c>
      <c r="R287" s="13">
        <f t="shared" si="293"/>
        <v>224</v>
      </c>
      <c r="S287" s="13">
        <f t="shared" si="294"/>
        <v>168</v>
      </c>
      <c r="T287" s="13">
        <f t="shared" si="295"/>
        <v>0</v>
      </c>
      <c r="U287" s="13">
        <f t="shared" ref="U287:U343" si="296">HEX2DEC(H287)</f>
        <v>17</v>
      </c>
      <c r="V287" s="13">
        <f t="shared" si="288"/>
        <v>411</v>
      </c>
      <c r="W287" s="13" t="str">
        <f t="shared" si="289"/>
        <v>9B</v>
      </c>
      <c r="X287" s="13">
        <f t="shared" si="290"/>
        <v>820</v>
      </c>
      <c r="Y287" s="13" t="str">
        <f t="shared" si="291"/>
        <v>34</v>
      </c>
      <c r="Z287" s="119"/>
      <c r="AA287" s="119"/>
      <c r="AB287" s="119"/>
      <c r="AC287" s="119"/>
      <c r="AD287" s="119"/>
      <c r="AE287" s="119"/>
      <c r="AF287" s="119"/>
      <c r="AG287" s="119"/>
      <c r="AH287" s="119"/>
      <c r="AJ287" s="64"/>
      <c r="AK287" s="64" t="s">
        <v>2294</v>
      </c>
    </row>
    <row r="288" spans="2:37" ht="17.25">
      <c r="B288" s="122" t="s">
        <v>1947</v>
      </c>
      <c r="C288" s="122" t="str">
        <f t="shared" si="281"/>
        <v>FF02E0A800129C</v>
      </c>
      <c r="D288" s="60" t="s">
        <v>17</v>
      </c>
      <c r="E288" s="60" t="s">
        <v>15</v>
      </c>
      <c r="F288" s="60" t="s">
        <v>1725</v>
      </c>
      <c r="G288" s="60" t="s">
        <v>16</v>
      </c>
      <c r="H288" s="60" t="s">
        <v>111</v>
      </c>
      <c r="I288" s="12" t="str">
        <f t="shared" si="287"/>
        <v>9C</v>
      </c>
      <c r="J288" s="12"/>
      <c r="K288" s="12"/>
      <c r="L288" s="12"/>
      <c r="M288" s="12"/>
      <c r="N288" s="12"/>
      <c r="O288" s="12"/>
      <c r="P288" s="12"/>
      <c r="Q288" s="13">
        <f t="shared" si="292"/>
        <v>2</v>
      </c>
      <c r="R288" s="13">
        <f t="shared" si="293"/>
        <v>224</v>
      </c>
      <c r="S288" s="13">
        <f t="shared" si="294"/>
        <v>168</v>
      </c>
      <c r="T288" s="13">
        <f t="shared" si="295"/>
        <v>0</v>
      </c>
      <c r="U288" s="13">
        <f t="shared" si="296"/>
        <v>18</v>
      </c>
      <c r="V288" s="13">
        <f t="shared" si="288"/>
        <v>412</v>
      </c>
      <c r="W288" s="13" t="str">
        <f t="shared" si="289"/>
        <v>9C</v>
      </c>
      <c r="X288" s="13">
        <f t="shared" si="290"/>
        <v>822</v>
      </c>
      <c r="Y288" s="13" t="str">
        <f t="shared" si="291"/>
        <v>36</v>
      </c>
      <c r="Z288" s="119"/>
      <c r="AA288" s="119"/>
      <c r="AB288" s="119"/>
      <c r="AC288" s="119"/>
      <c r="AD288" s="119"/>
      <c r="AE288" s="119"/>
      <c r="AF288" s="119"/>
      <c r="AG288" s="119"/>
      <c r="AH288" s="119"/>
      <c r="AJ288" s="64"/>
      <c r="AK288" s="64" t="s">
        <v>2295</v>
      </c>
    </row>
    <row r="289" spans="2:37" ht="17.25">
      <c r="B289" s="122" t="s">
        <v>1948</v>
      </c>
      <c r="C289" s="122" t="str">
        <f t="shared" si="281"/>
        <v>FF02E0A800139D</v>
      </c>
      <c r="D289" s="60" t="s">
        <v>17</v>
      </c>
      <c r="E289" s="60" t="s">
        <v>15</v>
      </c>
      <c r="F289" s="60" t="s">
        <v>1725</v>
      </c>
      <c r="G289" s="60" t="s">
        <v>16</v>
      </c>
      <c r="H289" s="60" t="s">
        <v>116</v>
      </c>
      <c r="I289" s="12" t="str">
        <f t="shared" si="287"/>
        <v>9D</v>
      </c>
      <c r="J289" s="12"/>
      <c r="K289" s="12"/>
      <c r="L289" s="12"/>
      <c r="M289" s="12"/>
      <c r="N289" s="12"/>
      <c r="O289" s="12"/>
      <c r="P289" s="12"/>
      <c r="Q289" s="13">
        <f t="shared" si="292"/>
        <v>2</v>
      </c>
      <c r="R289" s="13">
        <f t="shared" si="293"/>
        <v>224</v>
      </c>
      <c r="S289" s="13">
        <f t="shared" si="294"/>
        <v>168</v>
      </c>
      <c r="T289" s="13">
        <f t="shared" si="295"/>
        <v>0</v>
      </c>
      <c r="U289" s="13">
        <f t="shared" si="296"/>
        <v>19</v>
      </c>
      <c r="V289" s="13">
        <f t="shared" si="288"/>
        <v>413</v>
      </c>
      <c r="W289" s="13" t="str">
        <f t="shared" si="289"/>
        <v>9D</v>
      </c>
      <c r="X289" s="13">
        <f t="shared" si="290"/>
        <v>824</v>
      </c>
      <c r="Y289" s="13" t="str">
        <f t="shared" si="291"/>
        <v>38</v>
      </c>
      <c r="Z289" s="119"/>
      <c r="AA289" s="119"/>
      <c r="AB289" s="119"/>
      <c r="AC289" s="119"/>
      <c r="AD289" s="119"/>
      <c r="AE289" s="119"/>
      <c r="AF289" s="119"/>
      <c r="AG289" s="119"/>
      <c r="AH289" s="119"/>
      <c r="AJ289" s="64"/>
      <c r="AK289" s="64" t="s">
        <v>2296</v>
      </c>
    </row>
    <row r="290" spans="2:37" ht="17.25">
      <c r="B290" s="122" t="s">
        <v>1949</v>
      </c>
      <c r="C290" s="122" t="str">
        <f t="shared" si="281"/>
        <v>FF02E0A800149E</v>
      </c>
      <c r="D290" s="60" t="s">
        <v>17</v>
      </c>
      <c r="E290" s="60" t="s">
        <v>15</v>
      </c>
      <c r="F290" s="60" t="s">
        <v>1725</v>
      </c>
      <c r="G290" s="60" t="s">
        <v>16</v>
      </c>
      <c r="H290" s="60" t="s">
        <v>62</v>
      </c>
      <c r="I290" s="12" t="str">
        <f t="shared" si="287"/>
        <v>9E</v>
      </c>
      <c r="J290" s="12"/>
      <c r="K290" s="12"/>
      <c r="L290" s="12"/>
      <c r="M290" s="12"/>
      <c r="N290" s="12"/>
      <c r="O290" s="12"/>
      <c r="P290" s="12"/>
      <c r="Q290" s="13">
        <f t="shared" si="292"/>
        <v>2</v>
      </c>
      <c r="R290" s="13">
        <f t="shared" si="293"/>
        <v>224</v>
      </c>
      <c r="S290" s="13">
        <f t="shared" si="294"/>
        <v>168</v>
      </c>
      <c r="T290" s="13">
        <f t="shared" si="295"/>
        <v>0</v>
      </c>
      <c r="U290" s="13">
        <f t="shared" si="296"/>
        <v>20</v>
      </c>
      <c r="V290" s="13">
        <f t="shared" si="288"/>
        <v>414</v>
      </c>
      <c r="W290" s="13" t="str">
        <f t="shared" si="289"/>
        <v>9E</v>
      </c>
      <c r="X290" s="13">
        <f t="shared" si="290"/>
        <v>826</v>
      </c>
      <c r="Y290" s="13" t="str">
        <f t="shared" si="291"/>
        <v>3A</v>
      </c>
      <c r="Z290" s="119"/>
      <c r="AA290" s="119"/>
      <c r="AB290" s="119"/>
      <c r="AC290" s="119"/>
      <c r="AD290" s="119"/>
      <c r="AE290" s="119"/>
      <c r="AF290" s="119"/>
      <c r="AG290" s="119"/>
      <c r="AH290" s="119"/>
      <c r="AJ290" s="64"/>
      <c r="AK290" s="64" t="s">
        <v>2297</v>
      </c>
    </row>
    <row r="291" spans="2:37" ht="17.25">
      <c r="B291" s="122" t="s">
        <v>1950</v>
      </c>
      <c r="C291" s="122" t="str">
        <f t="shared" si="281"/>
        <v>FF02E0A800159F</v>
      </c>
      <c r="D291" s="60" t="s">
        <v>17</v>
      </c>
      <c r="E291" s="60" t="s">
        <v>15</v>
      </c>
      <c r="F291" s="60" t="s">
        <v>1725</v>
      </c>
      <c r="G291" s="60" t="s">
        <v>16</v>
      </c>
      <c r="H291" s="60" t="s">
        <v>123</v>
      </c>
      <c r="I291" s="12" t="str">
        <f t="shared" si="287"/>
        <v>9F</v>
      </c>
      <c r="J291" s="12"/>
      <c r="K291" s="12"/>
      <c r="L291" s="12"/>
      <c r="M291" s="12"/>
      <c r="N291" s="12"/>
      <c r="O291" s="12"/>
      <c r="P291" s="12"/>
      <c r="Q291" s="13">
        <f t="shared" si="292"/>
        <v>2</v>
      </c>
      <c r="R291" s="13">
        <f t="shared" si="293"/>
        <v>224</v>
      </c>
      <c r="S291" s="13">
        <f t="shared" si="294"/>
        <v>168</v>
      </c>
      <c r="T291" s="13">
        <f t="shared" si="295"/>
        <v>0</v>
      </c>
      <c r="U291" s="13">
        <f t="shared" si="296"/>
        <v>21</v>
      </c>
      <c r="V291" s="13">
        <f t="shared" si="288"/>
        <v>415</v>
      </c>
      <c r="W291" s="13" t="str">
        <f t="shared" si="289"/>
        <v>9F</v>
      </c>
      <c r="X291" s="13">
        <f t="shared" si="290"/>
        <v>828</v>
      </c>
      <c r="Y291" s="13" t="str">
        <f t="shared" si="291"/>
        <v>3C</v>
      </c>
      <c r="Z291" s="119"/>
      <c r="AA291" s="119"/>
      <c r="AB291" s="119"/>
      <c r="AC291" s="119"/>
      <c r="AD291" s="119"/>
      <c r="AE291" s="119"/>
      <c r="AF291" s="119"/>
      <c r="AG291" s="119"/>
      <c r="AH291" s="119"/>
      <c r="AJ291" s="64"/>
      <c r="AK291" s="64" t="s">
        <v>2298</v>
      </c>
    </row>
    <row r="292" spans="2:37" ht="17.25">
      <c r="B292" s="122" t="s">
        <v>1951</v>
      </c>
      <c r="C292" s="122" t="str">
        <f t="shared" si="281"/>
        <v>FF02E0A80016A0</v>
      </c>
      <c r="D292" s="60" t="s">
        <v>17</v>
      </c>
      <c r="E292" s="60" t="s">
        <v>15</v>
      </c>
      <c r="F292" s="60" t="s">
        <v>1725</v>
      </c>
      <c r="G292" s="60" t="s">
        <v>16</v>
      </c>
      <c r="H292" s="60" t="s">
        <v>127</v>
      </c>
      <c r="I292" s="12" t="str">
        <f t="shared" ref="I292" si="297">W292</f>
        <v>A0</v>
      </c>
      <c r="J292" s="12"/>
      <c r="K292" s="12"/>
      <c r="L292" s="12"/>
      <c r="M292" s="12"/>
      <c r="N292" s="12"/>
      <c r="O292" s="12"/>
      <c r="P292" s="12"/>
      <c r="Q292" s="13">
        <f t="shared" si="292"/>
        <v>2</v>
      </c>
      <c r="R292" s="13">
        <f t="shared" si="293"/>
        <v>224</v>
      </c>
      <c r="S292" s="13">
        <f t="shared" si="294"/>
        <v>168</v>
      </c>
      <c r="T292" s="13">
        <f t="shared" si="295"/>
        <v>0</v>
      </c>
      <c r="U292" s="13">
        <f t="shared" si="296"/>
        <v>22</v>
      </c>
      <c r="V292" s="13">
        <f t="shared" ref="V292" si="298">SUM(Q292:U292)</f>
        <v>416</v>
      </c>
      <c r="W292" s="13" t="str">
        <f t="shared" ref="W292" si="299">REPT("0",2-LEN(RIGHT(DEC2HEX(V292), 2)))&amp;RIGHT(DEC2HEX(V292), 2)</f>
        <v>A0</v>
      </c>
      <c r="X292" s="13">
        <f t="shared" ref="X292" si="300">SUM(R292:W292)</f>
        <v>830</v>
      </c>
      <c r="Y292" s="13" t="str">
        <f t="shared" ref="Y292" si="301">REPT("0",2-LEN(RIGHT(DEC2HEX(X292), 2)))&amp;RIGHT(DEC2HEX(X292), 2)</f>
        <v>3E</v>
      </c>
      <c r="Z292" s="119"/>
      <c r="AA292" s="119"/>
      <c r="AB292" s="119"/>
      <c r="AC292" s="119"/>
      <c r="AD292" s="119"/>
      <c r="AE292" s="119"/>
      <c r="AF292" s="119"/>
      <c r="AG292" s="119"/>
      <c r="AH292" s="119"/>
      <c r="AJ292" s="64"/>
      <c r="AK292" s="64" t="s">
        <v>2299</v>
      </c>
    </row>
    <row r="293" spans="2:37" s="126" customFormat="1" ht="16.5" customHeight="1">
      <c r="B293" s="122" t="s">
        <v>1863</v>
      </c>
      <c r="C293" s="122" t="s">
        <v>1614</v>
      </c>
      <c r="D293" s="123" t="s">
        <v>91</v>
      </c>
      <c r="E293" s="123"/>
      <c r="F293" s="123"/>
      <c r="G293" s="123"/>
      <c r="H293" s="123"/>
      <c r="I293" s="122" t="str">
        <f t="shared" si="276"/>
        <v>03</v>
      </c>
      <c r="J293" s="122"/>
      <c r="K293" s="122"/>
      <c r="L293" s="122"/>
      <c r="M293" s="122"/>
      <c r="N293" s="122"/>
      <c r="O293" s="122"/>
      <c r="P293" s="122"/>
      <c r="Q293" s="124">
        <f t="shared" si="292"/>
        <v>3</v>
      </c>
      <c r="R293" s="124">
        <f t="shared" si="293"/>
        <v>0</v>
      </c>
      <c r="S293" s="124">
        <f t="shared" si="294"/>
        <v>0</v>
      </c>
      <c r="T293" s="124">
        <f t="shared" si="295"/>
        <v>0</v>
      </c>
      <c r="U293" s="124">
        <f t="shared" si="296"/>
        <v>0</v>
      </c>
      <c r="V293" s="124">
        <f t="shared" si="277"/>
        <v>3</v>
      </c>
      <c r="W293" s="124" t="str">
        <f t="shared" si="278"/>
        <v>03</v>
      </c>
      <c r="X293" s="124">
        <f t="shared" si="279"/>
        <v>3</v>
      </c>
      <c r="Y293" s="124" t="str">
        <f t="shared" si="280"/>
        <v>03</v>
      </c>
      <c r="Z293" s="125"/>
      <c r="AA293" s="125"/>
      <c r="AB293" s="125"/>
      <c r="AC293" s="125"/>
      <c r="AD293" s="125"/>
      <c r="AE293" s="125"/>
      <c r="AF293" s="125"/>
      <c r="AG293" s="125"/>
      <c r="AH293" s="125"/>
      <c r="AJ293" s="127"/>
      <c r="AK293" s="127" t="s">
        <v>1613</v>
      </c>
    </row>
    <row r="294" spans="2:37" ht="16.5" customHeight="1">
      <c r="B294" s="122" t="s">
        <v>1864</v>
      </c>
      <c r="C294" s="122" t="str">
        <f t="shared" ref="C294:C337" si="302">"FF"&amp;D294&amp;E294&amp;""&amp;F294&amp;G294&amp;H294&amp;I294</f>
        <v>FF03E130000014</v>
      </c>
      <c r="D294" s="60" t="s">
        <v>91</v>
      </c>
      <c r="E294" s="60" t="s">
        <v>161</v>
      </c>
      <c r="F294" s="60" t="s">
        <v>172</v>
      </c>
      <c r="G294" s="60" t="s">
        <v>16</v>
      </c>
      <c r="H294" s="60" t="s">
        <v>16</v>
      </c>
      <c r="I294" s="12" t="str">
        <f t="shared" si="276"/>
        <v>14</v>
      </c>
      <c r="J294" s="12"/>
      <c r="K294" s="12"/>
      <c r="L294" s="12"/>
      <c r="M294" s="12"/>
      <c r="N294" s="12"/>
      <c r="O294" s="12"/>
      <c r="P294" s="12"/>
      <c r="Q294" s="13">
        <f t="shared" si="292"/>
        <v>3</v>
      </c>
      <c r="R294" s="13">
        <f t="shared" si="293"/>
        <v>225</v>
      </c>
      <c r="S294" s="13">
        <f t="shared" si="294"/>
        <v>48</v>
      </c>
      <c r="T294" s="13">
        <f t="shared" si="295"/>
        <v>0</v>
      </c>
      <c r="U294" s="13">
        <f t="shared" si="296"/>
        <v>0</v>
      </c>
      <c r="V294" s="13">
        <f t="shared" si="277"/>
        <v>276</v>
      </c>
      <c r="W294" s="13" t="str">
        <f t="shared" si="278"/>
        <v>14</v>
      </c>
      <c r="X294" s="13">
        <f t="shared" si="279"/>
        <v>549</v>
      </c>
      <c r="Y294" s="13" t="str">
        <f t="shared" si="280"/>
        <v>25</v>
      </c>
      <c r="Z294" s="119"/>
      <c r="AA294" s="119"/>
      <c r="AB294" s="119"/>
      <c r="AC294" s="119"/>
      <c r="AD294" s="119"/>
      <c r="AE294" s="119"/>
      <c r="AF294" s="119"/>
      <c r="AG294" s="119"/>
      <c r="AH294" s="119"/>
      <c r="AJ294" s="64"/>
      <c r="AK294" s="64" t="s">
        <v>2300</v>
      </c>
    </row>
    <row r="295" spans="2:37" ht="16.5" customHeight="1">
      <c r="B295" s="122" t="s">
        <v>1865</v>
      </c>
      <c r="C295" s="122" t="str">
        <f t="shared" si="302"/>
        <v>FF03E031000115</v>
      </c>
      <c r="D295" s="60" t="s">
        <v>91</v>
      </c>
      <c r="E295" s="60" t="s">
        <v>15</v>
      </c>
      <c r="F295" s="60" t="s">
        <v>1906</v>
      </c>
      <c r="G295" s="60" t="s">
        <v>16</v>
      </c>
      <c r="H295" s="60" t="s">
        <v>24</v>
      </c>
      <c r="I295" s="12" t="str">
        <f t="shared" si="276"/>
        <v>15</v>
      </c>
      <c r="J295" s="12"/>
      <c r="K295" s="12"/>
      <c r="L295" s="12"/>
      <c r="M295" s="12"/>
      <c r="N295" s="12"/>
      <c r="O295" s="12"/>
      <c r="P295" s="12"/>
      <c r="Q295" s="13">
        <f t="shared" si="292"/>
        <v>3</v>
      </c>
      <c r="R295" s="13">
        <f t="shared" si="293"/>
        <v>224</v>
      </c>
      <c r="S295" s="13">
        <f t="shared" si="294"/>
        <v>49</v>
      </c>
      <c r="T295" s="13">
        <f t="shared" si="295"/>
        <v>0</v>
      </c>
      <c r="U295" s="13">
        <f t="shared" si="296"/>
        <v>1</v>
      </c>
      <c r="V295" s="13">
        <f t="shared" si="277"/>
        <v>277</v>
      </c>
      <c r="W295" s="13" t="str">
        <f t="shared" si="278"/>
        <v>15</v>
      </c>
      <c r="X295" s="13">
        <f t="shared" si="279"/>
        <v>551</v>
      </c>
      <c r="Y295" s="13" t="str">
        <f t="shared" si="280"/>
        <v>27</v>
      </c>
      <c r="Z295" s="119"/>
      <c r="AA295" s="119"/>
      <c r="AB295" s="119"/>
      <c r="AC295" s="119"/>
      <c r="AD295" s="119"/>
      <c r="AE295" s="119"/>
      <c r="AF295" s="119"/>
      <c r="AG295" s="119"/>
      <c r="AH295" s="119"/>
      <c r="AJ295" s="64"/>
      <c r="AK295" s="64" t="s">
        <v>2301</v>
      </c>
    </row>
    <row r="296" spans="2:37" ht="16.5" customHeight="1">
      <c r="B296" s="122" t="s">
        <v>1867</v>
      </c>
      <c r="C296" s="122" t="str">
        <f t="shared" si="302"/>
        <v>FF03E031000216</v>
      </c>
      <c r="D296" s="60" t="s">
        <v>91</v>
      </c>
      <c r="E296" s="60" t="s">
        <v>15</v>
      </c>
      <c r="F296" s="60" t="s">
        <v>1906</v>
      </c>
      <c r="G296" s="60" t="s">
        <v>16</v>
      </c>
      <c r="H296" s="60" t="s">
        <v>17</v>
      </c>
      <c r="I296" s="12" t="str">
        <f t="shared" si="276"/>
        <v>16</v>
      </c>
      <c r="J296" s="12"/>
      <c r="K296" s="12"/>
      <c r="L296" s="12"/>
      <c r="M296" s="12"/>
      <c r="N296" s="12"/>
      <c r="O296" s="12"/>
      <c r="P296" s="12"/>
      <c r="Q296" s="13">
        <f t="shared" si="292"/>
        <v>3</v>
      </c>
      <c r="R296" s="13">
        <f t="shared" si="293"/>
        <v>224</v>
      </c>
      <c r="S296" s="13">
        <f t="shared" si="294"/>
        <v>49</v>
      </c>
      <c r="T296" s="13">
        <f t="shared" si="295"/>
        <v>0</v>
      </c>
      <c r="U296" s="13">
        <f t="shared" si="296"/>
        <v>2</v>
      </c>
      <c r="V296" s="13">
        <f t="shared" si="277"/>
        <v>278</v>
      </c>
      <c r="W296" s="13" t="str">
        <f t="shared" si="278"/>
        <v>16</v>
      </c>
      <c r="X296" s="13">
        <f t="shared" si="279"/>
        <v>553</v>
      </c>
      <c r="Y296" s="13" t="str">
        <f t="shared" si="280"/>
        <v>29</v>
      </c>
      <c r="Z296" s="119"/>
      <c r="AA296" s="119"/>
      <c r="AB296" s="119"/>
      <c r="AC296" s="119"/>
      <c r="AD296" s="119"/>
      <c r="AE296" s="119"/>
      <c r="AF296" s="119"/>
      <c r="AG296" s="119"/>
      <c r="AH296" s="119"/>
      <c r="AJ296" s="64"/>
      <c r="AK296" s="64" t="s">
        <v>2302</v>
      </c>
    </row>
    <row r="297" spans="2:37" ht="16.5" customHeight="1">
      <c r="B297" s="122" t="s">
        <v>1866</v>
      </c>
      <c r="C297" s="122" t="str">
        <f t="shared" si="302"/>
        <v>FF03E031000317</v>
      </c>
      <c r="D297" s="60" t="s">
        <v>91</v>
      </c>
      <c r="E297" s="60" t="s">
        <v>15</v>
      </c>
      <c r="F297" s="60" t="s">
        <v>1906</v>
      </c>
      <c r="G297" s="60" t="s">
        <v>16</v>
      </c>
      <c r="H297" s="60" t="s">
        <v>91</v>
      </c>
      <c r="I297" s="12" t="str">
        <f t="shared" ref="I297:I317" si="303">W297</f>
        <v>17</v>
      </c>
      <c r="J297" s="12"/>
      <c r="K297" s="12"/>
      <c r="L297" s="12"/>
      <c r="M297" s="12"/>
      <c r="N297" s="12"/>
      <c r="O297" s="12"/>
      <c r="P297" s="12"/>
      <c r="Q297" s="13">
        <f t="shared" si="292"/>
        <v>3</v>
      </c>
      <c r="R297" s="13">
        <f t="shared" si="293"/>
        <v>224</v>
      </c>
      <c r="S297" s="13">
        <f t="shared" si="294"/>
        <v>49</v>
      </c>
      <c r="T297" s="13">
        <f t="shared" si="295"/>
        <v>0</v>
      </c>
      <c r="U297" s="13">
        <f t="shared" si="296"/>
        <v>3</v>
      </c>
      <c r="V297" s="13">
        <f t="shared" ref="V297:V317" si="304">SUM(Q297:U297)</f>
        <v>279</v>
      </c>
      <c r="W297" s="13" t="str">
        <f t="shared" ref="W297:W317" si="305">REPT("0",2-LEN(RIGHT(DEC2HEX(V297), 2)))&amp;RIGHT(DEC2HEX(V297), 2)</f>
        <v>17</v>
      </c>
      <c r="X297" s="13">
        <f t="shared" ref="X297:X317" si="306">SUM(R297:W297)</f>
        <v>555</v>
      </c>
      <c r="Y297" s="13" t="str">
        <f t="shared" ref="Y297:Y317" si="307">REPT("0",2-LEN(RIGHT(DEC2HEX(X297), 2)))&amp;RIGHT(DEC2HEX(X297), 2)</f>
        <v>2B</v>
      </c>
      <c r="Z297" s="119"/>
      <c r="AA297" s="119"/>
      <c r="AB297" s="119"/>
      <c r="AC297" s="119"/>
      <c r="AD297" s="119"/>
      <c r="AE297" s="119"/>
      <c r="AF297" s="119"/>
      <c r="AG297" s="119"/>
      <c r="AH297" s="119"/>
      <c r="AJ297" s="64"/>
      <c r="AK297" s="64" t="s">
        <v>2303</v>
      </c>
    </row>
    <row r="298" spans="2:37" ht="17.25">
      <c r="B298" s="122" t="s">
        <v>1868</v>
      </c>
      <c r="C298" s="122" t="str">
        <f t="shared" si="302"/>
        <v>FF03E03200051A</v>
      </c>
      <c r="D298" s="60" t="s">
        <v>91</v>
      </c>
      <c r="E298" s="60" t="s">
        <v>15</v>
      </c>
      <c r="F298" s="60" t="s">
        <v>1330</v>
      </c>
      <c r="G298" s="60" t="s">
        <v>16</v>
      </c>
      <c r="H298" s="60" t="s">
        <v>92</v>
      </c>
      <c r="I298" s="12" t="str">
        <f t="shared" si="303"/>
        <v>1A</v>
      </c>
      <c r="J298" s="12"/>
      <c r="K298" s="12"/>
      <c r="L298" s="12"/>
      <c r="M298" s="12"/>
      <c r="N298" s="12"/>
      <c r="O298" s="12"/>
      <c r="P298" s="12"/>
      <c r="Q298" s="13">
        <f t="shared" si="292"/>
        <v>3</v>
      </c>
      <c r="R298" s="13">
        <f t="shared" si="293"/>
        <v>224</v>
      </c>
      <c r="S298" s="13">
        <f t="shared" si="294"/>
        <v>50</v>
      </c>
      <c r="T298" s="13">
        <f t="shared" si="295"/>
        <v>0</v>
      </c>
      <c r="U298" s="13">
        <f t="shared" si="296"/>
        <v>5</v>
      </c>
      <c r="V298" s="13">
        <f t="shared" si="304"/>
        <v>282</v>
      </c>
      <c r="W298" s="13" t="str">
        <f t="shared" si="305"/>
        <v>1A</v>
      </c>
      <c r="X298" s="13">
        <f t="shared" si="306"/>
        <v>561</v>
      </c>
      <c r="Y298" s="13" t="str">
        <f t="shared" si="307"/>
        <v>31</v>
      </c>
      <c r="Z298" s="119"/>
      <c r="AA298" s="119"/>
      <c r="AB298" s="119"/>
      <c r="AC298" s="119"/>
      <c r="AD298" s="119"/>
      <c r="AE298" s="119"/>
      <c r="AF298" s="119"/>
      <c r="AG298" s="119"/>
      <c r="AH298" s="119"/>
      <c r="AJ298" s="64"/>
      <c r="AK298" s="64" t="s">
        <v>2304</v>
      </c>
    </row>
    <row r="299" spans="2:37" ht="17.25">
      <c r="B299" s="122" t="s">
        <v>1869</v>
      </c>
      <c r="C299" s="122" t="str">
        <f t="shared" si="302"/>
        <v>FF03E032003C51</v>
      </c>
      <c r="D299" s="60" t="s">
        <v>91</v>
      </c>
      <c r="E299" s="60" t="s">
        <v>15</v>
      </c>
      <c r="F299" s="60" t="s">
        <v>1330</v>
      </c>
      <c r="G299" s="60" t="s">
        <v>16</v>
      </c>
      <c r="H299" s="60" t="s">
        <v>1325</v>
      </c>
      <c r="I299" s="12" t="str">
        <f t="shared" si="303"/>
        <v>51</v>
      </c>
      <c r="J299" s="12"/>
      <c r="K299" s="12"/>
      <c r="L299" s="12"/>
      <c r="M299" s="12"/>
      <c r="N299" s="12"/>
      <c r="O299" s="12"/>
      <c r="P299" s="12"/>
      <c r="Q299" s="13">
        <f t="shared" si="292"/>
        <v>3</v>
      </c>
      <c r="R299" s="13">
        <f t="shared" si="293"/>
        <v>224</v>
      </c>
      <c r="S299" s="13">
        <f t="shared" si="294"/>
        <v>50</v>
      </c>
      <c r="T299" s="13">
        <f t="shared" si="295"/>
        <v>0</v>
      </c>
      <c r="U299" s="13">
        <f t="shared" si="296"/>
        <v>60</v>
      </c>
      <c r="V299" s="13">
        <f t="shared" si="304"/>
        <v>337</v>
      </c>
      <c r="W299" s="13" t="str">
        <f t="shared" si="305"/>
        <v>51</v>
      </c>
      <c r="X299" s="13">
        <f t="shared" si="306"/>
        <v>671</v>
      </c>
      <c r="Y299" s="13" t="str">
        <f t="shared" si="307"/>
        <v>9F</v>
      </c>
      <c r="Z299" s="119"/>
      <c r="AA299" s="119"/>
      <c r="AB299" s="119"/>
      <c r="AC299" s="119"/>
      <c r="AD299" s="119"/>
      <c r="AE299" s="119"/>
      <c r="AF299" s="119"/>
      <c r="AG299" s="119"/>
      <c r="AH299" s="119"/>
      <c r="AJ299" s="64"/>
      <c r="AK299" s="64" t="s">
        <v>2305</v>
      </c>
    </row>
    <row r="300" spans="2:37" ht="16.5" customHeight="1">
      <c r="B300" s="122" t="s">
        <v>1870</v>
      </c>
      <c r="C300" s="122" t="str">
        <f t="shared" si="302"/>
        <v>FF03E033000016</v>
      </c>
      <c r="D300" s="60" t="s">
        <v>91</v>
      </c>
      <c r="E300" s="60" t="s">
        <v>15</v>
      </c>
      <c r="F300" s="60" t="s">
        <v>1853</v>
      </c>
      <c r="G300" s="60" t="s">
        <v>16</v>
      </c>
      <c r="H300" s="60" t="s">
        <v>16</v>
      </c>
      <c r="I300" s="12" t="str">
        <f t="shared" si="303"/>
        <v>16</v>
      </c>
      <c r="J300" s="12"/>
      <c r="K300" s="12"/>
      <c r="L300" s="12"/>
      <c r="M300" s="12"/>
      <c r="N300" s="12"/>
      <c r="O300" s="12"/>
      <c r="P300" s="12"/>
      <c r="Q300" s="13">
        <f t="shared" si="292"/>
        <v>3</v>
      </c>
      <c r="R300" s="13">
        <f t="shared" si="293"/>
        <v>224</v>
      </c>
      <c r="S300" s="13">
        <f t="shared" si="294"/>
        <v>51</v>
      </c>
      <c r="T300" s="13">
        <f t="shared" si="295"/>
        <v>0</v>
      </c>
      <c r="U300" s="13">
        <f t="shared" si="296"/>
        <v>0</v>
      </c>
      <c r="V300" s="13">
        <f t="shared" si="304"/>
        <v>278</v>
      </c>
      <c r="W300" s="13" t="str">
        <f t="shared" si="305"/>
        <v>16</v>
      </c>
      <c r="X300" s="13">
        <f t="shared" si="306"/>
        <v>553</v>
      </c>
      <c r="Y300" s="13" t="str">
        <f t="shared" si="307"/>
        <v>29</v>
      </c>
      <c r="Z300" s="119"/>
      <c r="AA300" s="119"/>
      <c r="AB300" s="119"/>
      <c r="AC300" s="119"/>
      <c r="AD300" s="119"/>
      <c r="AE300" s="119"/>
      <c r="AF300" s="119"/>
      <c r="AG300" s="119"/>
      <c r="AH300" s="119"/>
      <c r="AJ300" s="64"/>
      <c r="AK300" s="64" t="s">
        <v>2306</v>
      </c>
    </row>
    <row r="301" spans="2:37" ht="16.5" customHeight="1">
      <c r="B301" s="122" t="s">
        <v>1871</v>
      </c>
      <c r="C301" s="122" t="str">
        <f t="shared" si="302"/>
        <v>FF03E033000117</v>
      </c>
      <c r="D301" s="60" t="s">
        <v>91</v>
      </c>
      <c r="E301" s="60" t="s">
        <v>15</v>
      </c>
      <c r="F301" s="60" t="s">
        <v>1853</v>
      </c>
      <c r="G301" s="60" t="s">
        <v>16</v>
      </c>
      <c r="H301" s="60" t="s">
        <v>24</v>
      </c>
      <c r="I301" s="12" t="str">
        <f t="shared" si="303"/>
        <v>17</v>
      </c>
      <c r="J301" s="12"/>
      <c r="K301" s="12"/>
      <c r="L301" s="12"/>
      <c r="M301" s="12"/>
      <c r="N301" s="12"/>
      <c r="O301" s="12"/>
      <c r="P301" s="12"/>
      <c r="Q301" s="13">
        <f t="shared" si="292"/>
        <v>3</v>
      </c>
      <c r="R301" s="13">
        <f t="shared" si="293"/>
        <v>224</v>
      </c>
      <c r="S301" s="13">
        <f t="shared" si="294"/>
        <v>51</v>
      </c>
      <c r="T301" s="13">
        <f t="shared" si="295"/>
        <v>0</v>
      </c>
      <c r="U301" s="13">
        <f t="shared" si="296"/>
        <v>1</v>
      </c>
      <c r="V301" s="13">
        <f t="shared" si="304"/>
        <v>279</v>
      </c>
      <c r="W301" s="13" t="str">
        <f t="shared" si="305"/>
        <v>17</v>
      </c>
      <c r="X301" s="13">
        <f t="shared" si="306"/>
        <v>555</v>
      </c>
      <c r="Y301" s="13" t="str">
        <f t="shared" si="307"/>
        <v>2B</v>
      </c>
      <c r="Z301" s="119"/>
      <c r="AA301" s="119"/>
      <c r="AB301" s="119"/>
      <c r="AC301" s="119"/>
      <c r="AD301" s="119"/>
      <c r="AE301" s="119"/>
      <c r="AF301" s="119"/>
      <c r="AG301" s="119"/>
      <c r="AH301" s="119"/>
      <c r="AJ301" s="64"/>
      <c r="AK301" s="64" t="s">
        <v>2307</v>
      </c>
    </row>
    <row r="302" spans="2:37" ht="16.5" customHeight="1">
      <c r="B302" s="122" t="s">
        <v>1872</v>
      </c>
      <c r="C302" s="122" t="str">
        <f t="shared" si="302"/>
        <v>FF03E033000218</v>
      </c>
      <c r="D302" s="60" t="s">
        <v>91</v>
      </c>
      <c r="E302" s="60" t="s">
        <v>15</v>
      </c>
      <c r="F302" s="60" t="s">
        <v>1853</v>
      </c>
      <c r="G302" s="60" t="s">
        <v>16</v>
      </c>
      <c r="H302" s="60" t="s">
        <v>17</v>
      </c>
      <c r="I302" s="12" t="str">
        <f t="shared" si="303"/>
        <v>18</v>
      </c>
      <c r="J302" s="12"/>
      <c r="K302" s="12"/>
      <c r="L302" s="12"/>
      <c r="M302" s="12"/>
      <c r="N302" s="12"/>
      <c r="O302" s="12"/>
      <c r="P302" s="12"/>
      <c r="Q302" s="13">
        <f t="shared" si="292"/>
        <v>3</v>
      </c>
      <c r="R302" s="13">
        <f t="shared" si="293"/>
        <v>224</v>
      </c>
      <c r="S302" s="13">
        <f t="shared" si="294"/>
        <v>51</v>
      </c>
      <c r="T302" s="13">
        <f t="shared" si="295"/>
        <v>0</v>
      </c>
      <c r="U302" s="13">
        <f t="shared" si="296"/>
        <v>2</v>
      </c>
      <c r="V302" s="13">
        <f t="shared" si="304"/>
        <v>280</v>
      </c>
      <c r="W302" s="13" t="str">
        <f t="shared" si="305"/>
        <v>18</v>
      </c>
      <c r="X302" s="13">
        <f t="shared" si="306"/>
        <v>557</v>
      </c>
      <c r="Y302" s="13" t="str">
        <f t="shared" si="307"/>
        <v>2D</v>
      </c>
      <c r="Z302" s="119"/>
      <c r="AA302" s="119"/>
      <c r="AB302" s="119"/>
      <c r="AC302" s="119"/>
      <c r="AD302" s="119"/>
      <c r="AE302" s="119"/>
      <c r="AF302" s="119"/>
      <c r="AG302" s="119"/>
      <c r="AH302" s="119"/>
      <c r="AJ302" s="64"/>
      <c r="AK302" s="64" t="s">
        <v>2308</v>
      </c>
    </row>
    <row r="303" spans="2:37" ht="17.25">
      <c r="B303" s="122" t="s">
        <v>1873</v>
      </c>
      <c r="C303" s="122" t="str">
        <f t="shared" si="302"/>
        <v>FF03E033000319</v>
      </c>
      <c r="D303" s="60" t="s">
        <v>91</v>
      </c>
      <c r="E303" s="60" t="s">
        <v>15</v>
      </c>
      <c r="F303" s="60" t="s">
        <v>1853</v>
      </c>
      <c r="G303" s="60" t="s">
        <v>16</v>
      </c>
      <c r="H303" s="60" t="s">
        <v>91</v>
      </c>
      <c r="I303" s="12" t="str">
        <f t="shared" si="303"/>
        <v>19</v>
      </c>
      <c r="J303" s="12"/>
      <c r="K303" s="12"/>
      <c r="L303" s="12"/>
      <c r="M303" s="12"/>
      <c r="N303" s="12"/>
      <c r="O303" s="12"/>
      <c r="P303" s="12"/>
      <c r="Q303" s="13">
        <f t="shared" si="292"/>
        <v>3</v>
      </c>
      <c r="R303" s="13">
        <f t="shared" si="293"/>
        <v>224</v>
      </c>
      <c r="S303" s="13">
        <f t="shared" si="294"/>
        <v>51</v>
      </c>
      <c r="T303" s="13">
        <f t="shared" si="295"/>
        <v>0</v>
      </c>
      <c r="U303" s="13">
        <f t="shared" si="296"/>
        <v>3</v>
      </c>
      <c r="V303" s="13">
        <f t="shared" si="304"/>
        <v>281</v>
      </c>
      <c r="W303" s="13" t="str">
        <f t="shared" si="305"/>
        <v>19</v>
      </c>
      <c r="X303" s="13">
        <f t="shared" si="306"/>
        <v>559</v>
      </c>
      <c r="Y303" s="13" t="str">
        <f t="shared" si="307"/>
        <v>2F</v>
      </c>
      <c r="Z303" s="119"/>
      <c r="AA303" s="119"/>
      <c r="AB303" s="119"/>
      <c r="AC303" s="119"/>
      <c r="AD303" s="119"/>
      <c r="AE303" s="119"/>
      <c r="AF303" s="119"/>
      <c r="AG303" s="119"/>
      <c r="AH303" s="119"/>
      <c r="AJ303" s="64"/>
      <c r="AK303" s="64" t="s">
        <v>2309</v>
      </c>
    </row>
    <row r="304" spans="2:37" ht="17.25">
      <c r="B304" s="122" t="s">
        <v>1874</v>
      </c>
      <c r="C304" s="122" t="str">
        <f t="shared" si="302"/>
        <v>FF03E03300041A</v>
      </c>
      <c r="D304" s="60" t="s">
        <v>91</v>
      </c>
      <c r="E304" s="60" t="s">
        <v>15</v>
      </c>
      <c r="F304" s="60" t="s">
        <v>1853</v>
      </c>
      <c r="G304" s="60" t="s">
        <v>16</v>
      </c>
      <c r="H304" s="60" t="s">
        <v>67</v>
      </c>
      <c r="I304" s="12" t="str">
        <f t="shared" si="303"/>
        <v>1A</v>
      </c>
      <c r="J304" s="12"/>
      <c r="K304" s="12"/>
      <c r="L304" s="12"/>
      <c r="M304" s="12"/>
      <c r="N304" s="12"/>
      <c r="O304" s="12"/>
      <c r="P304" s="12"/>
      <c r="Q304" s="13">
        <f t="shared" si="292"/>
        <v>3</v>
      </c>
      <c r="R304" s="13">
        <f t="shared" si="293"/>
        <v>224</v>
      </c>
      <c r="S304" s="13">
        <f t="shared" si="294"/>
        <v>51</v>
      </c>
      <c r="T304" s="13">
        <f t="shared" si="295"/>
        <v>0</v>
      </c>
      <c r="U304" s="13">
        <f t="shared" si="296"/>
        <v>4</v>
      </c>
      <c r="V304" s="13">
        <f t="shared" si="304"/>
        <v>282</v>
      </c>
      <c r="W304" s="13" t="str">
        <f t="shared" si="305"/>
        <v>1A</v>
      </c>
      <c r="X304" s="13">
        <f t="shared" si="306"/>
        <v>561</v>
      </c>
      <c r="Y304" s="13" t="str">
        <f t="shared" si="307"/>
        <v>31</v>
      </c>
      <c r="Z304" s="119"/>
      <c r="AA304" s="119"/>
      <c r="AB304" s="119"/>
      <c r="AC304" s="119"/>
      <c r="AD304" s="119"/>
      <c r="AE304" s="119"/>
      <c r="AF304" s="119"/>
      <c r="AG304" s="119"/>
      <c r="AH304" s="119"/>
      <c r="AJ304" s="64"/>
      <c r="AK304" s="64" t="s">
        <v>2310</v>
      </c>
    </row>
    <row r="305" spans="2:37" ht="17.25">
      <c r="B305" s="122" t="s">
        <v>1875</v>
      </c>
      <c r="C305" s="122" t="str">
        <f t="shared" si="302"/>
        <v>FF03E03300051B</v>
      </c>
      <c r="D305" s="60" t="s">
        <v>91</v>
      </c>
      <c r="E305" s="60" t="s">
        <v>15</v>
      </c>
      <c r="F305" s="60" t="s">
        <v>1853</v>
      </c>
      <c r="G305" s="60" t="s">
        <v>16</v>
      </c>
      <c r="H305" s="60" t="s">
        <v>92</v>
      </c>
      <c r="I305" s="12" t="str">
        <f t="shared" si="303"/>
        <v>1B</v>
      </c>
      <c r="J305" s="12"/>
      <c r="K305" s="12"/>
      <c r="L305" s="12"/>
      <c r="M305" s="12"/>
      <c r="N305" s="12"/>
      <c r="O305" s="12"/>
      <c r="P305" s="12"/>
      <c r="Q305" s="13">
        <f t="shared" si="292"/>
        <v>3</v>
      </c>
      <c r="R305" s="13">
        <f t="shared" si="293"/>
        <v>224</v>
      </c>
      <c r="S305" s="13">
        <f t="shared" si="294"/>
        <v>51</v>
      </c>
      <c r="T305" s="13">
        <f t="shared" si="295"/>
        <v>0</v>
      </c>
      <c r="U305" s="13">
        <f t="shared" si="296"/>
        <v>5</v>
      </c>
      <c r="V305" s="13">
        <f t="shared" si="304"/>
        <v>283</v>
      </c>
      <c r="W305" s="13" t="str">
        <f t="shared" si="305"/>
        <v>1B</v>
      </c>
      <c r="X305" s="13">
        <f t="shared" si="306"/>
        <v>563</v>
      </c>
      <c r="Y305" s="13" t="str">
        <f t="shared" si="307"/>
        <v>33</v>
      </c>
      <c r="Z305" s="119"/>
      <c r="AA305" s="119"/>
      <c r="AB305" s="119"/>
      <c r="AC305" s="119"/>
      <c r="AD305" s="119"/>
      <c r="AE305" s="119"/>
      <c r="AF305" s="119"/>
      <c r="AG305" s="119"/>
      <c r="AH305" s="119"/>
      <c r="AJ305" s="64"/>
      <c r="AK305" s="64" t="s">
        <v>2311</v>
      </c>
    </row>
    <row r="306" spans="2:37" ht="17.25">
      <c r="B306" s="122" t="s">
        <v>1876</v>
      </c>
      <c r="C306" s="122" t="str">
        <f t="shared" si="302"/>
        <v>FF03E03300061C</v>
      </c>
      <c r="D306" s="60" t="s">
        <v>91</v>
      </c>
      <c r="E306" s="60" t="s">
        <v>15</v>
      </c>
      <c r="F306" s="60" t="s">
        <v>1853</v>
      </c>
      <c r="G306" s="60" t="s">
        <v>16</v>
      </c>
      <c r="H306" s="60" t="s">
        <v>100</v>
      </c>
      <c r="I306" s="12" t="str">
        <f t="shared" si="303"/>
        <v>1C</v>
      </c>
      <c r="J306" s="12"/>
      <c r="K306" s="12"/>
      <c r="L306" s="12"/>
      <c r="M306" s="12"/>
      <c r="N306" s="12"/>
      <c r="O306" s="12"/>
      <c r="P306" s="12"/>
      <c r="Q306" s="13">
        <f t="shared" si="292"/>
        <v>3</v>
      </c>
      <c r="R306" s="13">
        <f t="shared" si="293"/>
        <v>224</v>
      </c>
      <c r="S306" s="13">
        <f t="shared" si="294"/>
        <v>51</v>
      </c>
      <c r="T306" s="13">
        <f t="shared" si="295"/>
        <v>0</v>
      </c>
      <c r="U306" s="13">
        <f t="shared" si="296"/>
        <v>6</v>
      </c>
      <c r="V306" s="13">
        <f t="shared" si="304"/>
        <v>284</v>
      </c>
      <c r="W306" s="13" t="str">
        <f t="shared" si="305"/>
        <v>1C</v>
      </c>
      <c r="X306" s="13">
        <f t="shared" si="306"/>
        <v>565</v>
      </c>
      <c r="Y306" s="13" t="str">
        <f t="shared" si="307"/>
        <v>35</v>
      </c>
      <c r="Z306" s="119"/>
      <c r="AA306" s="119"/>
      <c r="AB306" s="119"/>
      <c r="AC306" s="119"/>
      <c r="AD306" s="119"/>
      <c r="AE306" s="119"/>
      <c r="AF306" s="119"/>
      <c r="AG306" s="119"/>
      <c r="AH306" s="119"/>
      <c r="AJ306" s="64"/>
      <c r="AK306" s="64" t="s">
        <v>2312</v>
      </c>
    </row>
    <row r="307" spans="2:37" ht="17.25">
      <c r="B307" s="122" t="s">
        <v>1877</v>
      </c>
      <c r="C307" s="122" t="str">
        <f t="shared" si="302"/>
        <v>FF03E03300071D</v>
      </c>
      <c r="D307" s="60" t="s">
        <v>91</v>
      </c>
      <c r="E307" s="60" t="s">
        <v>15</v>
      </c>
      <c r="F307" s="60" t="s">
        <v>1853</v>
      </c>
      <c r="G307" s="60" t="s">
        <v>16</v>
      </c>
      <c r="H307" s="60" t="s">
        <v>101</v>
      </c>
      <c r="I307" s="12" t="str">
        <f t="shared" si="303"/>
        <v>1D</v>
      </c>
      <c r="J307" s="12"/>
      <c r="K307" s="12"/>
      <c r="L307" s="12"/>
      <c r="M307" s="12"/>
      <c r="N307" s="12"/>
      <c r="O307" s="12"/>
      <c r="P307" s="12"/>
      <c r="Q307" s="13">
        <f t="shared" si="292"/>
        <v>3</v>
      </c>
      <c r="R307" s="13">
        <f t="shared" si="293"/>
        <v>224</v>
      </c>
      <c r="S307" s="13">
        <f t="shared" si="294"/>
        <v>51</v>
      </c>
      <c r="T307" s="13">
        <f t="shared" si="295"/>
        <v>0</v>
      </c>
      <c r="U307" s="13">
        <f t="shared" si="296"/>
        <v>7</v>
      </c>
      <c r="V307" s="13">
        <f t="shared" si="304"/>
        <v>285</v>
      </c>
      <c r="W307" s="13" t="str">
        <f t="shared" si="305"/>
        <v>1D</v>
      </c>
      <c r="X307" s="13">
        <f t="shared" si="306"/>
        <v>567</v>
      </c>
      <c r="Y307" s="13" t="str">
        <f t="shared" si="307"/>
        <v>37</v>
      </c>
      <c r="Z307" s="119"/>
      <c r="AA307" s="119"/>
      <c r="AB307" s="119"/>
      <c r="AC307" s="119"/>
      <c r="AD307" s="119"/>
      <c r="AE307" s="119"/>
      <c r="AF307" s="119"/>
      <c r="AG307" s="119"/>
      <c r="AH307" s="119"/>
      <c r="AJ307" s="64"/>
      <c r="AK307" s="64" t="s">
        <v>2313</v>
      </c>
    </row>
    <row r="308" spans="2:37" ht="16.5" customHeight="1">
      <c r="B308" s="122" t="s">
        <v>1878</v>
      </c>
      <c r="C308" s="122" t="str">
        <f t="shared" si="302"/>
        <v>FF03E034000118</v>
      </c>
      <c r="D308" s="60" t="s">
        <v>91</v>
      </c>
      <c r="E308" s="60" t="s">
        <v>15</v>
      </c>
      <c r="F308" s="60" t="s">
        <v>1854</v>
      </c>
      <c r="G308" s="60" t="s">
        <v>16</v>
      </c>
      <c r="H308" s="60" t="s">
        <v>24</v>
      </c>
      <c r="I308" s="12" t="str">
        <f t="shared" si="303"/>
        <v>18</v>
      </c>
      <c r="J308" s="12"/>
      <c r="K308" s="12"/>
      <c r="L308" s="12"/>
      <c r="M308" s="12"/>
      <c r="N308" s="12"/>
      <c r="O308" s="12"/>
      <c r="P308" s="12"/>
      <c r="Q308" s="13">
        <f t="shared" si="292"/>
        <v>3</v>
      </c>
      <c r="R308" s="13">
        <f t="shared" si="293"/>
        <v>224</v>
      </c>
      <c r="S308" s="13">
        <f t="shared" si="294"/>
        <v>52</v>
      </c>
      <c r="T308" s="13">
        <f t="shared" si="295"/>
        <v>0</v>
      </c>
      <c r="U308" s="13">
        <f t="shared" si="296"/>
        <v>1</v>
      </c>
      <c r="V308" s="13">
        <f t="shared" si="304"/>
        <v>280</v>
      </c>
      <c r="W308" s="13" t="str">
        <f t="shared" si="305"/>
        <v>18</v>
      </c>
      <c r="X308" s="13">
        <f t="shared" si="306"/>
        <v>557</v>
      </c>
      <c r="Y308" s="13" t="str">
        <f t="shared" si="307"/>
        <v>2D</v>
      </c>
      <c r="Z308" s="119"/>
      <c r="AA308" s="119"/>
      <c r="AB308" s="119"/>
      <c r="AC308" s="119"/>
      <c r="AD308" s="119"/>
      <c r="AE308" s="119"/>
      <c r="AF308" s="119"/>
      <c r="AG308" s="119"/>
      <c r="AH308" s="119"/>
      <c r="AJ308" s="64"/>
      <c r="AK308" s="64" t="s">
        <v>2314</v>
      </c>
    </row>
    <row r="309" spans="2:37" ht="16.5" customHeight="1">
      <c r="B309" s="122" t="s">
        <v>1879</v>
      </c>
      <c r="C309" s="122" t="str">
        <f t="shared" si="302"/>
        <v>FF03E034000219</v>
      </c>
      <c r="D309" s="60" t="s">
        <v>91</v>
      </c>
      <c r="E309" s="60" t="s">
        <v>15</v>
      </c>
      <c r="F309" s="60" t="s">
        <v>1854</v>
      </c>
      <c r="G309" s="60" t="s">
        <v>16</v>
      </c>
      <c r="H309" s="60" t="s">
        <v>17</v>
      </c>
      <c r="I309" s="12" t="str">
        <f t="shared" si="303"/>
        <v>19</v>
      </c>
      <c r="J309" s="12"/>
      <c r="K309" s="12"/>
      <c r="L309" s="12"/>
      <c r="M309" s="12"/>
      <c r="N309" s="12"/>
      <c r="O309" s="12"/>
      <c r="P309" s="12"/>
      <c r="Q309" s="13">
        <f t="shared" si="292"/>
        <v>3</v>
      </c>
      <c r="R309" s="13">
        <f t="shared" si="293"/>
        <v>224</v>
      </c>
      <c r="S309" s="13">
        <f t="shared" si="294"/>
        <v>52</v>
      </c>
      <c r="T309" s="13">
        <f t="shared" si="295"/>
        <v>0</v>
      </c>
      <c r="U309" s="13">
        <f t="shared" si="296"/>
        <v>2</v>
      </c>
      <c r="V309" s="13">
        <f t="shared" si="304"/>
        <v>281</v>
      </c>
      <c r="W309" s="13" t="str">
        <f t="shared" si="305"/>
        <v>19</v>
      </c>
      <c r="X309" s="13">
        <f t="shared" si="306"/>
        <v>559</v>
      </c>
      <c r="Y309" s="13" t="str">
        <f t="shared" si="307"/>
        <v>2F</v>
      </c>
      <c r="Z309" s="119"/>
      <c r="AA309" s="119"/>
      <c r="AB309" s="119"/>
      <c r="AC309" s="119"/>
      <c r="AD309" s="119"/>
      <c r="AE309" s="119"/>
      <c r="AF309" s="119"/>
      <c r="AG309" s="119"/>
      <c r="AH309" s="119"/>
      <c r="AJ309" s="64"/>
      <c r="AK309" s="64" t="s">
        <v>2315</v>
      </c>
    </row>
    <row r="310" spans="2:37" ht="16.5" customHeight="1">
      <c r="B310" s="122" t="s">
        <v>1880</v>
      </c>
      <c r="C310" s="122" t="str">
        <f t="shared" si="302"/>
        <v>FF03E03400031A</v>
      </c>
      <c r="D310" s="60" t="s">
        <v>91</v>
      </c>
      <c r="E310" s="60" t="s">
        <v>15</v>
      </c>
      <c r="F310" s="60" t="s">
        <v>1854</v>
      </c>
      <c r="G310" s="60" t="s">
        <v>16</v>
      </c>
      <c r="H310" s="60" t="s">
        <v>91</v>
      </c>
      <c r="I310" s="12" t="str">
        <f t="shared" si="303"/>
        <v>1A</v>
      </c>
      <c r="J310" s="12"/>
      <c r="K310" s="12"/>
      <c r="L310" s="12"/>
      <c r="M310" s="12"/>
      <c r="N310" s="12"/>
      <c r="O310" s="12"/>
      <c r="P310" s="12"/>
      <c r="Q310" s="13">
        <f t="shared" si="292"/>
        <v>3</v>
      </c>
      <c r="R310" s="13">
        <f t="shared" si="293"/>
        <v>224</v>
      </c>
      <c r="S310" s="13">
        <f t="shared" si="294"/>
        <v>52</v>
      </c>
      <c r="T310" s="13">
        <f t="shared" si="295"/>
        <v>0</v>
      </c>
      <c r="U310" s="13">
        <f t="shared" si="296"/>
        <v>3</v>
      </c>
      <c r="V310" s="13">
        <f t="shared" si="304"/>
        <v>282</v>
      </c>
      <c r="W310" s="13" t="str">
        <f t="shared" si="305"/>
        <v>1A</v>
      </c>
      <c r="X310" s="13">
        <f t="shared" si="306"/>
        <v>561</v>
      </c>
      <c r="Y310" s="13" t="str">
        <f t="shared" si="307"/>
        <v>31</v>
      </c>
      <c r="Z310" s="119"/>
      <c r="AA310" s="119"/>
      <c r="AB310" s="119"/>
      <c r="AC310" s="119"/>
      <c r="AD310" s="119"/>
      <c r="AE310" s="119"/>
      <c r="AF310" s="119"/>
      <c r="AG310" s="119"/>
      <c r="AH310" s="119"/>
      <c r="AJ310" s="64"/>
      <c r="AK310" s="64" t="s">
        <v>2316</v>
      </c>
    </row>
    <row r="311" spans="2:37" ht="16.5" customHeight="1">
      <c r="B311" s="122" t="s">
        <v>1881</v>
      </c>
      <c r="C311" s="122" t="str">
        <f t="shared" si="302"/>
        <v>FF03E03400041B</v>
      </c>
      <c r="D311" s="60" t="s">
        <v>91</v>
      </c>
      <c r="E311" s="60" t="s">
        <v>15</v>
      </c>
      <c r="F311" s="60" t="s">
        <v>1854</v>
      </c>
      <c r="G311" s="60" t="s">
        <v>16</v>
      </c>
      <c r="H311" s="60" t="s">
        <v>67</v>
      </c>
      <c r="I311" s="12" t="str">
        <f t="shared" si="303"/>
        <v>1B</v>
      </c>
      <c r="J311" s="12"/>
      <c r="K311" s="12"/>
      <c r="L311" s="12"/>
      <c r="M311" s="12"/>
      <c r="N311" s="12"/>
      <c r="O311" s="12"/>
      <c r="P311" s="12"/>
      <c r="Q311" s="13">
        <f t="shared" si="292"/>
        <v>3</v>
      </c>
      <c r="R311" s="13">
        <f t="shared" si="293"/>
        <v>224</v>
      </c>
      <c r="S311" s="13">
        <f t="shared" si="294"/>
        <v>52</v>
      </c>
      <c r="T311" s="13">
        <f t="shared" si="295"/>
        <v>0</v>
      </c>
      <c r="U311" s="13">
        <f t="shared" si="296"/>
        <v>4</v>
      </c>
      <c r="V311" s="13">
        <f t="shared" si="304"/>
        <v>283</v>
      </c>
      <c r="W311" s="13" t="str">
        <f t="shared" si="305"/>
        <v>1B</v>
      </c>
      <c r="X311" s="13">
        <f t="shared" si="306"/>
        <v>563</v>
      </c>
      <c r="Y311" s="13" t="str">
        <f t="shared" si="307"/>
        <v>33</v>
      </c>
      <c r="Z311" s="119"/>
      <c r="AA311" s="119"/>
      <c r="AB311" s="119"/>
      <c r="AC311" s="119"/>
      <c r="AD311" s="119"/>
      <c r="AE311" s="119"/>
      <c r="AF311" s="119"/>
      <c r="AG311" s="119"/>
      <c r="AH311" s="119"/>
      <c r="AJ311" s="64"/>
      <c r="AK311" s="64" t="s">
        <v>2317</v>
      </c>
    </row>
    <row r="312" spans="2:37" ht="16.5" customHeight="1">
      <c r="B312" s="122" t="s">
        <v>1882</v>
      </c>
      <c r="C312" s="122" t="str">
        <f t="shared" si="302"/>
        <v>FF03E035FFCEE5</v>
      </c>
      <c r="D312" s="60" t="s">
        <v>91</v>
      </c>
      <c r="E312" s="60" t="s">
        <v>15</v>
      </c>
      <c r="F312" s="60" t="s">
        <v>1855</v>
      </c>
      <c r="G312" s="60" t="s">
        <v>9</v>
      </c>
      <c r="H312" s="60" t="s">
        <v>1962</v>
      </c>
      <c r="I312" s="12" t="str">
        <f t="shared" si="303"/>
        <v>E5</v>
      </c>
      <c r="J312" s="12"/>
      <c r="K312" s="12"/>
      <c r="L312" s="12"/>
      <c r="M312" s="12"/>
      <c r="N312" s="12"/>
      <c r="O312" s="12"/>
      <c r="P312" s="12"/>
      <c r="Q312" s="13">
        <f t="shared" si="292"/>
        <v>3</v>
      </c>
      <c r="R312" s="13">
        <f t="shared" si="293"/>
        <v>224</v>
      </c>
      <c r="S312" s="13">
        <f t="shared" si="294"/>
        <v>53</v>
      </c>
      <c r="T312" s="13">
        <f t="shared" si="295"/>
        <v>255</v>
      </c>
      <c r="U312" s="13">
        <f t="shared" si="296"/>
        <v>206</v>
      </c>
      <c r="V312" s="13">
        <f t="shared" si="304"/>
        <v>741</v>
      </c>
      <c r="W312" s="13" t="str">
        <f t="shared" si="305"/>
        <v>E5</v>
      </c>
      <c r="X312" s="13">
        <f t="shared" si="306"/>
        <v>1479</v>
      </c>
      <c r="Y312" s="13" t="str">
        <f t="shared" si="307"/>
        <v>C7</v>
      </c>
      <c r="Z312" s="119"/>
      <c r="AA312" s="119"/>
      <c r="AB312" s="119"/>
      <c r="AC312" s="119"/>
      <c r="AD312" s="119"/>
      <c r="AE312" s="119"/>
      <c r="AF312" s="119"/>
      <c r="AG312" s="119">
        <v>-50</v>
      </c>
      <c r="AH312" s="119"/>
      <c r="AI312" s="119" t="str">
        <f>TEXT(DEC2HEX(65536 + AG312), "0000")</f>
        <v>FFCE</v>
      </c>
      <c r="AJ312" s="64"/>
      <c r="AK312" s="64" t="s">
        <v>2318</v>
      </c>
    </row>
    <row r="313" spans="2:37" ht="16.5" customHeight="1">
      <c r="B313" s="122" t="s">
        <v>1883</v>
      </c>
      <c r="C313" s="122" t="str">
        <f t="shared" si="302"/>
        <v>FF03E03500324A</v>
      </c>
      <c r="D313" s="60" t="s">
        <v>91</v>
      </c>
      <c r="E313" s="60" t="s">
        <v>15</v>
      </c>
      <c r="F313" s="60" t="s">
        <v>1855</v>
      </c>
      <c r="G313" s="60" t="s">
        <v>16</v>
      </c>
      <c r="H313" s="60" t="s">
        <v>1330</v>
      </c>
      <c r="I313" s="12" t="str">
        <f t="shared" si="303"/>
        <v>4A</v>
      </c>
      <c r="J313" s="12"/>
      <c r="K313" s="12"/>
      <c r="L313" s="12"/>
      <c r="M313" s="12"/>
      <c r="N313" s="12"/>
      <c r="O313" s="12"/>
      <c r="P313" s="12"/>
      <c r="Q313" s="13">
        <f t="shared" si="292"/>
        <v>3</v>
      </c>
      <c r="R313" s="13">
        <f t="shared" si="293"/>
        <v>224</v>
      </c>
      <c r="S313" s="13">
        <f t="shared" si="294"/>
        <v>53</v>
      </c>
      <c r="T313" s="13">
        <f t="shared" si="295"/>
        <v>0</v>
      </c>
      <c r="U313" s="13">
        <f t="shared" si="296"/>
        <v>50</v>
      </c>
      <c r="V313" s="13">
        <f t="shared" si="304"/>
        <v>330</v>
      </c>
      <c r="W313" s="13" t="str">
        <f t="shared" si="305"/>
        <v>4A</v>
      </c>
      <c r="X313" s="13">
        <f t="shared" si="306"/>
        <v>657</v>
      </c>
      <c r="Y313" s="13" t="str">
        <f t="shared" si="307"/>
        <v>91</v>
      </c>
      <c r="Z313" s="119"/>
      <c r="AA313" s="119"/>
      <c r="AB313" s="119"/>
      <c r="AC313" s="119"/>
      <c r="AD313" s="119"/>
      <c r="AE313" s="119"/>
      <c r="AF313" s="119"/>
      <c r="AG313" s="119">
        <v>50</v>
      </c>
      <c r="AH313" s="119" t="str">
        <f>DEC2HEX(AG313)</f>
        <v>32</v>
      </c>
      <c r="AI313" s="119"/>
      <c r="AJ313" s="64"/>
      <c r="AK313" s="64" t="s">
        <v>2319</v>
      </c>
    </row>
    <row r="314" spans="2:37" ht="25.5">
      <c r="B314" s="122" t="s">
        <v>1964</v>
      </c>
      <c r="C314" s="122" t="str">
        <f t="shared" si="302"/>
        <v>FF03E036FFCEE6</v>
      </c>
      <c r="D314" s="60" t="s">
        <v>91</v>
      </c>
      <c r="E314" s="60" t="s">
        <v>15</v>
      </c>
      <c r="F314" s="60" t="s">
        <v>1856</v>
      </c>
      <c r="G314" s="60" t="s">
        <v>9</v>
      </c>
      <c r="H314" s="60" t="s">
        <v>1962</v>
      </c>
      <c r="I314" s="12" t="str">
        <f t="shared" si="303"/>
        <v>E6</v>
      </c>
      <c r="J314" s="12"/>
      <c r="K314" s="12"/>
      <c r="L314" s="12"/>
      <c r="M314" s="12"/>
      <c r="N314" s="12"/>
      <c r="O314" s="12"/>
      <c r="P314" s="12"/>
      <c r="Q314" s="13">
        <f t="shared" si="292"/>
        <v>3</v>
      </c>
      <c r="R314" s="13">
        <f t="shared" si="293"/>
        <v>224</v>
      </c>
      <c r="S314" s="13">
        <f t="shared" si="294"/>
        <v>54</v>
      </c>
      <c r="T314" s="13">
        <f t="shared" si="295"/>
        <v>255</v>
      </c>
      <c r="U314" s="13">
        <f t="shared" si="296"/>
        <v>206</v>
      </c>
      <c r="V314" s="13">
        <f t="shared" si="304"/>
        <v>742</v>
      </c>
      <c r="W314" s="13" t="str">
        <f t="shared" si="305"/>
        <v>E6</v>
      </c>
      <c r="X314" s="13">
        <f t="shared" si="306"/>
        <v>1481</v>
      </c>
      <c r="Y314" s="13" t="str">
        <f t="shared" si="307"/>
        <v>C9</v>
      </c>
      <c r="Z314" s="119"/>
      <c r="AA314" s="119"/>
      <c r="AB314" s="119"/>
      <c r="AC314" s="119"/>
      <c r="AD314" s="119"/>
      <c r="AE314" s="119"/>
      <c r="AF314" s="119"/>
      <c r="AG314" s="119"/>
      <c r="AH314" s="119"/>
      <c r="AJ314" s="64"/>
      <c r="AK314" s="64" t="s">
        <v>2320</v>
      </c>
    </row>
    <row r="315" spans="2:37" ht="17.25">
      <c r="B315" s="122" t="s">
        <v>1963</v>
      </c>
      <c r="C315" s="122" t="str">
        <f t="shared" si="302"/>
        <v>FF03E03600324B</v>
      </c>
      <c r="D315" s="60" t="s">
        <v>91</v>
      </c>
      <c r="E315" s="60" t="s">
        <v>15</v>
      </c>
      <c r="F315" s="60" t="s">
        <v>1856</v>
      </c>
      <c r="G315" s="60" t="s">
        <v>16</v>
      </c>
      <c r="H315" s="60" t="s">
        <v>1330</v>
      </c>
      <c r="I315" s="12" t="str">
        <f t="shared" si="303"/>
        <v>4B</v>
      </c>
      <c r="J315" s="12"/>
      <c r="K315" s="12"/>
      <c r="L315" s="12"/>
      <c r="M315" s="12"/>
      <c r="N315" s="12"/>
      <c r="O315" s="12"/>
      <c r="P315" s="12"/>
      <c r="Q315" s="13">
        <f t="shared" si="292"/>
        <v>3</v>
      </c>
      <c r="R315" s="13">
        <f t="shared" si="293"/>
        <v>224</v>
      </c>
      <c r="S315" s="13">
        <f t="shared" si="294"/>
        <v>54</v>
      </c>
      <c r="T315" s="13">
        <f t="shared" si="295"/>
        <v>0</v>
      </c>
      <c r="U315" s="13">
        <f t="shared" si="296"/>
        <v>50</v>
      </c>
      <c r="V315" s="13">
        <f t="shared" si="304"/>
        <v>331</v>
      </c>
      <c r="W315" s="13" t="str">
        <f t="shared" si="305"/>
        <v>4B</v>
      </c>
      <c r="X315" s="13">
        <f t="shared" si="306"/>
        <v>659</v>
      </c>
      <c r="Y315" s="13" t="str">
        <f t="shared" si="307"/>
        <v>93</v>
      </c>
      <c r="Z315" s="119"/>
      <c r="AA315" s="119"/>
      <c r="AB315" s="119"/>
      <c r="AC315" s="119"/>
      <c r="AD315" s="119"/>
      <c r="AE315" s="119"/>
      <c r="AF315" s="119"/>
      <c r="AG315" s="119"/>
      <c r="AH315" s="119"/>
      <c r="AJ315" s="64"/>
      <c r="AK315" s="64" t="s">
        <v>2321</v>
      </c>
    </row>
    <row r="316" spans="2:37" ht="16.5" customHeight="1">
      <c r="B316" s="122" t="s">
        <v>1884</v>
      </c>
      <c r="C316" s="122" t="str">
        <f t="shared" si="302"/>
        <v>FF03E03700001A</v>
      </c>
      <c r="D316" s="60" t="s">
        <v>91</v>
      </c>
      <c r="E316" s="60" t="s">
        <v>15</v>
      </c>
      <c r="F316" s="60" t="s">
        <v>1857</v>
      </c>
      <c r="G316" s="60" t="s">
        <v>16</v>
      </c>
      <c r="H316" s="60" t="s">
        <v>16</v>
      </c>
      <c r="I316" s="12" t="str">
        <f t="shared" si="303"/>
        <v>1A</v>
      </c>
      <c r="J316" s="12"/>
      <c r="K316" s="12"/>
      <c r="L316" s="12"/>
      <c r="M316" s="12"/>
      <c r="N316" s="12"/>
      <c r="O316" s="12"/>
      <c r="P316" s="12"/>
      <c r="Q316" s="13">
        <f t="shared" si="292"/>
        <v>3</v>
      </c>
      <c r="R316" s="13">
        <f t="shared" si="293"/>
        <v>224</v>
      </c>
      <c r="S316" s="13">
        <f t="shared" si="294"/>
        <v>55</v>
      </c>
      <c r="T316" s="13">
        <f t="shared" si="295"/>
        <v>0</v>
      </c>
      <c r="U316" s="13">
        <f t="shared" si="296"/>
        <v>0</v>
      </c>
      <c r="V316" s="13">
        <f t="shared" si="304"/>
        <v>282</v>
      </c>
      <c r="W316" s="13" t="str">
        <f t="shared" si="305"/>
        <v>1A</v>
      </c>
      <c r="X316" s="13">
        <f t="shared" si="306"/>
        <v>561</v>
      </c>
      <c r="Y316" s="13" t="str">
        <f t="shared" si="307"/>
        <v>31</v>
      </c>
      <c r="Z316" s="119"/>
      <c r="AA316" s="119"/>
      <c r="AB316" s="119"/>
      <c r="AC316" s="119"/>
      <c r="AD316" s="119"/>
      <c r="AE316" s="119"/>
      <c r="AF316" s="119"/>
      <c r="AG316" s="119"/>
      <c r="AH316" s="119"/>
      <c r="AJ316" s="64"/>
      <c r="AK316" s="64" t="s">
        <v>2322</v>
      </c>
    </row>
    <row r="317" spans="2:37" ht="16.5" customHeight="1">
      <c r="B317" s="122" t="s">
        <v>1885</v>
      </c>
      <c r="C317" s="122" t="str">
        <f t="shared" si="302"/>
        <v>FF03E037001E38</v>
      </c>
      <c r="D317" s="60" t="s">
        <v>91</v>
      </c>
      <c r="E317" s="60" t="s">
        <v>15</v>
      </c>
      <c r="F317" s="60" t="s">
        <v>1857</v>
      </c>
      <c r="G317" s="60" t="s">
        <v>16</v>
      </c>
      <c r="H317" s="60" t="s">
        <v>63</v>
      </c>
      <c r="I317" s="12" t="str">
        <f t="shared" si="303"/>
        <v>38</v>
      </c>
      <c r="J317" s="12"/>
      <c r="K317" s="12"/>
      <c r="L317" s="12"/>
      <c r="M317" s="12"/>
      <c r="N317" s="12"/>
      <c r="O317" s="12"/>
      <c r="P317" s="12"/>
      <c r="Q317" s="13">
        <f t="shared" si="292"/>
        <v>3</v>
      </c>
      <c r="R317" s="13">
        <f t="shared" si="293"/>
        <v>224</v>
      </c>
      <c r="S317" s="13">
        <f t="shared" si="294"/>
        <v>55</v>
      </c>
      <c r="T317" s="13">
        <f t="shared" si="295"/>
        <v>0</v>
      </c>
      <c r="U317" s="13">
        <f t="shared" si="296"/>
        <v>30</v>
      </c>
      <c r="V317" s="13">
        <f t="shared" si="304"/>
        <v>312</v>
      </c>
      <c r="W317" s="13" t="str">
        <f t="shared" si="305"/>
        <v>38</v>
      </c>
      <c r="X317" s="13">
        <f t="shared" si="306"/>
        <v>621</v>
      </c>
      <c r="Y317" s="13" t="str">
        <f t="shared" si="307"/>
        <v>6D</v>
      </c>
      <c r="Z317" s="119"/>
      <c r="AA317" s="119"/>
      <c r="AB317" s="119"/>
      <c r="AC317" s="119"/>
      <c r="AD317" s="119"/>
      <c r="AE317" s="119"/>
      <c r="AF317" s="119"/>
      <c r="AG317" s="119">
        <v>30</v>
      </c>
      <c r="AH317" s="119" t="str">
        <f>DEC2HEX(AG317)</f>
        <v>1E</v>
      </c>
      <c r="AJ317" s="64"/>
      <c r="AK317" s="64" t="s">
        <v>2323</v>
      </c>
    </row>
    <row r="318" spans="2:37" ht="16.5" customHeight="1">
      <c r="B318" s="122" t="s">
        <v>1886</v>
      </c>
      <c r="C318" s="122" t="str">
        <f t="shared" si="302"/>
        <v>FF03E03800001B</v>
      </c>
      <c r="D318" s="60" t="s">
        <v>91</v>
      </c>
      <c r="E318" s="60" t="s">
        <v>15</v>
      </c>
      <c r="F318" s="60" t="s">
        <v>1858</v>
      </c>
      <c r="G318" s="60" t="s">
        <v>16</v>
      </c>
      <c r="H318" s="60" t="s">
        <v>16</v>
      </c>
      <c r="I318" s="12" t="str">
        <f t="shared" ref="I318:I332" si="308">W318</f>
        <v>1B</v>
      </c>
      <c r="J318" s="12"/>
      <c r="K318" s="12"/>
      <c r="L318" s="12"/>
      <c r="M318" s="12"/>
      <c r="N318" s="12"/>
      <c r="O318" s="12"/>
      <c r="P318" s="12"/>
      <c r="Q318" s="13">
        <f t="shared" si="292"/>
        <v>3</v>
      </c>
      <c r="R318" s="13">
        <f t="shared" si="293"/>
        <v>224</v>
      </c>
      <c r="S318" s="13">
        <f t="shared" si="294"/>
        <v>56</v>
      </c>
      <c r="T318" s="13">
        <f t="shared" si="295"/>
        <v>0</v>
      </c>
      <c r="U318" s="13">
        <f t="shared" si="296"/>
        <v>0</v>
      </c>
      <c r="V318" s="13">
        <f t="shared" ref="V318:V332" si="309">SUM(Q318:U318)</f>
        <v>283</v>
      </c>
      <c r="W318" s="13" t="str">
        <f t="shared" ref="W318:W332" si="310">REPT("0",2-LEN(RIGHT(DEC2HEX(V318), 2)))&amp;RIGHT(DEC2HEX(V318), 2)</f>
        <v>1B</v>
      </c>
      <c r="X318" s="13">
        <f t="shared" ref="X318:X332" si="311">SUM(R318:W318)</f>
        <v>563</v>
      </c>
      <c r="Y318" s="13" t="str">
        <f t="shared" ref="Y318:Y332" si="312">REPT("0",2-LEN(RIGHT(DEC2HEX(X318), 2)))&amp;RIGHT(DEC2HEX(X318), 2)</f>
        <v>33</v>
      </c>
      <c r="Z318" s="119"/>
      <c r="AA318" s="119"/>
      <c r="AB318" s="119"/>
      <c r="AC318" s="119"/>
      <c r="AD318" s="119"/>
      <c r="AE318" s="119"/>
      <c r="AF318" s="119"/>
      <c r="AG318" s="119"/>
      <c r="AH318" s="119"/>
      <c r="AJ318" s="64"/>
      <c r="AK318" s="64" t="s">
        <v>2324</v>
      </c>
    </row>
    <row r="319" spans="2:37" ht="16.5" customHeight="1">
      <c r="B319" s="122" t="s">
        <v>1887</v>
      </c>
      <c r="C319" s="122" t="str">
        <f t="shared" si="302"/>
        <v>FF03E03800011C</v>
      </c>
      <c r="D319" s="60" t="s">
        <v>91</v>
      </c>
      <c r="E319" s="60" t="s">
        <v>15</v>
      </c>
      <c r="F319" s="60" t="s">
        <v>1858</v>
      </c>
      <c r="G319" s="60" t="s">
        <v>16</v>
      </c>
      <c r="H319" s="60" t="s">
        <v>24</v>
      </c>
      <c r="I319" s="12" t="str">
        <f t="shared" si="308"/>
        <v>1C</v>
      </c>
      <c r="J319" s="12"/>
      <c r="K319" s="12"/>
      <c r="L319" s="12"/>
      <c r="M319" s="12"/>
      <c r="N319" s="12"/>
      <c r="O319" s="12"/>
      <c r="P319" s="12"/>
      <c r="Q319" s="13">
        <f t="shared" si="292"/>
        <v>3</v>
      </c>
      <c r="R319" s="13">
        <f t="shared" si="293"/>
        <v>224</v>
      </c>
      <c r="S319" s="13">
        <f t="shared" si="294"/>
        <v>56</v>
      </c>
      <c r="T319" s="13">
        <f t="shared" si="295"/>
        <v>0</v>
      </c>
      <c r="U319" s="13">
        <f t="shared" si="296"/>
        <v>1</v>
      </c>
      <c r="V319" s="13">
        <f t="shared" si="309"/>
        <v>284</v>
      </c>
      <c r="W319" s="13" t="str">
        <f t="shared" si="310"/>
        <v>1C</v>
      </c>
      <c r="X319" s="13">
        <f t="shared" si="311"/>
        <v>565</v>
      </c>
      <c r="Y319" s="13" t="str">
        <f t="shared" si="312"/>
        <v>35</v>
      </c>
      <c r="Z319" s="119"/>
      <c r="AA319" s="119"/>
      <c r="AB319" s="119"/>
      <c r="AC319" s="119"/>
      <c r="AD319" s="119"/>
      <c r="AE319" s="119"/>
      <c r="AF319" s="119"/>
      <c r="AG319" s="119"/>
      <c r="AH319" s="119"/>
      <c r="AJ319" s="64"/>
      <c r="AK319" s="64" t="s">
        <v>2325</v>
      </c>
    </row>
    <row r="320" spans="2:37" ht="16.5" customHeight="1">
      <c r="B320" s="122" t="s">
        <v>1888</v>
      </c>
      <c r="C320" s="122" t="str">
        <f t="shared" si="302"/>
        <v>FF03E03800021D</v>
      </c>
      <c r="D320" s="60" t="s">
        <v>91</v>
      </c>
      <c r="E320" s="60" t="s">
        <v>15</v>
      </c>
      <c r="F320" s="60" t="s">
        <v>1858</v>
      </c>
      <c r="G320" s="60" t="s">
        <v>16</v>
      </c>
      <c r="H320" s="60" t="s">
        <v>17</v>
      </c>
      <c r="I320" s="12" t="str">
        <f t="shared" si="308"/>
        <v>1D</v>
      </c>
      <c r="J320" s="12"/>
      <c r="K320" s="12"/>
      <c r="L320" s="12"/>
      <c r="M320" s="12"/>
      <c r="N320" s="12"/>
      <c r="O320" s="12"/>
      <c r="P320" s="12"/>
      <c r="Q320" s="13">
        <f t="shared" si="292"/>
        <v>3</v>
      </c>
      <c r="R320" s="13">
        <f t="shared" si="293"/>
        <v>224</v>
      </c>
      <c r="S320" s="13">
        <f t="shared" si="294"/>
        <v>56</v>
      </c>
      <c r="T320" s="13">
        <f t="shared" si="295"/>
        <v>0</v>
      </c>
      <c r="U320" s="13">
        <f t="shared" si="296"/>
        <v>2</v>
      </c>
      <c r="V320" s="13">
        <f t="shared" si="309"/>
        <v>285</v>
      </c>
      <c r="W320" s="13" t="str">
        <f t="shared" si="310"/>
        <v>1D</v>
      </c>
      <c r="X320" s="13">
        <f t="shared" si="311"/>
        <v>567</v>
      </c>
      <c r="Y320" s="13" t="str">
        <f t="shared" si="312"/>
        <v>37</v>
      </c>
      <c r="Z320" s="119"/>
      <c r="AA320" s="119"/>
      <c r="AB320" s="119"/>
      <c r="AC320" s="119"/>
      <c r="AD320" s="119"/>
      <c r="AE320" s="119"/>
      <c r="AF320" s="119"/>
      <c r="AG320" s="119"/>
      <c r="AH320" s="119"/>
      <c r="AJ320" s="64"/>
      <c r="AK320" s="64" t="s">
        <v>2326</v>
      </c>
    </row>
    <row r="321" spans="2:37" ht="16.5" customHeight="1">
      <c r="B321" s="122" t="s">
        <v>1889</v>
      </c>
      <c r="C321" s="122" t="str">
        <f t="shared" si="302"/>
        <v>FF03E03800031E</v>
      </c>
      <c r="D321" s="60" t="s">
        <v>91</v>
      </c>
      <c r="E321" s="60" t="s">
        <v>15</v>
      </c>
      <c r="F321" s="60" t="s">
        <v>1858</v>
      </c>
      <c r="G321" s="60" t="s">
        <v>16</v>
      </c>
      <c r="H321" s="60" t="s">
        <v>91</v>
      </c>
      <c r="I321" s="12" t="str">
        <f t="shared" si="308"/>
        <v>1E</v>
      </c>
      <c r="J321" s="12"/>
      <c r="K321" s="12"/>
      <c r="L321" s="12"/>
      <c r="M321" s="12"/>
      <c r="N321" s="12"/>
      <c r="O321" s="12"/>
      <c r="P321" s="12"/>
      <c r="Q321" s="13">
        <f t="shared" si="292"/>
        <v>3</v>
      </c>
      <c r="R321" s="13">
        <f t="shared" si="293"/>
        <v>224</v>
      </c>
      <c r="S321" s="13">
        <f t="shared" si="294"/>
        <v>56</v>
      </c>
      <c r="T321" s="13">
        <f t="shared" si="295"/>
        <v>0</v>
      </c>
      <c r="U321" s="13">
        <f t="shared" si="296"/>
        <v>3</v>
      </c>
      <c r="V321" s="13">
        <f t="shared" si="309"/>
        <v>286</v>
      </c>
      <c r="W321" s="13" t="str">
        <f t="shared" si="310"/>
        <v>1E</v>
      </c>
      <c r="X321" s="13">
        <f t="shared" si="311"/>
        <v>569</v>
      </c>
      <c r="Y321" s="13" t="str">
        <f t="shared" si="312"/>
        <v>39</v>
      </c>
      <c r="Z321" s="119"/>
      <c r="AA321" s="119"/>
      <c r="AB321" s="119"/>
      <c r="AC321" s="119"/>
      <c r="AD321" s="119"/>
      <c r="AE321" s="119"/>
      <c r="AF321" s="119"/>
      <c r="AG321" s="119"/>
      <c r="AH321" s="119"/>
      <c r="AJ321" s="64"/>
      <c r="AK321" s="64" t="s">
        <v>2327</v>
      </c>
    </row>
    <row r="322" spans="2:37" ht="16.5" customHeight="1">
      <c r="B322" s="122" t="s">
        <v>1890</v>
      </c>
      <c r="C322" s="122" t="str">
        <f t="shared" si="302"/>
        <v>FF03E03800041F</v>
      </c>
      <c r="D322" s="60" t="s">
        <v>91</v>
      </c>
      <c r="E322" s="60" t="s">
        <v>15</v>
      </c>
      <c r="F322" s="60" t="s">
        <v>1858</v>
      </c>
      <c r="G322" s="60" t="s">
        <v>16</v>
      </c>
      <c r="H322" s="60" t="s">
        <v>67</v>
      </c>
      <c r="I322" s="12" t="str">
        <f t="shared" si="308"/>
        <v>1F</v>
      </c>
      <c r="J322" s="12"/>
      <c r="K322" s="12"/>
      <c r="L322" s="12"/>
      <c r="M322" s="12"/>
      <c r="N322" s="12"/>
      <c r="O322" s="12"/>
      <c r="P322" s="12"/>
      <c r="Q322" s="13">
        <f t="shared" si="292"/>
        <v>3</v>
      </c>
      <c r="R322" s="13">
        <f t="shared" si="293"/>
        <v>224</v>
      </c>
      <c r="S322" s="13">
        <f t="shared" si="294"/>
        <v>56</v>
      </c>
      <c r="T322" s="13">
        <f t="shared" si="295"/>
        <v>0</v>
      </c>
      <c r="U322" s="13">
        <f t="shared" si="296"/>
        <v>4</v>
      </c>
      <c r="V322" s="13">
        <f t="shared" si="309"/>
        <v>287</v>
      </c>
      <c r="W322" s="13" t="str">
        <f t="shared" si="310"/>
        <v>1F</v>
      </c>
      <c r="X322" s="13">
        <f t="shared" si="311"/>
        <v>571</v>
      </c>
      <c r="Y322" s="13" t="str">
        <f t="shared" si="312"/>
        <v>3B</v>
      </c>
      <c r="Z322" s="119"/>
      <c r="AA322" s="119"/>
      <c r="AB322" s="119"/>
      <c r="AC322" s="119"/>
      <c r="AD322" s="119"/>
      <c r="AE322" s="119"/>
      <c r="AF322" s="119"/>
      <c r="AG322" s="119"/>
      <c r="AH322" s="119"/>
      <c r="AJ322" s="64"/>
      <c r="AK322" s="64" t="s">
        <v>2328</v>
      </c>
    </row>
    <row r="323" spans="2:37" ht="16.5" customHeight="1">
      <c r="B323" s="122" t="s">
        <v>1891</v>
      </c>
      <c r="C323" s="122" t="str">
        <f t="shared" si="302"/>
        <v>FF03E038000520</v>
      </c>
      <c r="D323" s="60" t="s">
        <v>91</v>
      </c>
      <c r="E323" s="60" t="s">
        <v>15</v>
      </c>
      <c r="F323" s="60" t="s">
        <v>1858</v>
      </c>
      <c r="G323" s="60" t="s">
        <v>16</v>
      </c>
      <c r="H323" s="60" t="s">
        <v>92</v>
      </c>
      <c r="I323" s="12" t="str">
        <f t="shared" si="308"/>
        <v>20</v>
      </c>
      <c r="J323" s="12"/>
      <c r="K323" s="12"/>
      <c r="L323" s="12"/>
      <c r="M323" s="12"/>
      <c r="N323" s="12"/>
      <c r="O323" s="12"/>
      <c r="P323" s="12"/>
      <c r="Q323" s="13">
        <f t="shared" si="292"/>
        <v>3</v>
      </c>
      <c r="R323" s="13">
        <f t="shared" si="293"/>
        <v>224</v>
      </c>
      <c r="S323" s="13">
        <f t="shared" si="294"/>
        <v>56</v>
      </c>
      <c r="T323" s="13">
        <f t="shared" si="295"/>
        <v>0</v>
      </c>
      <c r="U323" s="13">
        <f t="shared" si="296"/>
        <v>5</v>
      </c>
      <c r="V323" s="13">
        <f t="shared" si="309"/>
        <v>288</v>
      </c>
      <c r="W323" s="13" t="str">
        <f t="shared" si="310"/>
        <v>20</v>
      </c>
      <c r="X323" s="13">
        <f t="shared" si="311"/>
        <v>573</v>
      </c>
      <c r="Y323" s="13" t="str">
        <f t="shared" si="312"/>
        <v>3D</v>
      </c>
      <c r="Z323" s="119"/>
      <c r="AA323" s="119"/>
      <c r="AB323" s="119"/>
      <c r="AC323" s="119"/>
      <c r="AD323" s="119"/>
      <c r="AE323" s="119"/>
      <c r="AF323" s="119"/>
      <c r="AG323" s="119"/>
      <c r="AH323" s="119"/>
      <c r="AJ323" s="64"/>
      <c r="AK323" s="64" t="s">
        <v>2329</v>
      </c>
    </row>
    <row r="324" spans="2:37" ht="16.5" customHeight="1">
      <c r="B324" s="122" t="s">
        <v>1892</v>
      </c>
      <c r="C324" s="122" t="str">
        <f t="shared" si="302"/>
        <v>FF03E038000621</v>
      </c>
      <c r="D324" s="60" t="s">
        <v>91</v>
      </c>
      <c r="E324" s="60" t="s">
        <v>15</v>
      </c>
      <c r="F324" s="60" t="s">
        <v>1858</v>
      </c>
      <c r="G324" s="60" t="s">
        <v>16</v>
      </c>
      <c r="H324" s="60" t="s">
        <v>100</v>
      </c>
      <c r="I324" s="12" t="str">
        <f t="shared" si="308"/>
        <v>21</v>
      </c>
      <c r="J324" s="12"/>
      <c r="K324" s="12"/>
      <c r="L324" s="12"/>
      <c r="M324" s="12"/>
      <c r="N324" s="12"/>
      <c r="O324" s="12"/>
      <c r="P324" s="12"/>
      <c r="Q324" s="13">
        <f t="shared" si="292"/>
        <v>3</v>
      </c>
      <c r="R324" s="13">
        <f t="shared" si="293"/>
        <v>224</v>
      </c>
      <c r="S324" s="13">
        <f t="shared" si="294"/>
        <v>56</v>
      </c>
      <c r="T324" s="13">
        <f t="shared" si="295"/>
        <v>0</v>
      </c>
      <c r="U324" s="13">
        <f t="shared" si="296"/>
        <v>6</v>
      </c>
      <c r="V324" s="13">
        <f t="shared" si="309"/>
        <v>289</v>
      </c>
      <c r="W324" s="13" t="str">
        <f t="shared" si="310"/>
        <v>21</v>
      </c>
      <c r="X324" s="13">
        <f t="shared" si="311"/>
        <v>575</v>
      </c>
      <c r="Y324" s="13" t="str">
        <f t="shared" si="312"/>
        <v>3F</v>
      </c>
      <c r="Z324" s="119"/>
      <c r="AA324" s="119"/>
      <c r="AB324" s="119"/>
      <c r="AC324" s="119"/>
      <c r="AD324" s="119"/>
      <c r="AE324" s="119"/>
      <c r="AF324" s="119"/>
      <c r="AG324" s="119"/>
      <c r="AH324" s="119"/>
      <c r="AJ324" s="64"/>
      <c r="AK324" s="64" t="s">
        <v>2330</v>
      </c>
    </row>
    <row r="325" spans="2:37" ht="16.5" customHeight="1">
      <c r="B325" s="122" t="s">
        <v>1893</v>
      </c>
      <c r="C325" s="122" t="str">
        <f t="shared" si="302"/>
        <v>FF03E038000722</v>
      </c>
      <c r="D325" s="60" t="s">
        <v>91</v>
      </c>
      <c r="E325" s="60" t="s">
        <v>15</v>
      </c>
      <c r="F325" s="60" t="s">
        <v>1858</v>
      </c>
      <c r="G325" s="60" t="s">
        <v>16</v>
      </c>
      <c r="H325" s="60" t="s">
        <v>101</v>
      </c>
      <c r="I325" s="12" t="str">
        <f t="shared" si="308"/>
        <v>22</v>
      </c>
      <c r="J325" s="12"/>
      <c r="K325" s="12"/>
      <c r="L325" s="12"/>
      <c r="M325" s="12"/>
      <c r="N325" s="12"/>
      <c r="O325" s="12"/>
      <c r="P325" s="12"/>
      <c r="Q325" s="13">
        <f t="shared" si="292"/>
        <v>3</v>
      </c>
      <c r="R325" s="13">
        <f t="shared" si="293"/>
        <v>224</v>
      </c>
      <c r="S325" s="13">
        <f t="shared" si="294"/>
        <v>56</v>
      </c>
      <c r="T325" s="13">
        <f t="shared" si="295"/>
        <v>0</v>
      </c>
      <c r="U325" s="13">
        <f t="shared" si="296"/>
        <v>7</v>
      </c>
      <c r="V325" s="13">
        <f t="shared" si="309"/>
        <v>290</v>
      </c>
      <c r="W325" s="13" t="str">
        <f t="shared" si="310"/>
        <v>22</v>
      </c>
      <c r="X325" s="13">
        <f t="shared" si="311"/>
        <v>577</v>
      </c>
      <c r="Y325" s="13" t="str">
        <f t="shared" si="312"/>
        <v>41</v>
      </c>
      <c r="Z325" s="119"/>
      <c r="AA325" s="119"/>
      <c r="AB325" s="119"/>
      <c r="AC325" s="119"/>
      <c r="AD325" s="119"/>
      <c r="AE325" s="119"/>
      <c r="AF325" s="119"/>
      <c r="AG325" s="119"/>
      <c r="AH325" s="119"/>
      <c r="AJ325" s="64"/>
      <c r="AK325" s="64" t="s">
        <v>2331</v>
      </c>
    </row>
    <row r="326" spans="2:37" ht="16.5" customHeight="1">
      <c r="B326" s="122" t="s">
        <v>1894</v>
      </c>
      <c r="C326" s="122" t="str">
        <f t="shared" si="302"/>
        <v>FF03E038000823</v>
      </c>
      <c r="D326" s="60" t="s">
        <v>91</v>
      </c>
      <c r="E326" s="60" t="s">
        <v>15</v>
      </c>
      <c r="F326" s="60" t="s">
        <v>1858</v>
      </c>
      <c r="G326" s="60" t="s">
        <v>16</v>
      </c>
      <c r="H326" s="60" t="s">
        <v>1268</v>
      </c>
      <c r="I326" s="12" t="str">
        <f t="shared" si="308"/>
        <v>23</v>
      </c>
      <c r="J326" s="12"/>
      <c r="K326" s="12"/>
      <c r="L326" s="12"/>
      <c r="M326" s="12"/>
      <c r="N326" s="12"/>
      <c r="O326" s="12"/>
      <c r="P326" s="12"/>
      <c r="Q326" s="13">
        <f t="shared" si="292"/>
        <v>3</v>
      </c>
      <c r="R326" s="13">
        <f t="shared" si="293"/>
        <v>224</v>
      </c>
      <c r="S326" s="13">
        <f t="shared" si="294"/>
        <v>56</v>
      </c>
      <c r="T326" s="13">
        <f t="shared" si="295"/>
        <v>0</v>
      </c>
      <c r="U326" s="13">
        <f t="shared" si="296"/>
        <v>8</v>
      </c>
      <c r="V326" s="13">
        <f t="shared" si="309"/>
        <v>291</v>
      </c>
      <c r="W326" s="13" t="str">
        <f t="shared" si="310"/>
        <v>23</v>
      </c>
      <c r="X326" s="13">
        <f t="shared" si="311"/>
        <v>579</v>
      </c>
      <c r="Y326" s="13" t="str">
        <f t="shared" si="312"/>
        <v>43</v>
      </c>
      <c r="Z326" s="119"/>
      <c r="AA326" s="119"/>
      <c r="AB326" s="119"/>
      <c r="AC326" s="119"/>
      <c r="AD326" s="119"/>
      <c r="AE326" s="119"/>
      <c r="AF326" s="119"/>
      <c r="AG326" s="119"/>
      <c r="AH326" s="119"/>
      <c r="AJ326" s="64"/>
      <c r="AK326" s="64" t="s">
        <v>2332</v>
      </c>
    </row>
    <row r="327" spans="2:37" ht="16.5" customHeight="1">
      <c r="B327" s="122" t="s">
        <v>1895</v>
      </c>
      <c r="C327" s="122" t="str">
        <f t="shared" si="302"/>
        <v>FF03E038000924</v>
      </c>
      <c r="D327" s="60" t="s">
        <v>91</v>
      </c>
      <c r="E327" s="60" t="s">
        <v>15</v>
      </c>
      <c r="F327" s="60" t="s">
        <v>1858</v>
      </c>
      <c r="G327" s="60" t="s">
        <v>16</v>
      </c>
      <c r="H327" s="60" t="s">
        <v>1520</v>
      </c>
      <c r="I327" s="12" t="str">
        <f t="shared" si="308"/>
        <v>24</v>
      </c>
      <c r="J327" s="12"/>
      <c r="K327" s="12"/>
      <c r="L327" s="12"/>
      <c r="M327" s="12"/>
      <c r="N327" s="12"/>
      <c r="O327" s="12"/>
      <c r="P327" s="12"/>
      <c r="Q327" s="13">
        <f t="shared" si="292"/>
        <v>3</v>
      </c>
      <c r="R327" s="13">
        <f t="shared" si="293"/>
        <v>224</v>
      </c>
      <c r="S327" s="13">
        <f t="shared" si="294"/>
        <v>56</v>
      </c>
      <c r="T327" s="13">
        <f t="shared" si="295"/>
        <v>0</v>
      </c>
      <c r="U327" s="13">
        <f t="shared" si="296"/>
        <v>9</v>
      </c>
      <c r="V327" s="13">
        <f t="shared" si="309"/>
        <v>292</v>
      </c>
      <c r="W327" s="13" t="str">
        <f t="shared" si="310"/>
        <v>24</v>
      </c>
      <c r="X327" s="13">
        <f t="shared" si="311"/>
        <v>581</v>
      </c>
      <c r="Y327" s="13" t="str">
        <f t="shared" si="312"/>
        <v>45</v>
      </c>
      <c r="Z327" s="119"/>
      <c r="AA327" s="119"/>
      <c r="AB327" s="119"/>
      <c r="AC327" s="119"/>
      <c r="AD327" s="119"/>
      <c r="AE327" s="119"/>
      <c r="AF327" s="119"/>
      <c r="AG327" s="119"/>
      <c r="AH327" s="119"/>
      <c r="AJ327" s="64"/>
      <c r="AK327" s="64" t="s">
        <v>2333</v>
      </c>
    </row>
    <row r="328" spans="2:37" ht="16.5" customHeight="1">
      <c r="B328" s="122" t="s">
        <v>1896</v>
      </c>
      <c r="C328" s="122" t="str">
        <f t="shared" si="302"/>
        <v>FF03E038000A25</v>
      </c>
      <c r="D328" s="60" t="s">
        <v>91</v>
      </c>
      <c r="E328" s="60" t="s">
        <v>15</v>
      </c>
      <c r="F328" s="60" t="s">
        <v>1858</v>
      </c>
      <c r="G328" s="60" t="s">
        <v>16</v>
      </c>
      <c r="H328" s="60" t="s">
        <v>61</v>
      </c>
      <c r="I328" s="12" t="str">
        <f t="shared" si="308"/>
        <v>25</v>
      </c>
      <c r="J328" s="12"/>
      <c r="K328" s="12"/>
      <c r="L328" s="12"/>
      <c r="M328" s="12"/>
      <c r="N328" s="12"/>
      <c r="O328" s="12"/>
      <c r="P328" s="12"/>
      <c r="Q328" s="13">
        <f t="shared" si="292"/>
        <v>3</v>
      </c>
      <c r="R328" s="13">
        <f t="shared" si="293"/>
        <v>224</v>
      </c>
      <c r="S328" s="13">
        <f t="shared" si="294"/>
        <v>56</v>
      </c>
      <c r="T328" s="13">
        <f t="shared" si="295"/>
        <v>0</v>
      </c>
      <c r="U328" s="13">
        <f t="shared" si="296"/>
        <v>10</v>
      </c>
      <c r="V328" s="13">
        <f t="shared" si="309"/>
        <v>293</v>
      </c>
      <c r="W328" s="13" t="str">
        <f t="shared" si="310"/>
        <v>25</v>
      </c>
      <c r="X328" s="13">
        <f t="shared" si="311"/>
        <v>583</v>
      </c>
      <c r="Y328" s="13" t="str">
        <f t="shared" si="312"/>
        <v>47</v>
      </c>
      <c r="Z328" s="119"/>
      <c r="AA328" s="119"/>
      <c r="AB328" s="119"/>
      <c r="AC328" s="119"/>
      <c r="AD328" s="119"/>
      <c r="AE328" s="119"/>
      <c r="AF328" s="119"/>
      <c r="AG328" s="119"/>
      <c r="AH328" s="119"/>
      <c r="AJ328" s="64"/>
      <c r="AK328" s="64" t="s">
        <v>2334</v>
      </c>
    </row>
    <row r="329" spans="2:37" ht="16.5" customHeight="1">
      <c r="B329" s="122" t="s">
        <v>1897</v>
      </c>
      <c r="C329" s="122" t="str">
        <f t="shared" si="302"/>
        <v>FF03E03900001C</v>
      </c>
      <c r="D329" s="60" t="s">
        <v>91</v>
      </c>
      <c r="E329" s="60" t="s">
        <v>15</v>
      </c>
      <c r="F329" s="60" t="s">
        <v>1859</v>
      </c>
      <c r="G329" s="60" t="s">
        <v>16</v>
      </c>
      <c r="H329" s="60" t="s">
        <v>16</v>
      </c>
      <c r="I329" s="12" t="str">
        <f t="shared" si="308"/>
        <v>1C</v>
      </c>
      <c r="J329" s="12"/>
      <c r="K329" s="12"/>
      <c r="L329" s="12"/>
      <c r="M329" s="12"/>
      <c r="N329" s="12"/>
      <c r="O329" s="12"/>
      <c r="P329" s="12"/>
      <c r="Q329" s="13">
        <f t="shared" si="292"/>
        <v>3</v>
      </c>
      <c r="R329" s="13">
        <f t="shared" si="293"/>
        <v>224</v>
      </c>
      <c r="S329" s="13">
        <f t="shared" si="294"/>
        <v>57</v>
      </c>
      <c r="T329" s="13">
        <f t="shared" si="295"/>
        <v>0</v>
      </c>
      <c r="U329" s="13">
        <f t="shared" si="296"/>
        <v>0</v>
      </c>
      <c r="V329" s="13">
        <f t="shared" si="309"/>
        <v>284</v>
      </c>
      <c r="W329" s="13" t="str">
        <f t="shared" si="310"/>
        <v>1C</v>
      </c>
      <c r="X329" s="13">
        <f t="shared" si="311"/>
        <v>565</v>
      </c>
      <c r="Y329" s="13" t="str">
        <f t="shared" si="312"/>
        <v>35</v>
      </c>
      <c r="Z329" s="119"/>
      <c r="AA329" s="119"/>
      <c r="AB329" s="119"/>
      <c r="AC329" s="119"/>
      <c r="AD329" s="119"/>
      <c r="AE329" s="119"/>
      <c r="AF329" s="119"/>
      <c r="AG329" s="119"/>
      <c r="AH329" s="119"/>
      <c r="AJ329" s="64"/>
      <c r="AK329" s="64" t="s">
        <v>2335</v>
      </c>
    </row>
    <row r="330" spans="2:37" ht="16.5" customHeight="1">
      <c r="B330" s="122" t="s">
        <v>1898</v>
      </c>
      <c r="C330" s="122" t="str">
        <f t="shared" si="302"/>
        <v>FF03E03900011D</v>
      </c>
      <c r="D330" s="60" t="s">
        <v>91</v>
      </c>
      <c r="E330" s="60" t="s">
        <v>15</v>
      </c>
      <c r="F330" s="60" t="s">
        <v>1859</v>
      </c>
      <c r="G330" s="60" t="s">
        <v>16</v>
      </c>
      <c r="H330" s="60" t="s">
        <v>24</v>
      </c>
      <c r="I330" s="12" t="str">
        <f t="shared" si="308"/>
        <v>1D</v>
      </c>
      <c r="J330" s="12"/>
      <c r="K330" s="12"/>
      <c r="L330" s="12"/>
      <c r="M330" s="12"/>
      <c r="N330" s="12"/>
      <c r="O330" s="12"/>
      <c r="P330" s="12"/>
      <c r="Q330" s="13">
        <f t="shared" si="292"/>
        <v>3</v>
      </c>
      <c r="R330" s="13">
        <f t="shared" si="293"/>
        <v>224</v>
      </c>
      <c r="S330" s="13">
        <f t="shared" si="294"/>
        <v>57</v>
      </c>
      <c r="T330" s="13">
        <f t="shared" si="295"/>
        <v>0</v>
      </c>
      <c r="U330" s="13">
        <f t="shared" si="296"/>
        <v>1</v>
      </c>
      <c r="V330" s="13">
        <f t="shared" si="309"/>
        <v>285</v>
      </c>
      <c r="W330" s="13" t="str">
        <f t="shared" si="310"/>
        <v>1D</v>
      </c>
      <c r="X330" s="13">
        <f t="shared" si="311"/>
        <v>567</v>
      </c>
      <c r="Y330" s="13" t="str">
        <f t="shared" si="312"/>
        <v>37</v>
      </c>
      <c r="Z330" s="119"/>
      <c r="AA330" s="119"/>
      <c r="AB330" s="119"/>
      <c r="AC330" s="119"/>
      <c r="AD330" s="119"/>
      <c r="AE330" s="119"/>
      <c r="AF330" s="119"/>
      <c r="AG330" s="119"/>
      <c r="AH330" s="119"/>
      <c r="AJ330" s="64"/>
      <c r="AK330" s="64" t="s">
        <v>2336</v>
      </c>
    </row>
    <row r="331" spans="2:37" ht="16.5" customHeight="1">
      <c r="B331" s="122" t="s">
        <v>1899</v>
      </c>
      <c r="C331" s="122" t="str">
        <f t="shared" si="302"/>
        <v>FF03E03A00001D</v>
      </c>
      <c r="D331" s="60" t="s">
        <v>91</v>
      </c>
      <c r="E331" s="60" t="s">
        <v>15</v>
      </c>
      <c r="F331" s="60" t="s">
        <v>1860</v>
      </c>
      <c r="G331" s="60" t="s">
        <v>16</v>
      </c>
      <c r="H331" s="60" t="s">
        <v>16</v>
      </c>
      <c r="I331" s="12" t="str">
        <f t="shared" si="308"/>
        <v>1D</v>
      </c>
      <c r="J331" s="12"/>
      <c r="K331" s="12"/>
      <c r="L331" s="12"/>
      <c r="M331" s="12"/>
      <c r="N331" s="12"/>
      <c r="O331" s="12"/>
      <c r="P331" s="12"/>
      <c r="Q331" s="13">
        <f t="shared" si="292"/>
        <v>3</v>
      </c>
      <c r="R331" s="13">
        <f t="shared" si="293"/>
        <v>224</v>
      </c>
      <c r="S331" s="13">
        <f t="shared" si="294"/>
        <v>58</v>
      </c>
      <c r="T331" s="13">
        <f t="shared" si="295"/>
        <v>0</v>
      </c>
      <c r="U331" s="13">
        <f t="shared" si="296"/>
        <v>0</v>
      </c>
      <c r="V331" s="13">
        <f t="shared" si="309"/>
        <v>285</v>
      </c>
      <c r="W331" s="13" t="str">
        <f t="shared" si="310"/>
        <v>1D</v>
      </c>
      <c r="X331" s="13">
        <f t="shared" si="311"/>
        <v>567</v>
      </c>
      <c r="Y331" s="13" t="str">
        <f t="shared" si="312"/>
        <v>37</v>
      </c>
      <c r="Z331" s="119"/>
      <c r="AA331" s="119"/>
      <c r="AB331" s="119"/>
      <c r="AC331" s="119"/>
      <c r="AD331" s="119"/>
      <c r="AE331" s="119"/>
      <c r="AF331" s="119"/>
      <c r="AG331" s="119"/>
      <c r="AH331" s="119"/>
      <c r="AJ331" s="64"/>
      <c r="AK331" s="64" t="s">
        <v>2337</v>
      </c>
    </row>
    <row r="332" spans="2:37" ht="16.5" customHeight="1">
      <c r="B332" s="122" t="s">
        <v>1900</v>
      </c>
      <c r="C332" s="122" t="str">
        <f t="shared" si="302"/>
        <v>FF03E03A00011E</v>
      </c>
      <c r="D332" s="60" t="s">
        <v>91</v>
      </c>
      <c r="E332" s="60" t="s">
        <v>15</v>
      </c>
      <c r="F332" s="60" t="s">
        <v>1860</v>
      </c>
      <c r="G332" s="60" t="s">
        <v>16</v>
      </c>
      <c r="H332" s="60" t="s">
        <v>24</v>
      </c>
      <c r="I332" s="12" t="str">
        <f t="shared" si="308"/>
        <v>1E</v>
      </c>
      <c r="J332" s="12"/>
      <c r="K332" s="12"/>
      <c r="L332" s="12"/>
      <c r="M332" s="12"/>
      <c r="N332" s="12"/>
      <c r="O332" s="12"/>
      <c r="P332" s="12"/>
      <c r="Q332" s="13">
        <f t="shared" si="292"/>
        <v>3</v>
      </c>
      <c r="R332" s="13">
        <f t="shared" si="293"/>
        <v>224</v>
      </c>
      <c r="S332" s="13">
        <f t="shared" si="294"/>
        <v>58</v>
      </c>
      <c r="T332" s="13">
        <f t="shared" si="295"/>
        <v>0</v>
      </c>
      <c r="U332" s="13">
        <f t="shared" si="296"/>
        <v>1</v>
      </c>
      <c r="V332" s="13">
        <f t="shared" si="309"/>
        <v>286</v>
      </c>
      <c r="W332" s="13" t="str">
        <f t="shared" si="310"/>
        <v>1E</v>
      </c>
      <c r="X332" s="13">
        <f t="shared" si="311"/>
        <v>569</v>
      </c>
      <c r="Y332" s="13" t="str">
        <f t="shared" si="312"/>
        <v>39</v>
      </c>
      <c r="Z332" s="119"/>
      <c r="AA332" s="119"/>
      <c r="AB332" s="119"/>
      <c r="AC332" s="119"/>
      <c r="AD332" s="119"/>
      <c r="AE332" s="119"/>
      <c r="AF332" s="119"/>
      <c r="AG332" s="119"/>
      <c r="AH332" s="119"/>
      <c r="AJ332" s="64"/>
      <c r="AK332" s="64" t="s">
        <v>2338</v>
      </c>
    </row>
    <row r="333" spans="2:37" ht="16.5" customHeight="1">
      <c r="B333" s="122" t="s">
        <v>1901</v>
      </c>
      <c r="C333" s="122" t="str">
        <f t="shared" si="302"/>
        <v>FF03E03B00001E</v>
      </c>
      <c r="D333" s="60" t="s">
        <v>91</v>
      </c>
      <c r="E333" s="60" t="s">
        <v>15</v>
      </c>
      <c r="F333" s="60" t="s">
        <v>1861</v>
      </c>
      <c r="G333" s="60" t="s">
        <v>16</v>
      </c>
      <c r="H333" s="60" t="s">
        <v>16</v>
      </c>
      <c r="I333" s="12" t="str">
        <f t="shared" ref="I333:I342" si="313">W333</f>
        <v>1E</v>
      </c>
      <c r="J333" s="12"/>
      <c r="K333" s="12"/>
      <c r="L333" s="12"/>
      <c r="M333" s="12"/>
      <c r="N333" s="12"/>
      <c r="O333" s="12"/>
      <c r="P333" s="12"/>
      <c r="Q333" s="13">
        <f t="shared" si="292"/>
        <v>3</v>
      </c>
      <c r="R333" s="13">
        <f t="shared" si="293"/>
        <v>224</v>
      </c>
      <c r="S333" s="13">
        <f t="shared" si="294"/>
        <v>59</v>
      </c>
      <c r="T333" s="13">
        <f t="shared" si="295"/>
        <v>0</v>
      </c>
      <c r="U333" s="13">
        <f t="shared" si="296"/>
        <v>0</v>
      </c>
      <c r="V333" s="13">
        <f t="shared" ref="V333:V340" si="314">SUM(Q333:U333)</f>
        <v>286</v>
      </c>
      <c r="W333" s="13" t="str">
        <f t="shared" ref="W333:W343" si="315">REPT("0",2-LEN(RIGHT(DEC2HEX(V333), 2)))&amp;RIGHT(DEC2HEX(V333), 2)</f>
        <v>1E</v>
      </c>
      <c r="X333" s="13">
        <f t="shared" ref="X333:X342" si="316">SUM(R333:W333)</f>
        <v>569</v>
      </c>
      <c r="Y333" s="13" t="str">
        <f t="shared" ref="Y333:Y342" si="317">REPT("0",2-LEN(RIGHT(DEC2HEX(X333), 2)))&amp;RIGHT(DEC2HEX(X333), 2)</f>
        <v>39</v>
      </c>
      <c r="Z333" s="119"/>
      <c r="AA333" s="119"/>
      <c r="AB333" s="119"/>
      <c r="AC333" s="119"/>
      <c r="AD333" s="119"/>
      <c r="AE333" s="119"/>
      <c r="AF333" s="119"/>
      <c r="AG333" s="119"/>
      <c r="AH333" s="119"/>
      <c r="AJ333" s="64"/>
      <c r="AK333" s="64" t="s">
        <v>2339</v>
      </c>
    </row>
    <row r="334" spans="2:37" ht="16.5" customHeight="1">
      <c r="B334" s="122" t="s">
        <v>1902</v>
      </c>
      <c r="C334" s="122" t="str">
        <f t="shared" si="302"/>
        <v>FF03E03B00011F</v>
      </c>
      <c r="D334" s="60" t="s">
        <v>91</v>
      </c>
      <c r="E334" s="60" t="s">
        <v>15</v>
      </c>
      <c r="F334" s="60" t="s">
        <v>1861</v>
      </c>
      <c r="G334" s="60" t="s">
        <v>16</v>
      </c>
      <c r="H334" s="60" t="s">
        <v>24</v>
      </c>
      <c r="I334" s="12" t="str">
        <f t="shared" si="313"/>
        <v>1F</v>
      </c>
      <c r="J334" s="12"/>
      <c r="K334" s="12"/>
      <c r="L334" s="12"/>
      <c r="M334" s="12"/>
      <c r="N334" s="12"/>
      <c r="O334" s="12"/>
      <c r="P334" s="12"/>
      <c r="Q334" s="13">
        <f t="shared" si="292"/>
        <v>3</v>
      </c>
      <c r="R334" s="13">
        <f t="shared" si="293"/>
        <v>224</v>
      </c>
      <c r="S334" s="13">
        <f t="shared" si="294"/>
        <v>59</v>
      </c>
      <c r="T334" s="13">
        <f t="shared" si="295"/>
        <v>0</v>
      </c>
      <c r="U334" s="13">
        <f t="shared" si="296"/>
        <v>1</v>
      </c>
      <c r="V334" s="13">
        <f t="shared" si="314"/>
        <v>287</v>
      </c>
      <c r="W334" s="13" t="str">
        <f t="shared" si="315"/>
        <v>1F</v>
      </c>
      <c r="X334" s="13">
        <f t="shared" si="316"/>
        <v>571</v>
      </c>
      <c r="Y334" s="13" t="str">
        <f t="shared" si="317"/>
        <v>3B</v>
      </c>
      <c r="Z334" s="119"/>
      <c r="AA334" s="119"/>
      <c r="AB334" s="119"/>
      <c r="AC334" s="119"/>
      <c r="AD334" s="119"/>
      <c r="AE334" s="119"/>
      <c r="AF334" s="119"/>
      <c r="AG334" s="119"/>
      <c r="AH334" s="119"/>
      <c r="AJ334" s="64"/>
      <c r="AK334" s="64" t="s">
        <v>2340</v>
      </c>
    </row>
    <row r="335" spans="2:37" ht="16.5" customHeight="1">
      <c r="B335" s="122" t="s">
        <v>1903</v>
      </c>
      <c r="C335" s="122" t="str">
        <f t="shared" si="302"/>
        <v>FF03E03D000020</v>
      </c>
      <c r="D335" s="60" t="s">
        <v>91</v>
      </c>
      <c r="E335" s="60" t="s">
        <v>15</v>
      </c>
      <c r="F335" s="60" t="s">
        <v>1907</v>
      </c>
      <c r="G335" s="60" t="s">
        <v>16</v>
      </c>
      <c r="H335" s="60" t="s">
        <v>16</v>
      </c>
      <c r="I335" s="12" t="str">
        <f t="shared" si="313"/>
        <v>20</v>
      </c>
      <c r="J335" s="12"/>
      <c r="K335" s="12"/>
      <c r="L335" s="12"/>
      <c r="M335" s="12"/>
      <c r="N335" s="12"/>
      <c r="O335" s="12"/>
      <c r="P335" s="12"/>
      <c r="Q335" s="13">
        <f t="shared" si="292"/>
        <v>3</v>
      </c>
      <c r="R335" s="13">
        <f t="shared" si="293"/>
        <v>224</v>
      </c>
      <c r="S335" s="13">
        <f t="shared" si="294"/>
        <v>61</v>
      </c>
      <c r="T335" s="13">
        <f t="shared" si="295"/>
        <v>0</v>
      </c>
      <c r="U335" s="13">
        <f t="shared" si="296"/>
        <v>0</v>
      </c>
      <c r="V335" s="13">
        <f t="shared" si="314"/>
        <v>288</v>
      </c>
      <c r="W335" s="13" t="str">
        <f t="shared" si="315"/>
        <v>20</v>
      </c>
      <c r="X335" s="13">
        <f t="shared" si="316"/>
        <v>573</v>
      </c>
      <c r="Y335" s="13" t="str">
        <f t="shared" si="317"/>
        <v>3D</v>
      </c>
      <c r="Z335" s="119"/>
      <c r="AA335" s="119"/>
      <c r="AB335" s="119"/>
      <c r="AC335" s="119"/>
      <c r="AD335" s="119"/>
      <c r="AE335" s="119"/>
      <c r="AF335" s="119"/>
      <c r="AG335" s="119"/>
      <c r="AH335" s="119"/>
      <c r="AJ335" s="64"/>
      <c r="AK335" s="64" t="s">
        <v>2341</v>
      </c>
    </row>
    <row r="336" spans="2:37" ht="16.5" customHeight="1">
      <c r="B336" s="122" t="s">
        <v>1904</v>
      </c>
      <c r="C336" s="122" t="str">
        <f t="shared" si="302"/>
        <v>FF03E03E000021</v>
      </c>
      <c r="D336" s="60" t="s">
        <v>91</v>
      </c>
      <c r="E336" s="60" t="s">
        <v>15</v>
      </c>
      <c r="F336" s="60" t="s">
        <v>1862</v>
      </c>
      <c r="G336" s="60" t="s">
        <v>16</v>
      </c>
      <c r="H336" s="60" t="s">
        <v>16</v>
      </c>
      <c r="I336" s="12" t="str">
        <f t="shared" si="313"/>
        <v>21</v>
      </c>
      <c r="J336" s="12"/>
      <c r="K336" s="12"/>
      <c r="L336" s="12"/>
      <c r="M336" s="12"/>
      <c r="N336" s="12"/>
      <c r="O336" s="12"/>
      <c r="P336" s="12"/>
      <c r="Q336" s="13">
        <f t="shared" si="292"/>
        <v>3</v>
      </c>
      <c r="R336" s="13">
        <f t="shared" si="293"/>
        <v>224</v>
      </c>
      <c r="S336" s="13">
        <f t="shared" si="294"/>
        <v>62</v>
      </c>
      <c r="T336" s="13">
        <f t="shared" si="295"/>
        <v>0</v>
      </c>
      <c r="U336" s="13">
        <f t="shared" si="296"/>
        <v>0</v>
      </c>
      <c r="V336" s="13">
        <f t="shared" si="314"/>
        <v>289</v>
      </c>
      <c r="W336" s="13" t="str">
        <f t="shared" si="315"/>
        <v>21</v>
      </c>
      <c r="X336" s="13">
        <f t="shared" si="316"/>
        <v>575</v>
      </c>
      <c r="Y336" s="13" t="str">
        <f t="shared" si="317"/>
        <v>3F</v>
      </c>
      <c r="Z336" s="119"/>
      <c r="AA336" s="119"/>
      <c r="AB336" s="119"/>
      <c r="AC336" s="119"/>
      <c r="AD336" s="119"/>
      <c r="AE336" s="119"/>
      <c r="AF336" s="119"/>
      <c r="AG336" s="119"/>
      <c r="AH336" s="119"/>
      <c r="AJ336" s="64"/>
      <c r="AK336" s="64" t="s">
        <v>2342</v>
      </c>
    </row>
    <row r="337" spans="2:37" ht="16.5" customHeight="1">
      <c r="B337" s="122" t="s">
        <v>1905</v>
      </c>
      <c r="C337" s="122" t="str">
        <f t="shared" si="302"/>
        <v>FF03E03F000022</v>
      </c>
      <c r="D337" s="60" t="s">
        <v>91</v>
      </c>
      <c r="E337" s="60" t="s">
        <v>15</v>
      </c>
      <c r="F337" s="60" t="s">
        <v>1389</v>
      </c>
      <c r="G337" s="60" t="s">
        <v>16</v>
      </c>
      <c r="H337" s="60" t="s">
        <v>16</v>
      </c>
      <c r="I337" s="12" t="str">
        <f t="shared" si="313"/>
        <v>22</v>
      </c>
      <c r="J337" s="12"/>
      <c r="K337" s="12"/>
      <c r="L337" s="12"/>
      <c r="M337" s="12"/>
      <c r="N337" s="12"/>
      <c r="O337" s="12"/>
      <c r="P337" s="12"/>
      <c r="Q337" s="13">
        <f t="shared" si="292"/>
        <v>3</v>
      </c>
      <c r="R337" s="13">
        <f t="shared" si="293"/>
        <v>224</v>
      </c>
      <c r="S337" s="13">
        <f t="shared" si="294"/>
        <v>63</v>
      </c>
      <c r="T337" s="13">
        <f t="shared" si="295"/>
        <v>0</v>
      </c>
      <c r="U337" s="13">
        <f t="shared" si="296"/>
        <v>0</v>
      </c>
      <c r="V337" s="13">
        <f t="shared" si="314"/>
        <v>290</v>
      </c>
      <c r="W337" s="13" t="str">
        <f>REPT("0",2-LEN(RIGHT(DEC2HEX(V337), 2)))&amp;RIGHT(DEC2HEX(V337), 2)</f>
        <v>22</v>
      </c>
      <c r="X337" s="13">
        <f t="shared" si="316"/>
        <v>577</v>
      </c>
      <c r="Y337" s="13" t="str">
        <f t="shared" si="317"/>
        <v>41</v>
      </c>
      <c r="Z337" s="119"/>
      <c r="AA337" s="119"/>
      <c r="AB337" s="119"/>
      <c r="AC337" s="119"/>
      <c r="AD337" s="119"/>
      <c r="AE337" s="119"/>
      <c r="AF337" s="119"/>
      <c r="AG337" s="119"/>
      <c r="AH337" s="119"/>
      <c r="AJ337" s="64"/>
      <c r="AK337" s="64" t="s">
        <v>2343</v>
      </c>
    </row>
    <row r="338" spans="2:37" s="126" customFormat="1" ht="16.5" customHeight="1">
      <c r="B338" s="122" t="s">
        <v>1961</v>
      </c>
      <c r="C338" s="122" t="s">
        <v>1614</v>
      </c>
      <c r="D338" s="123" t="s">
        <v>91</v>
      </c>
      <c r="E338" s="123"/>
      <c r="F338" s="123"/>
      <c r="G338" s="123"/>
      <c r="H338" s="123"/>
      <c r="I338" s="122" t="str">
        <f t="shared" si="313"/>
        <v>03</v>
      </c>
      <c r="J338" s="122"/>
      <c r="K338" s="122"/>
      <c r="L338" s="122"/>
      <c r="M338" s="122"/>
      <c r="N338" s="122"/>
      <c r="O338" s="122"/>
      <c r="P338" s="122"/>
      <c r="Q338" s="124">
        <f t="shared" si="292"/>
        <v>3</v>
      </c>
      <c r="R338" s="124">
        <f t="shared" si="293"/>
        <v>0</v>
      </c>
      <c r="S338" s="124">
        <f t="shared" si="294"/>
        <v>0</v>
      </c>
      <c r="T338" s="124">
        <f t="shared" si="295"/>
        <v>0</v>
      </c>
      <c r="U338" s="124">
        <f t="shared" si="296"/>
        <v>0</v>
      </c>
      <c r="V338" s="124">
        <f t="shared" si="314"/>
        <v>3</v>
      </c>
      <c r="W338" s="124" t="str">
        <f t="shared" si="315"/>
        <v>03</v>
      </c>
      <c r="X338" s="124">
        <f t="shared" si="316"/>
        <v>3</v>
      </c>
      <c r="Y338" s="124" t="str">
        <f t="shared" si="317"/>
        <v>03</v>
      </c>
      <c r="Z338" s="125"/>
      <c r="AA338" s="125"/>
      <c r="AB338" s="125"/>
      <c r="AC338" s="125"/>
      <c r="AD338" s="125"/>
      <c r="AE338" s="125"/>
      <c r="AF338" s="125"/>
      <c r="AG338" s="125"/>
      <c r="AH338" s="125"/>
      <c r="AJ338" s="127"/>
      <c r="AK338" s="127" t="s">
        <v>1613</v>
      </c>
    </row>
    <row r="339" spans="2:37" ht="16.5" customHeight="1">
      <c r="B339" s="122" t="s">
        <v>2353</v>
      </c>
      <c r="C339" s="122" t="str">
        <f>"FF"&amp;D339&amp;E339&amp;""&amp;F339&amp;G339&amp;H339&amp;I339</f>
        <v>FF01E140000022</v>
      </c>
      <c r="D339" s="60" t="s">
        <v>24</v>
      </c>
      <c r="E339" s="60" t="s">
        <v>161</v>
      </c>
      <c r="F339" s="60" t="s">
        <v>1503</v>
      </c>
      <c r="G339" s="60" t="s">
        <v>16</v>
      </c>
      <c r="H339" s="60" t="s">
        <v>16</v>
      </c>
      <c r="I339" s="12" t="str">
        <f t="shared" ref="I339" si="318">W339</f>
        <v>22</v>
      </c>
      <c r="J339" s="12"/>
      <c r="K339" s="12"/>
      <c r="L339" s="12"/>
      <c r="M339" s="12"/>
      <c r="N339" s="12"/>
      <c r="O339" s="12"/>
      <c r="P339" s="12"/>
      <c r="Q339" s="13">
        <f t="shared" ref="Q339" si="319">HEX2DEC(D339)</f>
        <v>1</v>
      </c>
      <c r="R339" s="13">
        <f t="shared" ref="R339" si="320">HEX2DEC(E339)</f>
        <v>225</v>
      </c>
      <c r="S339" s="13">
        <f t="shared" ref="S339" si="321">HEX2DEC(F339)</f>
        <v>64</v>
      </c>
      <c r="T339" s="13">
        <f t="shared" ref="T339" si="322">HEX2DEC(G339)</f>
        <v>0</v>
      </c>
      <c r="U339" s="13">
        <f t="shared" ref="U339" si="323">HEX2DEC(H339)</f>
        <v>0</v>
      </c>
      <c r="V339" s="13">
        <f t="shared" ref="V339" si="324">SUM(Q339:U339)</f>
        <v>290</v>
      </c>
      <c r="W339" s="13" t="str">
        <f t="shared" ref="W339" si="325">REPT("0",2-LEN(RIGHT(DEC2HEX(V339), 2)))&amp;RIGHT(DEC2HEX(V339), 2)</f>
        <v>22</v>
      </c>
      <c r="X339" s="13">
        <f t="shared" ref="X339" si="326">SUM(R339:W339)</f>
        <v>579</v>
      </c>
      <c r="Y339" s="13" t="str">
        <f t="shared" ref="Y339" si="327">REPT("0",2-LEN(RIGHT(DEC2HEX(X339), 2)))&amp;RIGHT(DEC2HEX(X339), 2)</f>
        <v>43</v>
      </c>
      <c r="Z339" s="119"/>
      <c r="AA339" s="119"/>
      <c r="AB339" s="119"/>
      <c r="AC339" s="119"/>
      <c r="AD339" s="119"/>
      <c r="AE339" s="119"/>
      <c r="AF339" s="119"/>
      <c r="AG339" s="119"/>
      <c r="AH339" s="119"/>
      <c r="AJ339" s="64"/>
      <c r="AK339" s="64" t="s">
        <v>2354</v>
      </c>
    </row>
    <row r="340" spans="2:37" ht="16.5" customHeight="1">
      <c r="B340" s="122" t="s">
        <v>2065</v>
      </c>
      <c r="C340" s="122" t="str">
        <f>"FF"&amp;D340&amp;E340&amp;""&amp;F340&amp;G340&amp;H340&amp;I340</f>
        <v>FF02E140000023</v>
      </c>
      <c r="D340" s="60" t="s">
        <v>17</v>
      </c>
      <c r="E340" s="60" t="s">
        <v>161</v>
      </c>
      <c r="F340" s="60" t="s">
        <v>1503</v>
      </c>
      <c r="G340" s="60" t="s">
        <v>16</v>
      </c>
      <c r="H340" s="60" t="s">
        <v>16</v>
      </c>
      <c r="I340" s="12" t="str">
        <f t="shared" si="313"/>
        <v>23</v>
      </c>
      <c r="J340" s="12"/>
      <c r="K340" s="12"/>
      <c r="L340" s="12"/>
      <c r="M340" s="12"/>
      <c r="N340" s="12"/>
      <c r="O340" s="12"/>
      <c r="P340" s="12"/>
      <c r="Q340" s="13">
        <f t="shared" si="292"/>
        <v>2</v>
      </c>
      <c r="R340" s="13">
        <f t="shared" si="293"/>
        <v>225</v>
      </c>
      <c r="S340" s="13">
        <f t="shared" si="294"/>
        <v>64</v>
      </c>
      <c r="T340" s="13">
        <f t="shared" si="295"/>
        <v>0</v>
      </c>
      <c r="U340" s="13">
        <f t="shared" si="296"/>
        <v>0</v>
      </c>
      <c r="V340" s="13">
        <f t="shared" si="314"/>
        <v>291</v>
      </c>
      <c r="W340" s="13" t="str">
        <f t="shared" si="315"/>
        <v>23</v>
      </c>
      <c r="X340" s="13">
        <f t="shared" si="316"/>
        <v>580</v>
      </c>
      <c r="Y340" s="13" t="str">
        <f t="shared" si="317"/>
        <v>44</v>
      </c>
      <c r="Z340" s="119"/>
      <c r="AA340" s="119"/>
      <c r="AB340" s="119"/>
      <c r="AC340" s="119"/>
      <c r="AD340" s="119"/>
      <c r="AE340" s="119"/>
      <c r="AF340" s="119"/>
      <c r="AG340" s="119"/>
      <c r="AH340" s="119"/>
      <c r="AJ340" s="64"/>
      <c r="AK340" s="64" t="s">
        <v>2344</v>
      </c>
    </row>
    <row r="341" spans="2:37" ht="16.5" customHeight="1">
      <c r="B341" s="122" t="s">
        <v>2066</v>
      </c>
      <c r="C341" s="122" t="str">
        <f>"FF"&amp;D341&amp;E341&amp;""&amp;F341&amp;G341&amp;H341&amp;I341</f>
        <v>FF03E140000024</v>
      </c>
      <c r="D341" s="60" t="s">
        <v>91</v>
      </c>
      <c r="E341" s="60" t="s">
        <v>161</v>
      </c>
      <c r="F341" s="60" t="s">
        <v>1503</v>
      </c>
      <c r="G341" s="60" t="s">
        <v>16</v>
      </c>
      <c r="H341" s="60" t="s">
        <v>16</v>
      </c>
      <c r="I341" s="12" t="str">
        <f t="shared" ref="I341" si="328">W341</f>
        <v>24</v>
      </c>
      <c r="J341" s="12"/>
      <c r="K341" s="12"/>
      <c r="L341" s="12"/>
      <c r="M341" s="12"/>
      <c r="N341" s="12"/>
      <c r="O341" s="12"/>
      <c r="P341" s="12"/>
      <c r="Q341" s="13">
        <f t="shared" ref="Q341" si="329">HEX2DEC(D341)</f>
        <v>3</v>
      </c>
      <c r="R341" s="13">
        <f t="shared" ref="R341" si="330">HEX2DEC(E341)</f>
        <v>225</v>
      </c>
      <c r="S341" s="13">
        <f t="shared" ref="S341" si="331">HEX2DEC(F341)</f>
        <v>64</v>
      </c>
      <c r="T341" s="13">
        <f t="shared" ref="T341" si="332">HEX2DEC(G341)</f>
        <v>0</v>
      </c>
      <c r="U341" s="13">
        <f t="shared" ref="U341" si="333">HEX2DEC(H341)</f>
        <v>0</v>
      </c>
      <c r="V341" s="13">
        <f t="shared" ref="V341" si="334">SUM(Q341:U341)</f>
        <v>292</v>
      </c>
      <c r="W341" s="13" t="str">
        <f t="shared" ref="W341" si="335">REPT("0",2-LEN(RIGHT(DEC2HEX(V341), 2)))&amp;RIGHT(DEC2HEX(V341), 2)</f>
        <v>24</v>
      </c>
      <c r="X341" s="13">
        <f t="shared" ref="X341" si="336">SUM(R341:W341)</f>
        <v>581</v>
      </c>
      <c r="Y341" s="13" t="str">
        <f t="shared" ref="Y341" si="337">REPT("0",2-LEN(RIGHT(DEC2HEX(X341), 2)))&amp;RIGHT(DEC2HEX(X341), 2)</f>
        <v>45</v>
      </c>
      <c r="Z341" s="119"/>
      <c r="AA341" s="119"/>
      <c r="AB341" s="119"/>
      <c r="AC341" s="119"/>
      <c r="AD341" s="119"/>
      <c r="AE341" s="119"/>
      <c r="AF341" s="119"/>
      <c r="AG341" s="119"/>
      <c r="AH341" s="119"/>
      <c r="AJ341" s="64"/>
      <c r="AK341" s="64" t="s">
        <v>2345</v>
      </c>
    </row>
    <row r="342" spans="2:37" s="126" customFormat="1" ht="16.5" customHeight="1">
      <c r="B342" s="122" t="s">
        <v>1988</v>
      </c>
      <c r="C342" s="122" t="s">
        <v>1614</v>
      </c>
      <c r="D342" s="123" t="s">
        <v>17</v>
      </c>
      <c r="E342" s="123"/>
      <c r="F342" s="123"/>
      <c r="G342" s="123"/>
      <c r="H342" s="123"/>
      <c r="I342" s="122" t="str">
        <f t="shared" si="313"/>
        <v>02</v>
      </c>
      <c r="J342" s="122"/>
      <c r="K342" s="122"/>
      <c r="L342" s="122"/>
      <c r="M342" s="122"/>
      <c r="N342" s="122"/>
      <c r="O342" s="122"/>
      <c r="P342" s="122"/>
      <c r="Q342" s="124">
        <f t="shared" si="292"/>
        <v>2</v>
      </c>
      <c r="R342" s="124">
        <f t="shared" si="293"/>
        <v>0</v>
      </c>
      <c r="S342" s="124">
        <f t="shared" si="294"/>
        <v>0</v>
      </c>
      <c r="T342" s="124">
        <f t="shared" si="295"/>
        <v>0</v>
      </c>
      <c r="U342" s="124">
        <f t="shared" si="296"/>
        <v>0</v>
      </c>
      <c r="V342" s="124">
        <f>SUM(Q342:U342)</f>
        <v>2</v>
      </c>
      <c r="W342" s="124" t="str">
        <f t="shared" si="315"/>
        <v>02</v>
      </c>
      <c r="X342" s="124">
        <f t="shared" si="316"/>
        <v>2</v>
      </c>
      <c r="Y342" s="124" t="str">
        <f t="shared" si="317"/>
        <v>02</v>
      </c>
      <c r="Z342" s="125"/>
      <c r="AA342" s="125"/>
      <c r="AB342" s="125"/>
      <c r="AC342" s="125"/>
      <c r="AD342" s="125"/>
      <c r="AE342" s="125"/>
      <c r="AF342" s="125"/>
      <c r="AG342" s="125"/>
      <c r="AH342" s="125"/>
      <c r="AJ342" s="127"/>
      <c r="AK342" s="127" t="s">
        <v>1613</v>
      </c>
    </row>
    <row r="343" spans="2:37" ht="16.5" customHeight="1">
      <c r="B343" s="122" t="s">
        <v>1989</v>
      </c>
      <c r="C343" s="122" t="str">
        <f t="shared" ref="C343:C350" si="338">"82"&amp;D343&amp;E343&amp;""&amp;F343&amp;G343&amp;H343&amp;I343&amp;J343&amp;K343&amp;L343&amp;M343&amp;N343&amp;O343&amp;P343</f>
        <v>820200A7000000000000000000A9</v>
      </c>
      <c r="D343" s="60" t="s">
        <v>17</v>
      </c>
      <c r="E343" s="60" t="s">
        <v>16</v>
      </c>
      <c r="F343" s="60" t="s">
        <v>1958</v>
      </c>
      <c r="G343" s="60" t="s">
        <v>16</v>
      </c>
      <c r="H343" s="60" t="s">
        <v>16</v>
      </c>
      <c r="I343" s="60" t="s">
        <v>16</v>
      </c>
      <c r="J343" s="60" t="s">
        <v>16</v>
      </c>
      <c r="K343" s="60" t="s">
        <v>16</v>
      </c>
      <c r="L343" s="60" t="s">
        <v>16</v>
      </c>
      <c r="M343" s="60" t="s">
        <v>16</v>
      </c>
      <c r="N343" s="60" t="s">
        <v>16</v>
      </c>
      <c r="O343" s="60" t="s">
        <v>16</v>
      </c>
      <c r="P343" s="12" t="str">
        <f t="shared" ref="P343:P350" si="339">W343</f>
        <v>A9</v>
      </c>
      <c r="Q343" s="114">
        <f t="shared" si="292"/>
        <v>2</v>
      </c>
      <c r="R343" s="114">
        <f t="shared" si="293"/>
        <v>0</v>
      </c>
      <c r="S343" s="114">
        <f t="shared" si="294"/>
        <v>167</v>
      </c>
      <c r="T343" s="114">
        <f t="shared" si="295"/>
        <v>0</v>
      </c>
      <c r="U343" s="114">
        <f t="shared" si="296"/>
        <v>0</v>
      </c>
      <c r="V343" s="114">
        <f t="shared" ref="V343:V361" si="340">SUM(Q343:U343)+SUM(Z343:AF343)</f>
        <v>169</v>
      </c>
      <c r="W343" s="13" t="str">
        <f t="shared" si="315"/>
        <v>A9</v>
      </c>
      <c r="X343" s="13"/>
      <c r="Y343" s="13"/>
      <c r="Z343" s="114">
        <f t="shared" ref="Z343:AF353" si="341">HEX2DEC(I343)</f>
        <v>0</v>
      </c>
      <c r="AA343" s="114">
        <f t="shared" si="341"/>
        <v>0</v>
      </c>
      <c r="AB343" s="114">
        <f t="shared" si="341"/>
        <v>0</v>
      </c>
      <c r="AC343" s="114">
        <f t="shared" si="341"/>
        <v>0</v>
      </c>
      <c r="AD343" s="114">
        <f t="shared" si="341"/>
        <v>0</v>
      </c>
      <c r="AE343" s="114">
        <f t="shared" si="341"/>
        <v>0</v>
      </c>
      <c r="AF343" s="114">
        <f t="shared" si="341"/>
        <v>0</v>
      </c>
      <c r="AG343" s="119"/>
      <c r="AH343" s="119"/>
      <c r="AJ343" s="64"/>
      <c r="AK343" s="64" t="s">
        <v>2346</v>
      </c>
    </row>
    <row r="344" spans="2:37" ht="16.5" customHeight="1">
      <c r="B344" s="122" t="s">
        <v>1997</v>
      </c>
      <c r="C344" s="122" t="str">
        <f t="shared" si="338"/>
        <v>820200A9000000000000000000AB</v>
      </c>
      <c r="D344" s="60" t="s">
        <v>17</v>
      </c>
      <c r="E344" s="60" t="s">
        <v>16</v>
      </c>
      <c r="F344" s="60" t="s">
        <v>1998</v>
      </c>
      <c r="G344" s="60" t="s">
        <v>16</v>
      </c>
      <c r="H344" s="60" t="s">
        <v>16</v>
      </c>
      <c r="I344" s="60" t="s">
        <v>16</v>
      </c>
      <c r="J344" s="60" t="s">
        <v>16</v>
      </c>
      <c r="K344" s="60" t="s">
        <v>16</v>
      </c>
      <c r="L344" s="60" t="s">
        <v>16</v>
      </c>
      <c r="M344" s="60" t="s">
        <v>16</v>
      </c>
      <c r="N344" s="60" t="s">
        <v>16</v>
      </c>
      <c r="O344" s="60" t="s">
        <v>16</v>
      </c>
      <c r="P344" s="12" t="str">
        <f t="shared" si="339"/>
        <v>AB</v>
      </c>
      <c r="Q344" s="114">
        <f t="shared" ref="Q344:Q345" si="342">HEX2DEC(D344)</f>
        <v>2</v>
      </c>
      <c r="R344" s="114">
        <f t="shared" ref="R344:R345" si="343">HEX2DEC(E344)</f>
        <v>0</v>
      </c>
      <c r="S344" s="114">
        <f t="shared" ref="S344:S345" si="344">HEX2DEC(F344)</f>
        <v>169</v>
      </c>
      <c r="T344" s="114">
        <f t="shared" ref="T344:T345" si="345">HEX2DEC(G344)</f>
        <v>0</v>
      </c>
      <c r="U344" s="114">
        <f t="shared" ref="U344:U345" si="346">HEX2DEC(H344)</f>
        <v>0</v>
      </c>
      <c r="V344" s="114">
        <f t="shared" si="340"/>
        <v>171</v>
      </c>
      <c r="W344" s="13" t="str">
        <f t="shared" ref="W344:W345" si="347">REPT("0",2-LEN(RIGHT(DEC2HEX(V344), 2)))&amp;RIGHT(DEC2HEX(V344), 2)</f>
        <v>AB</v>
      </c>
      <c r="X344" s="13"/>
      <c r="Y344" s="13"/>
      <c r="Z344" s="114">
        <f t="shared" si="341"/>
        <v>0</v>
      </c>
      <c r="AA344" s="114">
        <f t="shared" ref="AA344" si="348">HEX2DEC(J344)</f>
        <v>0</v>
      </c>
      <c r="AB344" s="114">
        <f t="shared" ref="AB344" si="349">HEX2DEC(K344)</f>
        <v>0</v>
      </c>
      <c r="AC344" s="114">
        <f t="shared" ref="AC344" si="350">HEX2DEC(L344)</f>
        <v>0</v>
      </c>
      <c r="AD344" s="114">
        <f t="shared" ref="AD344" si="351">HEX2DEC(M344)</f>
        <v>0</v>
      </c>
      <c r="AE344" s="114">
        <f t="shared" ref="AE344" si="352">HEX2DEC(N344)</f>
        <v>0</v>
      </c>
      <c r="AF344" s="114">
        <f t="shared" ref="AF344" si="353">HEX2DEC(O344)</f>
        <v>0</v>
      </c>
      <c r="AG344" s="119"/>
      <c r="AH344" s="119"/>
      <c r="AJ344" s="64"/>
      <c r="AK344" s="64" t="s">
        <v>2347</v>
      </c>
    </row>
    <row r="345" spans="2:37" ht="16.5" customHeight="1">
      <c r="B345" s="122" t="s">
        <v>1999</v>
      </c>
      <c r="C345" s="122" t="str">
        <f t="shared" si="338"/>
        <v>820200AF000000000000000000B1</v>
      </c>
      <c r="D345" s="60" t="s">
        <v>17</v>
      </c>
      <c r="E345" s="60" t="s">
        <v>16</v>
      </c>
      <c r="F345" s="60" t="s">
        <v>28</v>
      </c>
      <c r="G345" s="60" t="s">
        <v>16</v>
      </c>
      <c r="H345" s="60" t="s">
        <v>16</v>
      </c>
      <c r="I345" s="60" t="s">
        <v>16</v>
      </c>
      <c r="J345" s="60" t="s">
        <v>16</v>
      </c>
      <c r="K345" s="60" t="s">
        <v>16</v>
      </c>
      <c r="L345" s="60" t="s">
        <v>16</v>
      </c>
      <c r="M345" s="60" t="s">
        <v>16</v>
      </c>
      <c r="N345" s="60" t="s">
        <v>16</v>
      </c>
      <c r="O345" s="60" t="s">
        <v>16</v>
      </c>
      <c r="P345" s="12" t="str">
        <f t="shared" si="339"/>
        <v>B1</v>
      </c>
      <c r="Q345" s="114">
        <f t="shared" si="342"/>
        <v>2</v>
      </c>
      <c r="R345" s="114">
        <f t="shared" si="343"/>
        <v>0</v>
      </c>
      <c r="S345" s="114">
        <f t="shared" si="344"/>
        <v>175</v>
      </c>
      <c r="T345" s="114">
        <f t="shared" si="345"/>
        <v>0</v>
      </c>
      <c r="U345" s="114">
        <f t="shared" si="346"/>
        <v>0</v>
      </c>
      <c r="V345" s="114">
        <f t="shared" si="340"/>
        <v>177</v>
      </c>
      <c r="W345" s="13" t="str">
        <f t="shared" si="347"/>
        <v>B1</v>
      </c>
      <c r="X345" s="13"/>
      <c r="Y345" s="13"/>
      <c r="Z345" s="114">
        <f t="shared" si="341"/>
        <v>0</v>
      </c>
      <c r="AA345" s="114">
        <f t="shared" ref="AA345" si="354">HEX2DEC(J345)</f>
        <v>0</v>
      </c>
      <c r="AB345" s="114">
        <f t="shared" ref="AB345" si="355">HEX2DEC(K345)</f>
        <v>0</v>
      </c>
      <c r="AC345" s="114">
        <f t="shared" ref="AC345" si="356">HEX2DEC(L345)</f>
        <v>0</v>
      </c>
      <c r="AD345" s="114">
        <f t="shared" ref="AD345" si="357">HEX2DEC(M345)</f>
        <v>0</v>
      </c>
      <c r="AE345" s="114">
        <f t="shared" ref="AE345" si="358">HEX2DEC(N345)</f>
        <v>0</v>
      </c>
      <c r="AF345" s="114">
        <f t="shared" ref="AF345" si="359">HEX2DEC(O345)</f>
        <v>0</v>
      </c>
      <c r="AG345" s="119"/>
      <c r="AH345" s="119"/>
      <c r="AJ345" s="64"/>
      <c r="AK345" s="64" t="s">
        <v>2348</v>
      </c>
    </row>
    <row r="346" spans="2:37" ht="16.5" customHeight="1">
      <c r="B346" s="122" t="s">
        <v>2000</v>
      </c>
      <c r="C346" s="122" t="str">
        <f t="shared" si="338"/>
        <v>820200AF0FA00000000000000060</v>
      </c>
      <c r="D346" s="60" t="s">
        <v>17</v>
      </c>
      <c r="E346" s="60" t="s">
        <v>16</v>
      </c>
      <c r="F346" s="60" t="s">
        <v>28</v>
      </c>
      <c r="G346" s="60" t="s">
        <v>78</v>
      </c>
      <c r="H346" s="60" t="s">
        <v>23</v>
      </c>
      <c r="I346" s="60" t="s">
        <v>16</v>
      </c>
      <c r="J346" s="60" t="s">
        <v>16</v>
      </c>
      <c r="K346" s="60" t="s">
        <v>16</v>
      </c>
      <c r="L346" s="60" t="s">
        <v>16</v>
      </c>
      <c r="M346" s="60" t="s">
        <v>16</v>
      </c>
      <c r="N346" s="60" t="s">
        <v>16</v>
      </c>
      <c r="O346" s="60" t="s">
        <v>16</v>
      </c>
      <c r="P346" s="12" t="str">
        <f t="shared" si="339"/>
        <v>60</v>
      </c>
      <c r="Q346" s="114">
        <f t="shared" ref="Q346" si="360">HEX2DEC(D346)</f>
        <v>2</v>
      </c>
      <c r="R346" s="114">
        <f t="shared" ref="R346" si="361">HEX2DEC(E346)</f>
        <v>0</v>
      </c>
      <c r="S346" s="114">
        <f t="shared" ref="S346" si="362">HEX2DEC(F346)</f>
        <v>175</v>
      </c>
      <c r="T346" s="114">
        <f t="shared" ref="T346" si="363">HEX2DEC(G346)</f>
        <v>15</v>
      </c>
      <c r="U346" s="114">
        <f t="shared" ref="U346" si="364">HEX2DEC(H346)</f>
        <v>160</v>
      </c>
      <c r="V346" s="114">
        <f t="shared" si="340"/>
        <v>352</v>
      </c>
      <c r="W346" s="13" t="str">
        <f t="shared" ref="W346" si="365">REPT("0",2-LEN(RIGHT(DEC2HEX(V346), 2)))&amp;RIGHT(DEC2HEX(V346), 2)</f>
        <v>60</v>
      </c>
      <c r="X346" s="13"/>
      <c r="Y346" s="13"/>
      <c r="Z346" s="114">
        <f t="shared" si="341"/>
        <v>0</v>
      </c>
      <c r="AA346" s="114">
        <f>HEX2DEC(J346)</f>
        <v>0</v>
      </c>
      <c r="AB346" s="114">
        <f t="shared" ref="AB346" si="366">HEX2DEC(K346)</f>
        <v>0</v>
      </c>
      <c r="AC346" s="114">
        <f t="shared" ref="AC346" si="367">HEX2DEC(L346)</f>
        <v>0</v>
      </c>
      <c r="AD346" s="114">
        <f t="shared" ref="AD346" si="368">HEX2DEC(M346)</f>
        <v>0</v>
      </c>
      <c r="AE346" s="114">
        <f t="shared" ref="AE346" si="369">HEX2DEC(N346)</f>
        <v>0</v>
      </c>
      <c r="AF346" s="114">
        <f t="shared" ref="AF346" si="370">HEX2DEC(O346)</f>
        <v>0</v>
      </c>
      <c r="AG346" s="119"/>
      <c r="AH346" s="119"/>
      <c r="AJ346" s="64"/>
      <c r="AK346" s="64" t="s">
        <v>2032</v>
      </c>
    </row>
    <row r="347" spans="2:37" ht="16.5" customHeight="1">
      <c r="B347" s="122" t="s">
        <v>2001</v>
      </c>
      <c r="C347" s="122" t="str">
        <f t="shared" si="338"/>
        <v>820200AF1F400000000000000010</v>
      </c>
      <c r="D347" s="60" t="s">
        <v>17</v>
      </c>
      <c r="E347" s="60" t="s">
        <v>16</v>
      </c>
      <c r="F347" s="60" t="s">
        <v>28</v>
      </c>
      <c r="G347" s="60" t="s">
        <v>1803</v>
      </c>
      <c r="H347" s="60" t="s">
        <v>1503</v>
      </c>
      <c r="I347" s="60" t="s">
        <v>16</v>
      </c>
      <c r="J347" s="60" t="s">
        <v>16</v>
      </c>
      <c r="K347" s="60" t="s">
        <v>16</v>
      </c>
      <c r="L347" s="60" t="s">
        <v>16</v>
      </c>
      <c r="M347" s="60" t="s">
        <v>16</v>
      </c>
      <c r="N347" s="60" t="s">
        <v>16</v>
      </c>
      <c r="O347" s="60" t="s">
        <v>16</v>
      </c>
      <c r="P347" s="12" t="str">
        <f t="shared" si="339"/>
        <v>10</v>
      </c>
      <c r="Q347" s="114">
        <f t="shared" ref="Q347" si="371">HEX2DEC(D347)</f>
        <v>2</v>
      </c>
      <c r="R347" s="114">
        <f t="shared" ref="R347" si="372">HEX2DEC(E347)</f>
        <v>0</v>
      </c>
      <c r="S347" s="114">
        <f t="shared" ref="S347" si="373">HEX2DEC(F347)</f>
        <v>175</v>
      </c>
      <c r="T347" s="114">
        <f t="shared" ref="T347" si="374">HEX2DEC(G347)</f>
        <v>31</v>
      </c>
      <c r="U347" s="114">
        <f t="shared" ref="U347" si="375">HEX2DEC(H347)</f>
        <v>64</v>
      </c>
      <c r="V347" s="114">
        <f t="shared" si="340"/>
        <v>272</v>
      </c>
      <c r="W347" s="13" t="str">
        <f t="shared" ref="W347" si="376">REPT("0",2-LEN(RIGHT(DEC2HEX(V347), 2)))&amp;RIGHT(DEC2HEX(V347), 2)</f>
        <v>10</v>
      </c>
      <c r="X347" s="13"/>
      <c r="Y347" s="13"/>
      <c r="Z347" s="114">
        <f t="shared" si="341"/>
        <v>0</v>
      </c>
      <c r="AA347" s="114">
        <f t="shared" ref="AA347" si="377">HEX2DEC(J347)</f>
        <v>0</v>
      </c>
      <c r="AB347" s="114">
        <f t="shared" ref="AB347" si="378">HEX2DEC(K347)</f>
        <v>0</v>
      </c>
      <c r="AC347" s="114">
        <f t="shared" ref="AC347" si="379">HEX2DEC(L347)</f>
        <v>0</v>
      </c>
      <c r="AD347" s="114">
        <f t="shared" ref="AD347" si="380">HEX2DEC(M347)</f>
        <v>0</v>
      </c>
      <c r="AE347" s="114">
        <f t="shared" ref="AE347" si="381">HEX2DEC(N347)</f>
        <v>0</v>
      </c>
      <c r="AF347" s="114">
        <f t="shared" ref="AF347" si="382">HEX2DEC(O347)</f>
        <v>0</v>
      </c>
      <c r="AG347" s="119"/>
      <c r="AH347" s="119"/>
      <c r="AJ347" s="64"/>
      <c r="AK347" s="64" t="s">
        <v>2033</v>
      </c>
    </row>
    <row r="348" spans="2:37" ht="16.5" customHeight="1">
      <c r="B348" s="122" t="s">
        <v>2002</v>
      </c>
      <c r="C348" s="122" t="str">
        <f t="shared" si="338"/>
        <v>820200AF2EE000000000000000BF</v>
      </c>
      <c r="D348" s="60" t="s">
        <v>17</v>
      </c>
      <c r="E348" s="60" t="s">
        <v>16</v>
      </c>
      <c r="F348" s="60" t="s">
        <v>28</v>
      </c>
      <c r="G348" s="60" t="s">
        <v>2003</v>
      </c>
      <c r="H348" s="60" t="s">
        <v>15</v>
      </c>
      <c r="I348" s="60" t="s">
        <v>16</v>
      </c>
      <c r="J348" s="60" t="s">
        <v>16</v>
      </c>
      <c r="K348" s="60" t="s">
        <v>16</v>
      </c>
      <c r="L348" s="60" t="s">
        <v>16</v>
      </c>
      <c r="M348" s="60" t="s">
        <v>16</v>
      </c>
      <c r="N348" s="60" t="s">
        <v>16</v>
      </c>
      <c r="O348" s="60" t="s">
        <v>16</v>
      </c>
      <c r="P348" s="12" t="str">
        <f t="shared" si="339"/>
        <v>BF</v>
      </c>
      <c r="Q348" s="114">
        <f t="shared" ref="Q348" si="383">HEX2DEC(D348)</f>
        <v>2</v>
      </c>
      <c r="R348" s="114">
        <f t="shared" ref="R348" si="384">HEX2DEC(E348)</f>
        <v>0</v>
      </c>
      <c r="S348" s="114">
        <f t="shared" ref="S348" si="385">HEX2DEC(F348)</f>
        <v>175</v>
      </c>
      <c r="T348" s="114">
        <f t="shared" ref="T348" si="386">HEX2DEC(G348)</f>
        <v>46</v>
      </c>
      <c r="U348" s="114">
        <f t="shared" ref="U348" si="387">HEX2DEC(H348)</f>
        <v>224</v>
      </c>
      <c r="V348" s="114">
        <f t="shared" si="340"/>
        <v>447</v>
      </c>
      <c r="W348" s="13" t="str">
        <f t="shared" ref="W348" si="388">REPT("0",2-LEN(RIGHT(DEC2HEX(V348), 2)))&amp;RIGHT(DEC2HEX(V348), 2)</f>
        <v>BF</v>
      </c>
      <c r="X348" s="13"/>
      <c r="Y348" s="13"/>
      <c r="Z348" s="114">
        <f t="shared" si="341"/>
        <v>0</v>
      </c>
      <c r="AA348" s="114">
        <f t="shared" ref="AA348" si="389">HEX2DEC(J348)</f>
        <v>0</v>
      </c>
      <c r="AB348" s="114">
        <f t="shared" ref="AB348" si="390">HEX2DEC(K348)</f>
        <v>0</v>
      </c>
      <c r="AC348" s="114">
        <f t="shared" ref="AC348" si="391">HEX2DEC(L348)</f>
        <v>0</v>
      </c>
      <c r="AD348" s="114">
        <f t="shared" ref="AD348" si="392">HEX2DEC(M348)</f>
        <v>0</v>
      </c>
      <c r="AE348" s="114">
        <f t="shared" ref="AE348" si="393">HEX2DEC(N348)</f>
        <v>0</v>
      </c>
      <c r="AF348" s="114">
        <f t="shared" ref="AF348" si="394">HEX2DEC(O348)</f>
        <v>0</v>
      </c>
      <c r="AG348" s="119"/>
      <c r="AH348" s="119"/>
      <c r="AJ348" s="64"/>
      <c r="AK348" s="64" t="s">
        <v>2349</v>
      </c>
    </row>
    <row r="349" spans="2:37" ht="16.5" customHeight="1">
      <c r="B349" s="122" t="s">
        <v>2004</v>
      </c>
      <c r="C349" s="122" t="str">
        <f t="shared" si="338"/>
        <v>820200AF3E7F000000000000006E</v>
      </c>
      <c r="D349" s="60" t="s">
        <v>17</v>
      </c>
      <c r="E349" s="60" t="s">
        <v>16</v>
      </c>
      <c r="F349" s="60" t="s">
        <v>28</v>
      </c>
      <c r="G349" s="60" t="s">
        <v>1862</v>
      </c>
      <c r="H349" s="60" t="s">
        <v>1388</v>
      </c>
      <c r="I349" s="60" t="s">
        <v>16</v>
      </c>
      <c r="J349" s="60" t="s">
        <v>16</v>
      </c>
      <c r="K349" s="60" t="s">
        <v>16</v>
      </c>
      <c r="L349" s="60" t="s">
        <v>16</v>
      </c>
      <c r="M349" s="60" t="s">
        <v>16</v>
      </c>
      <c r="N349" s="60" t="s">
        <v>16</v>
      </c>
      <c r="O349" s="60" t="s">
        <v>16</v>
      </c>
      <c r="P349" s="12" t="str">
        <f t="shared" si="339"/>
        <v>6E</v>
      </c>
      <c r="Q349" s="114">
        <f t="shared" ref="Q349:Q350" si="395">HEX2DEC(D349)</f>
        <v>2</v>
      </c>
      <c r="R349" s="114">
        <f t="shared" ref="R349:R350" si="396">HEX2DEC(E349)</f>
        <v>0</v>
      </c>
      <c r="S349" s="114">
        <f t="shared" ref="S349:S350" si="397">HEX2DEC(F349)</f>
        <v>175</v>
      </c>
      <c r="T349" s="114">
        <f t="shared" ref="T349:T350" si="398">HEX2DEC(G349)</f>
        <v>62</v>
      </c>
      <c r="U349" s="114">
        <f t="shared" ref="U349:U350" si="399">HEX2DEC(H349)</f>
        <v>127</v>
      </c>
      <c r="V349" s="114">
        <f t="shared" si="340"/>
        <v>366</v>
      </c>
      <c r="W349" s="13" t="str">
        <f t="shared" ref="W349" si="400">REPT("0",2-LEN(RIGHT(DEC2HEX(V349), 2)))&amp;RIGHT(DEC2HEX(V349), 2)</f>
        <v>6E</v>
      </c>
      <c r="X349" s="13"/>
      <c r="Y349" s="13"/>
      <c r="Z349" s="114">
        <f t="shared" si="341"/>
        <v>0</v>
      </c>
      <c r="AA349" s="114">
        <f t="shared" ref="AA349:AF350" si="401">HEX2DEC(J349)</f>
        <v>0</v>
      </c>
      <c r="AB349" s="114">
        <f t="shared" si="401"/>
        <v>0</v>
      </c>
      <c r="AC349" s="114">
        <f t="shared" si="401"/>
        <v>0</v>
      </c>
      <c r="AD349" s="114">
        <f t="shared" si="401"/>
        <v>0</v>
      </c>
      <c r="AE349" s="114">
        <f t="shared" si="401"/>
        <v>0</v>
      </c>
      <c r="AF349" s="114">
        <f t="shared" si="401"/>
        <v>0</v>
      </c>
      <c r="AG349" s="119"/>
      <c r="AH349" s="119"/>
      <c r="AJ349" s="64"/>
      <c r="AK349" s="64" t="s">
        <v>2034</v>
      </c>
    </row>
    <row r="350" spans="2:37" ht="16.5" customHeight="1">
      <c r="B350" s="122" t="s">
        <v>2005</v>
      </c>
      <c r="C350" s="122" t="str">
        <f t="shared" si="338"/>
        <v>820200AF00000FA0000000000060</v>
      </c>
      <c r="D350" s="60" t="s">
        <v>17</v>
      </c>
      <c r="E350" s="60" t="s">
        <v>16</v>
      </c>
      <c r="F350" s="60" t="s">
        <v>28</v>
      </c>
      <c r="G350" s="60" t="s">
        <v>16</v>
      </c>
      <c r="H350" s="60" t="s">
        <v>16</v>
      </c>
      <c r="I350" s="60" t="s">
        <v>78</v>
      </c>
      <c r="J350" s="60" t="s">
        <v>23</v>
      </c>
      <c r="K350" s="60" t="s">
        <v>16</v>
      </c>
      <c r="L350" s="60" t="s">
        <v>16</v>
      </c>
      <c r="M350" s="60" t="s">
        <v>16</v>
      </c>
      <c r="N350" s="60" t="s">
        <v>16</v>
      </c>
      <c r="O350" s="60" t="s">
        <v>16</v>
      </c>
      <c r="P350" s="12" t="str">
        <f t="shared" si="339"/>
        <v>60</v>
      </c>
      <c r="Q350" s="114">
        <f t="shared" si="395"/>
        <v>2</v>
      </c>
      <c r="R350" s="114">
        <f t="shared" si="396"/>
        <v>0</v>
      </c>
      <c r="S350" s="114">
        <f t="shared" si="397"/>
        <v>175</v>
      </c>
      <c r="T350" s="114">
        <f t="shared" si="398"/>
        <v>0</v>
      </c>
      <c r="U350" s="114">
        <f t="shared" si="399"/>
        <v>0</v>
      </c>
      <c r="V350" s="114">
        <f t="shared" si="340"/>
        <v>352</v>
      </c>
      <c r="W350" s="13" t="str">
        <f>REPT("0",2-LEN(RIGHT(DEC2HEX(V350), 2)))&amp;RIGHT(DEC2HEX(V350), 2)</f>
        <v>60</v>
      </c>
      <c r="X350" s="13"/>
      <c r="Y350" s="13"/>
      <c r="Z350" s="114">
        <f t="shared" si="341"/>
        <v>15</v>
      </c>
      <c r="AA350" s="114">
        <f t="shared" si="401"/>
        <v>160</v>
      </c>
      <c r="AB350" s="114">
        <f t="shared" si="401"/>
        <v>0</v>
      </c>
      <c r="AC350" s="114">
        <f t="shared" si="401"/>
        <v>0</v>
      </c>
      <c r="AD350" s="114">
        <f t="shared" si="401"/>
        <v>0</v>
      </c>
      <c r="AE350" s="114">
        <f t="shared" si="401"/>
        <v>0</v>
      </c>
      <c r="AF350" s="114">
        <f t="shared" si="401"/>
        <v>0</v>
      </c>
      <c r="AG350" s="119"/>
      <c r="AH350" s="119"/>
      <c r="AJ350" s="64"/>
      <c r="AK350" s="64" t="s">
        <v>2035</v>
      </c>
    </row>
    <row r="351" spans="2:37" ht="16.5" customHeight="1">
      <c r="B351" s="122" t="s">
        <v>2006</v>
      </c>
      <c r="C351" s="122" t="str">
        <f t="shared" ref="C351:C353" si="402">"82"&amp;D351&amp;E351&amp;""&amp;F351&amp;G351&amp;H351&amp;I351&amp;J351&amp;K351&amp;L351&amp;M351&amp;N351&amp;O351&amp;P351</f>
        <v>820200AF00001F40000000000010</v>
      </c>
      <c r="D351" s="60" t="s">
        <v>17</v>
      </c>
      <c r="E351" s="60" t="s">
        <v>16</v>
      </c>
      <c r="F351" s="60" t="s">
        <v>28</v>
      </c>
      <c r="G351" s="60" t="s">
        <v>16</v>
      </c>
      <c r="H351" s="60" t="s">
        <v>16</v>
      </c>
      <c r="I351" s="60" t="s">
        <v>1803</v>
      </c>
      <c r="J351" s="60" t="s">
        <v>1503</v>
      </c>
      <c r="K351" s="60" t="s">
        <v>16</v>
      </c>
      <c r="L351" s="60" t="s">
        <v>16</v>
      </c>
      <c r="M351" s="60" t="s">
        <v>16</v>
      </c>
      <c r="N351" s="60" t="s">
        <v>16</v>
      </c>
      <c r="O351" s="60" t="s">
        <v>16</v>
      </c>
      <c r="P351" s="12" t="str">
        <f t="shared" ref="P351:P353" si="403">W351</f>
        <v>10</v>
      </c>
      <c r="Q351" s="114">
        <f t="shared" ref="Q351:Q353" si="404">HEX2DEC(D351)</f>
        <v>2</v>
      </c>
      <c r="R351" s="114">
        <f t="shared" ref="R351:R353" si="405">HEX2DEC(E351)</f>
        <v>0</v>
      </c>
      <c r="S351" s="114">
        <f t="shared" ref="S351:S353" si="406">HEX2DEC(F351)</f>
        <v>175</v>
      </c>
      <c r="T351" s="114">
        <f t="shared" ref="T351:T353" si="407">HEX2DEC(G351)</f>
        <v>0</v>
      </c>
      <c r="U351" s="114">
        <f t="shared" ref="U351:U353" si="408">HEX2DEC(H351)</f>
        <v>0</v>
      </c>
      <c r="V351" s="114">
        <f t="shared" si="340"/>
        <v>272</v>
      </c>
      <c r="W351" s="13" t="str">
        <f t="shared" ref="W351:W353" si="409">REPT("0",2-LEN(RIGHT(DEC2HEX(V351), 2)))&amp;RIGHT(DEC2HEX(V351), 2)</f>
        <v>10</v>
      </c>
      <c r="X351" s="13"/>
      <c r="Y351" s="13"/>
      <c r="Z351" s="114">
        <f t="shared" si="341"/>
        <v>31</v>
      </c>
      <c r="AA351" s="114">
        <f t="shared" ref="AA351:AA353" si="410">HEX2DEC(J351)</f>
        <v>64</v>
      </c>
      <c r="AB351" s="114">
        <f t="shared" ref="AB351:AB353" si="411">HEX2DEC(K351)</f>
        <v>0</v>
      </c>
      <c r="AC351" s="114">
        <f t="shared" ref="AC351:AC353" si="412">HEX2DEC(L351)</f>
        <v>0</v>
      </c>
      <c r="AD351" s="114">
        <f t="shared" ref="AD351:AD353" si="413">HEX2DEC(M351)</f>
        <v>0</v>
      </c>
      <c r="AE351" s="114">
        <f t="shared" ref="AE351:AE353" si="414">HEX2DEC(N351)</f>
        <v>0</v>
      </c>
      <c r="AF351" s="114">
        <f t="shared" ref="AF351:AF353" si="415">HEX2DEC(O351)</f>
        <v>0</v>
      </c>
      <c r="AG351" s="119"/>
      <c r="AH351" s="119"/>
      <c r="AJ351" s="64"/>
      <c r="AK351" s="64" t="s">
        <v>2036</v>
      </c>
    </row>
    <row r="352" spans="2:37" ht="16.5" customHeight="1">
      <c r="B352" s="122" t="s">
        <v>2007</v>
      </c>
      <c r="C352" s="122" t="str">
        <f t="shared" si="402"/>
        <v>820200AF00002EE00000000000BF</v>
      </c>
      <c r="D352" s="60" t="s">
        <v>17</v>
      </c>
      <c r="E352" s="60" t="s">
        <v>16</v>
      </c>
      <c r="F352" s="60" t="s">
        <v>28</v>
      </c>
      <c r="G352" s="60" t="s">
        <v>16</v>
      </c>
      <c r="H352" s="60" t="s">
        <v>16</v>
      </c>
      <c r="I352" s="60" t="s">
        <v>2003</v>
      </c>
      <c r="J352" s="60" t="s">
        <v>15</v>
      </c>
      <c r="K352" s="60" t="s">
        <v>16</v>
      </c>
      <c r="L352" s="60" t="s">
        <v>16</v>
      </c>
      <c r="M352" s="60" t="s">
        <v>16</v>
      </c>
      <c r="N352" s="60" t="s">
        <v>16</v>
      </c>
      <c r="O352" s="60" t="s">
        <v>16</v>
      </c>
      <c r="P352" s="12" t="str">
        <f t="shared" si="403"/>
        <v>BF</v>
      </c>
      <c r="Q352" s="114">
        <f t="shared" si="404"/>
        <v>2</v>
      </c>
      <c r="R352" s="114">
        <f t="shared" si="405"/>
        <v>0</v>
      </c>
      <c r="S352" s="114">
        <f t="shared" si="406"/>
        <v>175</v>
      </c>
      <c r="T352" s="114">
        <f t="shared" si="407"/>
        <v>0</v>
      </c>
      <c r="U352" s="114">
        <f t="shared" si="408"/>
        <v>0</v>
      </c>
      <c r="V352" s="114">
        <f t="shared" si="340"/>
        <v>447</v>
      </c>
      <c r="W352" s="13" t="str">
        <f t="shared" si="409"/>
        <v>BF</v>
      </c>
      <c r="X352" s="13"/>
      <c r="Y352" s="13"/>
      <c r="Z352" s="114">
        <f t="shared" si="341"/>
        <v>46</v>
      </c>
      <c r="AA352" s="114">
        <f t="shared" si="410"/>
        <v>224</v>
      </c>
      <c r="AB352" s="114">
        <f t="shared" si="411"/>
        <v>0</v>
      </c>
      <c r="AC352" s="114">
        <f t="shared" si="412"/>
        <v>0</v>
      </c>
      <c r="AD352" s="114">
        <f t="shared" si="413"/>
        <v>0</v>
      </c>
      <c r="AE352" s="114">
        <f t="shared" si="414"/>
        <v>0</v>
      </c>
      <c r="AF352" s="114">
        <f t="shared" si="415"/>
        <v>0</v>
      </c>
      <c r="AG352" s="119"/>
      <c r="AH352" s="119"/>
      <c r="AJ352" s="64"/>
      <c r="AK352" s="64" t="s">
        <v>2037</v>
      </c>
    </row>
    <row r="353" spans="2:37" ht="16.5" customHeight="1">
      <c r="B353" s="122" t="s">
        <v>2008</v>
      </c>
      <c r="C353" s="122" t="str">
        <f t="shared" si="402"/>
        <v>820200AF00003E7F00000000006E</v>
      </c>
      <c r="D353" s="60" t="s">
        <v>17</v>
      </c>
      <c r="E353" s="60" t="s">
        <v>16</v>
      </c>
      <c r="F353" s="60" t="s">
        <v>28</v>
      </c>
      <c r="G353" s="60" t="s">
        <v>16</v>
      </c>
      <c r="H353" s="60" t="s">
        <v>16</v>
      </c>
      <c r="I353" s="60" t="s">
        <v>1862</v>
      </c>
      <c r="J353" s="60" t="s">
        <v>1388</v>
      </c>
      <c r="K353" s="60" t="s">
        <v>16</v>
      </c>
      <c r="L353" s="60" t="s">
        <v>16</v>
      </c>
      <c r="M353" s="60" t="s">
        <v>16</v>
      </c>
      <c r="N353" s="60" t="s">
        <v>16</v>
      </c>
      <c r="O353" s="60" t="s">
        <v>16</v>
      </c>
      <c r="P353" s="12" t="str">
        <f t="shared" si="403"/>
        <v>6E</v>
      </c>
      <c r="Q353" s="114">
        <f t="shared" si="404"/>
        <v>2</v>
      </c>
      <c r="R353" s="114">
        <f t="shared" si="405"/>
        <v>0</v>
      </c>
      <c r="S353" s="114">
        <f t="shared" si="406"/>
        <v>175</v>
      </c>
      <c r="T353" s="114">
        <f t="shared" si="407"/>
        <v>0</v>
      </c>
      <c r="U353" s="114">
        <f t="shared" si="408"/>
        <v>0</v>
      </c>
      <c r="V353" s="114">
        <f t="shared" si="340"/>
        <v>366</v>
      </c>
      <c r="W353" s="13" t="str">
        <f t="shared" si="409"/>
        <v>6E</v>
      </c>
      <c r="X353" s="13"/>
      <c r="Y353" s="13"/>
      <c r="Z353" s="114">
        <f t="shared" si="341"/>
        <v>62</v>
      </c>
      <c r="AA353" s="114">
        <f t="shared" si="410"/>
        <v>127</v>
      </c>
      <c r="AB353" s="114">
        <f t="shared" si="411"/>
        <v>0</v>
      </c>
      <c r="AC353" s="114">
        <f t="shared" si="412"/>
        <v>0</v>
      </c>
      <c r="AD353" s="114">
        <f t="shared" si="413"/>
        <v>0</v>
      </c>
      <c r="AE353" s="114">
        <f t="shared" si="414"/>
        <v>0</v>
      </c>
      <c r="AF353" s="114">
        <f t="shared" si="415"/>
        <v>0</v>
      </c>
      <c r="AG353" s="119"/>
      <c r="AH353" s="119"/>
      <c r="AJ353" s="64"/>
      <c r="AK353" s="64" t="s">
        <v>2038</v>
      </c>
    </row>
    <row r="354" spans="2:37" ht="16.5" customHeight="1">
      <c r="B354" s="122" t="s">
        <v>2009</v>
      </c>
      <c r="C354" s="122" t="str">
        <f t="shared" ref="C354:C361" si="416">"82"&amp;D354&amp;E354&amp;""&amp;F354&amp;G354&amp;H354&amp;I354&amp;J354&amp;K354&amp;L354&amp;M354&amp;N354&amp;O354&amp;P354</f>
        <v>820200AF000000000E1E000000DD</v>
      </c>
      <c r="D354" s="60" t="s">
        <v>17</v>
      </c>
      <c r="E354" s="60" t="s">
        <v>16</v>
      </c>
      <c r="F354" s="60" t="s">
        <v>28</v>
      </c>
      <c r="G354" s="60" t="s">
        <v>16</v>
      </c>
      <c r="H354" s="60" t="s">
        <v>16</v>
      </c>
      <c r="I354" s="60" t="s">
        <v>16</v>
      </c>
      <c r="J354" s="60" t="s">
        <v>16</v>
      </c>
      <c r="K354" s="60" t="s">
        <v>1960</v>
      </c>
      <c r="L354" s="60" t="s">
        <v>63</v>
      </c>
      <c r="M354" s="60" t="s">
        <v>16</v>
      </c>
      <c r="N354" s="60" t="s">
        <v>16</v>
      </c>
      <c r="O354" s="60" t="s">
        <v>16</v>
      </c>
      <c r="P354" s="12" t="str">
        <f t="shared" ref="P354:P361" si="417">W354</f>
        <v>DD</v>
      </c>
      <c r="Q354" s="114">
        <f t="shared" ref="Q354:Q355" si="418">HEX2DEC(D354)</f>
        <v>2</v>
      </c>
      <c r="R354" s="114">
        <f t="shared" ref="R354:R355" si="419">HEX2DEC(E354)</f>
        <v>0</v>
      </c>
      <c r="S354" s="114">
        <f t="shared" ref="S354:S355" si="420">HEX2DEC(F354)</f>
        <v>175</v>
      </c>
      <c r="T354" s="114">
        <f t="shared" ref="T354:T355" si="421">HEX2DEC(G354)</f>
        <v>0</v>
      </c>
      <c r="U354" s="114">
        <f t="shared" ref="U354:U355" si="422">HEX2DEC(H354)</f>
        <v>0</v>
      </c>
      <c r="V354" s="114">
        <f t="shared" si="340"/>
        <v>221</v>
      </c>
      <c r="W354" s="13" t="str">
        <f t="shared" ref="W354:W355" si="423">REPT("0",2-LEN(RIGHT(DEC2HEX(V354), 2)))&amp;RIGHT(DEC2HEX(V354), 2)</f>
        <v>DD</v>
      </c>
      <c r="X354" s="13"/>
      <c r="Y354" s="13"/>
      <c r="Z354" s="114">
        <f t="shared" ref="Z354:Z355" si="424">HEX2DEC(I354)</f>
        <v>0</v>
      </c>
      <c r="AA354" s="114">
        <f t="shared" ref="AA354:AA355" si="425">HEX2DEC(J354)</f>
        <v>0</v>
      </c>
      <c r="AB354" s="114">
        <f t="shared" ref="AB354:AB355" si="426">HEX2DEC(K354)</f>
        <v>14</v>
      </c>
      <c r="AC354" s="114">
        <f t="shared" ref="AC354:AC355" si="427">HEX2DEC(L354)</f>
        <v>30</v>
      </c>
      <c r="AD354" s="114">
        <f t="shared" ref="AD354:AD355" si="428">HEX2DEC(M354)</f>
        <v>0</v>
      </c>
      <c r="AE354" s="114">
        <f t="shared" ref="AE354:AE355" si="429">HEX2DEC(N354)</f>
        <v>0</v>
      </c>
      <c r="AF354" s="114">
        <f t="shared" ref="AF354:AF355" si="430">HEX2DEC(O354)</f>
        <v>0</v>
      </c>
      <c r="AG354" s="119"/>
      <c r="AH354" s="119"/>
      <c r="AJ354" s="64"/>
      <c r="AK354" s="64" t="s">
        <v>2350</v>
      </c>
    </row>
    <row r="355" spans="2:37" ht="16.5" customHeight="1">
      <c r="B355" s="122" t="s">
        <v>2010</v>
      </c>
      <c r="C355" s="122" t="str">
        <f t="shared" si="416"/>
        <v>820200AF0000000003870000003B</v>
      </c>
      <c r="D355" s="60" t="s">
        <v>17</v>
      </c>
      <c r="E355" s="60" t="s">
        <v>16</v>
      </c>
      <c r="F355" s="60" t="s">
        <v>28</v>
      </c>
      <c r="G355" s="60" t="s">
        <v>16</v>
      </c>
      <c r="H355" s="60" t="s">
        <v>16</v>
      </c>
      <c r="I355" s="60" t="s">
        <v>16</v>
      </c>
      <c r="J355" s="60" t="s">
        <v>16</v>
      </c>
      <c r="K355" s="60" t="s">
        <v>91</v>
      </c>
      <c r="L355" s="60" t="s">
        <v>2011</v>
      </c>
      <c r="M355" s="60" t="s">
        <v>16</v>
      </c>
      <c r="N355" s="60" t="s">
        <v>16</v>
      </c>
      <c r="O355" s="60" t="s">
        <v>16</v>
      </c>
      <c r="P355" s="12" t="str">
        <f t="shared" si="417"/>
        <v>3B</v>
      </c>
      <c r="Q355" s="114">
        <f t="shared" si="418"/>
        <v>2</v>
      </c>
      <c r="R355" s="114">
        <f t="shared" si="419"/>
        <v>0</v>
      </c>
      <c r="S355" s="114">
        <f t="shared" si="420"/>
        <v>175</v>
      </c>
      <c r="T355" s="114">
        <f t="shared" si="421"/>
        <v>0</v>
      </c>
      <c r="U355" s="114">
        <f t="shared" si="422"/>
        <v>0</v>
      </c>
      <c r="V355" s="114">
        <f t="shared" si="340"/>
        <v>315</v>
      </c>
      <c r="W355" s="13" t="str">
        <f t="shared" si="423"/>
        <v>3B</v>
      </c>
      <c r="X355" s="13"/>
      <c r="Y355" s="13"/>
      <c r="Z355" s="114">
        <f t="shared" si="424"/>
        <v>0</v>
      </c>
      <c r="AA355" s="114">
        <f t="shared" si="425"/>
        <v>0</v>
      </c>
      <c r="AB355" s="114">
        <f t="shared" si="426"/>
        <v>3</v>
      </c>
      <c r="AC355" s="114">
        <f t="shared" si="427"/>
        <v>135</v>
      </c>
      <c r="AD355" s="114">
        <f t="shared" si="428"/>
        <v>0</v>
      </c>
      <c r="AE355" s="114">
        <f t="shared" si="429"/>
        <v>0</v>
      </c>
      <c r="AF355" s="114">
        <f t="shared" si="430"/>
        <v>0</v>
      </c>
      <c r="AG355" s="119"/>
      <c r="AH355" s="119"/>
      <c r="AJ355" s="64"/>
      <c r="AK355" s="64" t="s">
        <v>2039</v>
      </c>
    </row>
    <row r="356" spans="2:37" ht="16.5" customHeight="1">
      <c r="B356" s="122" t="s">
        <v>2012</v>
      </c>
      <c r="C356" s="122" t="str">
        <f t="shared" si="416"/>
        <v>820200AF00000000070E000000C6</v>
      </c>
      <c r="D356" s="60" t="s">
        <v>17</v>
      </c>
      <c r="E356" s="60" t="s">
        <v>16</v>
      </c>
      <c r="F356" s="60" t="s">
        <v>28</v>
      </c>
      <c r="G356" s="60" t="s">
        <v>16</v>
      </c>
      <c r="H356" s="60" t="s">
        <v>16</v>
      </c>
      <c r="I356" s="60" t="s">
        <v>16</v>
      </c>
      <c r="J356" s="60" t="s">
        <v>16</v>
      </c>
      <c r="K356" s="60" t="s">
        <v>101</v>
      </c>
      <c r="L356" s="60" t="s">
        <v>1960</v>
      </c>
      <c r="M356" s="60" t="s">
        <v>16</v>
      </c>
      <c r="N356" s="60" t="s">
        <v>16</v>
      </c>
      <c r="O356" s="60" t="s">
        <v>16</v>
      </c>
      <c r="P356" s="12" t="str">
        <f t="shared" si="417"/>
        <v>C6</v>
      </c>
      <c r="Q356" s="114">
        <f t="shared" ref="Q356" si="431">HEX2DEC(D356)</f>
        <v>2</v>
      </c>
      <c r="R356" s="114">
        <f t="shared" ref="R356" si="432">HEX2DEC(E356)</f>
        <v>0</v>
      </c>
      <c r="S356" s="114">
        <f t="shared" ref="S356" si="433">HEX2DEC(F356)</f>
        <v>175</v>
      </c>
      <c r="T356" s="114">
        <f t="shared" ref="T356" si="434">HEX2DEC(G356)</f>
        <v>0</v>
      </c>
      <c r="U356" s="114">
        <f t="shared" ref="U356" si="435">HEX2DEC(H356)</f>
        <v>0</v>
      </c>
      <c r="V356" s="114">
        <f t="shared" si="340"/>
        <v>198</v>
      </c>
      <c r="W356" s="13" t="str">
        <f t="shared" ref="W356" si="436">REPT("0",2-LEN(RIGHT(DEC2HEX(V356), 2)))&amp;RIGHT(DEC2HEX(V356), 2)</f>
        <v>C6</v>
      </c>
      <c r="X356" s="13"/>
      <c r="Y356" s="13"/>
      <c r="Z356" s="114">
        <f t="shared" ref="Z356" si="437">HEX2DEC(I356)</f>
        <v>0</v>
      </c>
      <c r="AA356" s="114">
        <f t="shared" ref="AA356" si="438">HEX2DEC(J356)</f>
        <v>0</v>
      </c>
      <c r="AB356" s="114">
        <f t="shared" ref="AB356" si="439">HEX2DEC(K356)</f>
        <v>7</v>
      </c>
      <c r="AC356" s="114">
        <f t="shared" ref="AC356" si="440">HEX2DEC(L356)</f>
        <v>14</v>
      </c>
      <c r="AD356" s="114">
        <f t="shared" ref="AD356" si="441">HEX2DEC(M356)</f>
        <v>0</v>
      </c>
      <c r="AE356" s="114">
        <f t="shared" ref="AE356" si="442">HEX2DEC(N356)</f>
        <v>0</v>
      </c>
      <c r="AF356" s="114">
        <f t="shared" ref="AF356" si="443">HEX2DEC(O356)</f>
        <v>0</v>
      </c>
      <c r="AG356" s="119"/>
      <c r="AH356" s="119"/>
      <c r="AJ356" s="64"/>
      <c r="AK356" s="64" t="s">
        <v>2040</v>
      </c>
    </row>
    <row r="357" spans="2:37" ht="16.5" customHeight="1">
      <c r="B357" s="122" t="s">
        <v>2013</v>
      </c>
      <c r="C357" s="122" t="str">
        <f t="shared" si="416"/>
        <v>820200AF000000000A9500000050</v>
      </c>
      <c r="D357" s="60" t="s">
        <v>17</v>
      </c>
      <c r="E357" s="60" t="s">
        <v>16</v>
      </c>
      <c r="F357" s="60" t="s">
        <v>28</v>
      </c>
      <c r="G357" s="60" t="s">
        <v>16</v>
      </c>
      <c r="H357" s="60" t="s">
        <v>16</v>
      </c>
      <c r="I357" s="60" t="s">
        <v>16</v>
      </c>
      <c r="J357" s="60" t="s">
        <v>16</v>
      </c>
      <c r="K357" s="60" t="s">
        <v>61</v>
      </c>
      <c r="L357" s="60" t="s">
        <v>2014</v>
      </c>
      <c r="M357" s="60" t="s">
        <v>16</v>
      </c>
      <c r="N357" s="60" t="s">
        <v>16</v>
      </c>
      <c r="O357" s="60" t="s">
        <v>16</v>
      </c>
      <c r="P357" s="12" t="str">
        <f t="shared" si="417"/>
        <v>50</v>
      </c>
      <c r="Q357" s="114">
        <f t="shared" ref="Q357:Q358" si="444">HEX2DEC(D357)</f>
        <v>2</v>
      </c>
      <c r="R357" s="114">
        <f t="shared" ref="R357:R358" si="445">HEX2DEC(E357)</f>
        <v>0</v>
      </c>
      <c r="S357" s="114">
        <f t="shared" ref="S357:S358" si="446">HEX2DEC(F357)</f>
        <v>175</v>
      </c>
      <c r="T357" s="114">
        <f t="shared" ref="T357:T358" si="447">HEX2DEC(G357)</f>
        <v>0</v>
      </c>
      <c r="U357" s="114">
        <f t="shared" ref="U357:U358" si="448">HEX2DEC(H357)</f>
        <v>0</v>
      </c>
      <c r="V357" s="114">
        <f t="shared" si="340"/>
        <v>336</v>
      </c>
      <c r="W357" s="13" t="str">
        <f t="shared" ref="W357:W358" si="449">REPT("0",2-LEN(RIGHT(DEC2HEX(V357), 2)))&amp;RIGHT(DEC2HEX(V357), 2)</f>
        <v>50</v>
      </c>
      <c r="X357" s="13"/>
      <c r="Y357" s="13"/>
      <c r="Z357" s="114">
        <f t="shared" ref="Z357:Z358" si="450">HEX2DEC(I357)</f>
        <v>0</v>
      </c>
      <c r="AA357" s="114">
        <f t="shared" ref="AA357:AA358" si="451">HEX2DEC(J357)</f>
        <v>0</v>
      </c>
      <c r="AB357" s="114">
        <f t="shared" ref="AB357:AB358" si="452">HEX2DEC(K357)</f>
        <v>10</v>
      </c>
      <c r="AC357" s="114">
        <f t="shared" ref="AC357:AC358" si="453">HEX2DEC(L357)</f>
        <v>149</v>
      </c>
      <c r="AD357" s="114">
        <f t="shared" ref="AD357:AD358" si="454">HEX2DEC(M357)</f>
        <v>0</v>
      </c>
      <c r="AE357" s="114">
        <f t="shared" ref="AE357:AE358" si="455">HEX2DEC(N357)</f>
        <v>0</v>
      </c>
      <c r="AF357" s="114">
        <f t="shared" ref="AF357:AF358" si="456">HEX2DEC(O357)</f>
        <v>0</v>
      </c>
      <c r="AG357" s="119"/>
      <c r="AH357" s="119"/>
      <c r="AJ357" s="64"/>
      <c r="AK357" s="64" t="s">
        <v>2041</v>
      </c>
    </row>
    <row r="358" spans="2:37" ht="16.5" customHeight="1">
      <c r="B358" s="122" t="s">
        <v>2015</v>
      </c>
      <c r="C358" s="122" t="str">
        <f t="shared" si="416"/>
        <v>820200AF07D007D000000000005F</v>
      </c>
      <c r="D358" s="60" t="s">
        <v>17</v>
      </c>
      <c r="E358" s="60" t="s">
        <v>16</v>
      </c>
      <c r="F358" s="60" t="s">
        <v>28</v>
      </c>
      <c r="G358" s="60" t="s">
        <v>101</v>
      </c>
      <c r="H358" s="60" t="s">
        <v>2016</v>
      </c>
      <c r="I358" s="60" t="s">
        <v>101</v>
      </c>
      <c r="J358" s="60" t="s">
        <v>2016</v>
      </c>
      <c r="K358" s="60" t="s">
        <v>16</v>
      </c>
      <c r="L358" s="60" t="s">
        <v>16</v>
      </c>
      <c r="M358" s="60" t="s">
        <v>16</v>
      </c>
      <c r="N358" s="60" t="s">
        <v>16</v>
      </c>
      <c r="O358" s="60" t="s">
        <v>16</v>
      </c>
      <c r="P358" s="12" t="str">
        <f t="shared" si="417"/>
        <v>5F</v>
      </c>
      <c r="Q358" s="114">
        <f t="shared" si="444"/>
        <v>2</v>
      </c>
      <c r="R358" s="114">
        <f t="shared" si="445"/>
        <v>0</v>
      </c>
      <c r="S358" s="114">
        <f t="shared" si="446"/>
        <v>175</v>
      </c>
      <c r="T358" s="114">
        <f t="shared" si="447"/>
        <v>7</v>
      </c>
      <c r="U358" s="114">
        <f t="shared" si="448"/>
        <v>208</v>
      </c>
      <c r="V358" s="114">
        <f t="shared" si="340"/>
        <v>607</v>
      </c>
      <c r="W358" s="13" t="str">
        <f t="shared" si="449"/>
        <v>5F</v>
      </c>
      <c r="X358" s="13"/>
      <c r="Y358" s="13"/>
      <c r="Z358" s="114">
        <f t="shared" si="450"/>
        <v>7</v>
      </c>
      <c r="AA358" s="114">
        <f t="shared" si="451"/>
        <v>208</v>
      </c>
      <c r="AB358" s="114">
        <f t="shared" si="452"/>
        <v>0</v>
      </c>
      <c r="AC358" s="114">
        <f t="shared" si="453"/>
        <v>0</v>
      </c>
      <c r="AD358" s="114">
        <f t="shared" si="454"/>
        <v>0</v>
      </c>
      <c r="AE358" s="114">
        <f t="shared" si="455"/>
        <v>0</v>
      </c>
      <c r="AF358" s="114">
        <f t="shared" si="456"/>
        <v>0</v>
      </c>
      <c r="AG358" s="119"/>
      <c r="AH358" s="119"/>
      <c r="AJ358" s="64"/>
      <c r="AK358" s="64" t="s">
        <v>2042</v>
      </c>
    </row>
    <row r="359" spans="2:37" ht="16.5" customHeight="1">
      <c r="B359" s="122" t="s">
        <v>2017</v>
      </c>
      <c r="C359" s="122" t="str">
        <f t="shared" si="416"/>
        <v>820200AF0FA01F400000000000BF</v>
      </c>
      <c r="D359" s="60" t="s">
        <v>17</v>
      </c>
      <c r="E359" s="60" t="s">
        <v>16</v>
      </c>
      <c r="F359" s="60" t="s">
        <v>28</v>
      </c>
      <c r="G359" s="60" t="s">
        <v>78</v>
      </c>
      <c r="H359" s="60" t="s">
        <v>23</v>
      </c>
      <c r="I359" s="60" t="s">
        <v>1803</v>
      </c>
      <c r="J359" s="60" t="s">
        <v>1503</v>
      </c>
      <c r="K359" s="60" t="s">
        <v>16</v>
      </c>
      <c r="L359" s="60" t="s">
        <v>16</v>
      </c>
      <c r="M359" s="60" t="s">
        <v>16</v>
      </c>
      <c r="N359" s="60" t="s">
        <v>16</v>
      </c>
      <c r="O359" s="60" t="s">
        <v>16</v>
      </c>
      <c r="P359" s="12" t="str">
        <f t="shared" si="417"/>
        <v>BF</v>
      </c>
      <c r="Q359" s="114">
        <f t="shared" ref="Q359" si="457">HEX2DEC(D359)</f>
        <v>2</v>
      </c>
      <c r="R359" s="114">
        <f t="shared" ref="R359" si="458">HEX2DEC(E359)</f>
        <v>0</v>
      </c>
      <c r="S359" s="114">
        <f t="shared" ref="S359" si="459">HEX2DEC(F359)</f>
        <v>175</v>
      </c>
      <c r="T359" s="114">
        <f t="shared" ref="T359" si="460">HEX2DEC(G359)</f>
        <v>15</v>
      </c>
      <c r="U359" s="114">
        <f t="shared" ref="U359" si="461">HEX2DEC(H359)</f>
        <v>160</v>
      </c>
      <c r="V359" s="114">
        <f t="shared" si="340"/>
        <v>447</v>
      </c>
      <c r="W359" s="13" t="str">
        <f t="shared" ref="W359" si="462">REPT("0",2-LEN(RIGHT(DEC2HEX(V359), 2)))&amp;RIGHT(DEC2HEX(V359), 2)</f>
        <v>BF</v>
      </c>
      <c r="X359" s="13"/>
      <c r="Y359" s="13"/>
      <c r="Z359" s="114">
        <f t="shared" ref="Z359" si="463">HEX2DEC(I359)</f>
        <v>31</v>
      </c>
      <c r="AA359" s="114">
        <f t="shared" ref="AA359" si="464">HEX2DEC(J359)</f>
        <v>64</v>
      </c>
      <c r="AB359" s="114">
        <f t="shared" ref="AB359" si="465">HEX2DEC(K359)</f>
        <v>0</v>
      </c>
      <c r="AC359" s="114">
        <f t="shared" ref="AC359" si="466">HEX2DEC(L359)</f>
        <v>0</v>
      </c>
      <c r="AD359" s="114">
        <f t="shared" ref="AD359" si="467">HEX2DEC(M359)</f>
        <v>0</v>
      </c>
      <c r="AE359" s="114">
        <f t="shared" ref="AE359" si="468">HEX2DEC(N359)</f>
        <v>0</v>
      </c>
      <c r="AF359" s="114">
        <f t="shared" ref="AF359" si="469">HEX2DEC(O359)</f>
        <v>0</v>
      </c>
      <c r="AG359" s="119"/>
      <c r="AH359" s="119"/>
      <c r="AJ359" s="64"/>
      <c r="AK359" s="64" t="s">
        <v>2043</v>
      </c>
    </row>
    <row r="360" spans="2:37" ht="16.5" customHeight="1">
      <c r="B360" s="122" t="s">
        <v>2018</v>
      </c>
      <c r="C360" s="122" t="str">
        <f t="shared" si="416"/>
        <v>820200AF1F403E7F0000000000CD</v>
      </c>
      <c r="D360" s="60" t="s">
        <v>17</v>
      </c>
      <c r="E360" s="60" t="s">
        <v>16</v>
      </c>
      <c r="F360" s="60" t="s">
        <v>28</v>
      </c>
      <c r="G360" s="60" t="s">
        <v>1803</v>
      </c>
      <c r="H360" s="60" t="s">
        <v>1503</v>
      </c>
      <c r="I360" s="60" t="s">
        <v>1862</v>
      </c>
      <c r="J360" s="60" t="s">
        <v>1388</v>
      </c>
      <c r="K360" s="60" t="s">
        <v>16</v>
      </c>
      <c r="L360" s="60" t="s">
        <v>16</v>
      </c>
      <c r="M360" s="60" t="s">
        <v>16</v>
      </c>
      <c r="N360" s="60" t="s">
        <v>16</v>
      </c>
      <c r="O360" s="60" t="s">
        <v>16</v>
      </c>
      <c r="P360" s="12" t="str">
        <f t="shared" si="417"/>
        <v>CD</v>
      </c>
      <c r="Q360" s="114">
        <f t="shared" ref="Q360" si="470">HEX2DEC(D360)</f>
        <v>2</v>
      </c>
      <c r="R360" s="114">
        <f t="shared" ref="R360" si="471">HEX2DEC(E360)</f>
        <v>0</v>
      </c>
      <c r="S360" s="114">
        <f t="shared" ref="S360" si="472">HEX2DEC(F360)</f>
        <v>175</v>
      </c>
      <c r="T360" s="114">
        <f t="shared" ref="T360" si="473">HEX2DEC(G360)</f>
        <v>31</v>
      </c>
      <c r="U360" s="114">
        <f t="shared" ref="U360" si="474">HEX2DEC(H360)</f>
        <v>64</v>
      </c>
      <c r="V360" s="114">
        <f t="shared" si="340"/>
        <v>461</v>
      </c>
      <c r="W360" s="13" t="str">
        <f t="shared" ref="W360" si="475">REPT("0",2-LEN(RIGHT(DEC2HEX(V360), 2)))&amp;RIGHT(DEC2HEX(V360), 2)</f>
        <v>CD</v>
      </c>
      <c r="X360" s="13"/>
      <c r="Y360" s="13"/>
      <c r="Z360" s="114">
        <f t="shared" ref="Z360" si="476">HEX2DEC(I360)</f>
        <v>62</v>
      </c>
      <c r="AA360" s="114">
        <f t="shared" ref="AA360" si="477">HEX2DEC(J360)</f>
        <v>127</v>
      </c>
      <c r="AB360" s="114">
        <f t="shared" ref="AB360" si="478">HEX2DEC(K360)</f>
        <v>0</v>
      </c>
      <c r="AC360" s="114">
        <f t="shared" ref="AC360" si="479">HEX2DEC(L360)</f>
        <v>0</v>
      </c>
      <c r="AD360" s="114">
        <f t="shared" ref="AD360" si="480">HEX2DEC(M360)</f>
        <v>0</v>
      </c>
      <c r="AE360" s="114">
        <f t="shared" ref="AE360" si="481">HEX2DEC(N360)</f>
        <v>0</v>
      </c>
      <c r="AF360" s="114">
        <f t="shared" ref="AF360" si="482">HEX2DEC(O360)</f>
        <v>0</v>
      </c>
      <c r="AG360" s="119"/>
      <c r="AH360" s="119"/>
      <c r="AJ360" s="64"/>
      <c r="AK360" s="64" t="s">
        <v>2044</v>
      </c>
    </row>
    <row r="361" spans="2:37" ht="16.5" customHeight="1">
      <c r="B361" s="122" t="s">
        <v>2019</v>
      </c>
      <c r="C361" s="122" t="str">
        <f t="shared" si="416"/>
        <v>820200AF3E7F07D0000000000045</v>
      </c>
      <c r="D361" s="60" t="s">
        <v>17</v>
      </c>
      <c r="E361" s="60" t="s">
        <v>16</v>
      </c>
      <c r="F361" s="60" t="s">
        <v>28</v>
      </c>
      <c r="G361" s="60" t="s">
        <v>1862</v>
      </c>
      <c r="H361" s="60" t="s">
        <v>1388</v>
      </c>
      <c r="I361" s="60" t="s">
        <v>101</v>
      </c>
      <c r="J361" s="60" t="s">
        <v>2016</v>
      </c>
      <c r="K361" s="60" t="s">
        <v>16</v>
      </c>
      <c r="L361" s="60" t="s">
        <v>16</v>
      </c>
      <c r="M361" s="60" t="s">
        <v>16</v>
      </c>
      <c r="N361" s="60" t="s">
        <v>16</v>
      </c>
      <c r="O361" s="60" t="s">
        <v>16</v>
      </c>
      <c r="P361" s="12" t="str">
        <f t="shared" si="417"/>
        <v>45</v>
      </c>
      <c r="Q361" s="114">
        <f t="shared" ref="Q361:Q362" si="483">HEX2DEC(D361)</f>
        <v>2</v>
      </c>
      <c r="R361" s="114">
        <f t="shared" ref="R361:R362" si="484">HEX2DEC(E361)</f>
        <v>0</v>
      </c>
      <c r="S361" s="114">
        <f t="shared" ref="S361:S362" si="485">HEX2DEC(F361)</f>
        <v>175</v>
      </c>
      <c r="T361" s="114">
        <f t="shared" ref="T361:T362" si="486">HEX2DEC(G361)</f>
        <v>62</v>
      </c>
      <c r="U361" s="114">
        <f t="shared" ref="U361:U362" si="487">HEX2DEC(H361)</f>
        <v>127</v>
      </c>
      <c r="V361" s="114">
        <f t="shared" si="340"/>
        <v>581</v>
      </c>
      <c r="W361" s="13" t="str">
        <f t="shared" ref="W361" si="488">REPT("0",2-LEN(RIGHT(DEC2HEX(V361), 2)))&amp;RIGHT(DEC2HEX(V361), 2)</f>
        <v>45</v>
      </c>
      <c r="X361" s="13"/>
      <c r="Y361" s="13"/>
      <c r="Z361" s="114">
        <f t="shared" ref="Z361" si="489">HEX2DEC(I361)</f>
        <v>7</v>
      </c>
      <c r="AA361" s="114">
        <f t="shared" ref="AA361" si="490">HEX2DEC(J361)</f>
        <v>208</v>
      </c>
      <c r="AB361" s="114">
        <f t="shared" ref="AB361" si="491">HEX2DEC(K361)</f>
        <v>0</v>
      </c>
      <c r="AC361" s="114">
        <f t="shared" ref="AC361" si="492">HEX2DEC(L361)</f>
        <v>0</v>
      </c>
      <c r="AD361" s="114">
        <f t="shared" ref="AD361" si="493">HEX2DEC(M361)</f>
        <v>0</v>
      </c>
      <c r="AE361" s="114">
        <f t="shared" ref="AE361" si="494">HEX2DEC(N361)</f>
        <v>0</v>
      </c>
      <c r="AF361" s="114">
        <f t="shared" ref="AF361" si="495">HEX2DEC(O361)</f>
        <v>0</v>
      </c>
      <c r="AG361" s="119"/>
      <c r="AH361" s="119"/>
      <c r="AJ361" s="64"/>
      <c r="AK361" s="64" t="s">
        <v>2045</v>
      </c>
    </row>
    <row r="362" spans="2:37" ht="16.5" customHeight="1">
      <c r="B362" s="122" t="s">
        <v>2020</v>
      </c>
      <c r="C362" s="122" t="str">
        <f t="shared" ref="C362:C379" si="496">"FF"&amp;D362&amp;E362&amp;""&amp;F362&amp;G362&amp;H362&amp;I362</f>
        <v>FF020100000003</v>
      </c>
      <c r="D362" s="60" t="s">
        <v>17</v>
      </c>
      <c r="E362" s="60" t="s">
        <v>24</v>
      </c>
      <c r="F362" s="60" t="s">
        <v>16</v>
      </c>
      <c r="G362" s="60" t="s">
        <v>16</v>
      </c>
      <c r="H362" s="60" t="s">
        <v>16</v>
      </c>
      <c r="I362" s="12" t="str">
        <f>W362</f>
        <v>03</v>
      </c>
      <c r="J362" s="12"/>
      <c r="K362" s="12"/>
      <c r="L362" s="12"/>
      <c r="M362" s="12"/>
      <c r="N362" s="12"/>
      <c r="O362" s="12"/>
      <c r="P362" s="12"/>
      <c r="Q362" s="13">
        <f t="shared" si="483"/>
        <v>2</v>
      </c>
      <c r="R362" s="13">
        <f t="shared" si="484"/>
        <v>1</v>
      </c>
      <c r="S362" s="13">
        <f t="shared" si="485"/>
        <v>0</v>
      </c>
      <c r="T362" s="13">
        <f t="shared" si="486"/>
        <v>0</v>
      </c>
      <c r="U362" s="13">
        <f t="shared" si="487"/>
        <v>0</v>
      </c>
      <c r="V362" s="13">
        <f>SUM(Q362:U362)</f>
        <v>3</v>
      </c>
      <c r="W362" s="13" t="str">
        <f>REPT("0",2-LEN(RIGHT(DEC2HEX(V362), 2)))&amp;RIGHT(DEC2HEX(V362), 2)</f>
        <v>03</v>
      </c>
      <c r="X362" s="13">
        <f t="shared" ref="X362" si="497">SUM(R362:W362)</f>
        <v>4</v>
      </c>
      <c r="Y362" s="13" t="str">
        <f t="shared" ref="Y362" si="498">REPT("0",2-LEN(RIGHT(DEC2HEX(X362), 2)))&amp;RIGHT(DEC2HEX(X362), 2)</f>
        <v>04</v>
      </c>
      <c r="AH362" s="119"/>
      <c r="AJ362" s="64"/>
      <c r="AK362" s="64" t="s">
        <v>1546</v>
      </c>
    </row>
    <row r="363" spans="2:37" ht="16.5" customHeight="1">
      <c r="B363" s="122" t="s">
        <v>2021</v>
      </c>
      <c r="C363" s="122" t="str">
        <f t="shared" si="496"/>
        <v>FF020080000082</v>
      </c>
      <c r="D363" s="60" t="s">
        <v>17</v>
      </c>
      <c r="E363" s="60" t="s">
        <v>16</v>
      </c>
      <c r="F363" s="60" t="s">
        <v>43</v>
      </c>
      <c r="G363" s="60" t="s">
        <v>16</v>
      </c>
      <c r="H363" s="60" t="s">
        <v>16</v>
      </c>
      <c r="I363" s="12" t="str">
        <f t="shared" ref="I363:I379" si="499">W363</f>
        <v>82</v>
      </c>
      <c r="J363" s="12"/>
      <c r="K363" s="12"/>
      <c r="L363" s="12"/>
      <c r="M363" s="12"/>
      <c r="N363" s="12"/>
      <c r="O363" s="12"/>
      <c r="P363" s="12"/>
      <c r="Q363" s="13">
        <f t="shared" ref="Q363:Q378" si="500">HEX2DEC(D363)</f>
        <v>2</v>
      </c>
      <c r="R363" s="13">
        <f t="shared" ref="R363:R378" si="501">HEX2DEC(E363)</f>
        <v>0</v>
      </c>
      <c r="S363" s="13">
        <f>HEX2DEC(F363)</f>
        <v>128</v>
      </c>
      <c r="T363" s="13">
        <f t="shared" ref="T363:T378" si="502">HEX2DEC(G363)</f>
        <v>0</v>
      </c>
      <c r="U363" s="13">
        <f t="shared" ref="U363:U379" si="503">HEX2DEC(H363)</f>
        <v>0</v>
      </c>
      <c r="V363" s="13">
        <f>SUM(Q363:U363)</f>
        <v>130</v>
      </c>
      <c r="W363" s="13" t="str">
        <f>REPT("0",2-LEN(RIGHT(DEC2HEX(V363), 2)))&amp;RIGHT(DEC2HEX(V363), 2)</f>
        <v>82</v>
      </c>
      <c r="X363" s="13">
        <f t="shared" ref="X363:X379" si="504">SUM(R363:W363)</f>
        <v>258</v>
      </c>
      <c r="Y363" s="13" t="str">
        <f t="shared" ref="Y363:Y379" si="505">REPT("0",2-LEN(RIGHT(DEC2HEX(X363), 2)))&amp;RIGHT(DEC2HEX(X363), 2)</f>
        <v>02</v>
      </c>
      <c r="AH363" s="119"/>
      <c r="AJ363" s="64"/>
      <c r="AK363" s="64" t="s">
        <v>1545</v>
      </c>
    </row>
    <row r="364" spans="2:37" ht="16.5" customHeight="1">
      <c r="B364" s="122" t="s">
        <v>2022</v>
      </c>
      <c r="C364" s="122" t="str">
        <f t="shared" si="496"/>
        <v>FF020020000022</v>
      </c>
      <c r="D364" s="60" t="s">
        <v>17</v>
      </c>
      <c r="E364" s="60" t="s">
        <v>16</v>
      </c>
      <c r="F364" s="60" t="s">
        <v>133</v>
      </c>
      <c r="G364" s="60" t="s">
        <v>16</v>
      </c>
      <c r="H364" s="60" t="s">
        <v>16</v>
      </c>
      <c r="I364" s="12" t="str">
        <f t="shared" si="499"/>
        <v>22</v>
      </c>
      <c r="J364" s="12"/>
      <c r="K364" s="12"/>
      <c r="L364" s="12"/>
      <c r="M364" s="12"/>
      <c r="N364" s="12"/>
      <c r="O364" s="12"/>
      <c r="P364" s="12"/>
      <c r="Q364" s="13">
        <f t="shared" si="500"/>
        <v>2</v>
      </c>
      <c r="R364" s="13">
        <f t="shared" si="501"/>
        <v>0</v>
      </c>
      <c r="S364" s="13">
        <f t="shared" ref="S364:S378" si="506">HEX2DEC(F364)</f>
        <v>32</v>
      </c>
      <c r="T364" s="13">
        <f t="shared" si="502"/>
        <v>0</v>
      </c>
      <c r="U364" s="13">
        <f t="shared" si="503"/>
        <v>0</v>
      </c>
      <c r="V364" s="13">
        <f t="shared" ref="V364:V379" si="507">SUM(Q364:U364)</f>
        <v>34</v>
      </c>
      <c r="W364" s="13" t="str">
        <f t="shared" ref="W364:W379" si="508">REPT("0",2-LEN(RIGHT(DEC2HEX(V364), 2)))&amp;RIGHT(DEC2HEX(V364), 2)</f>
        <v>22</v>
      </c>
      <c r="X364" s="13">
        <f t="shared" si="504"/>
        <v>66</v>
      </c>
      <c r="Y364" s="13" t="str">
        <f t="shared" si="505"/>
        <v>42</v>
      </c>
      <c r="AH364" s="119"/>
      <c r="AJ364" s="64"/>
      <c r="AK364" s="64" t="s">
        <v>1543</v>
      </c>
    </row>
    <row r="365" spans="2:37" ht="16.5" customHeight="1">
      <c r="B365" s="122" t="s">
        <v>2023</v>
      </c>
      <c r="C365" s="122" t="str">
        <f t="shared" si="496"/>
        <v>FF020040000042</v>
      </c>
      <c r="D365" s="60" t="s">
        <v>17</v>
      </c>
      <c r="E365" s="60" t="s">
        <v>16</v>
      </c>
      <c r="F365" s="60" t="s">
        <v>1503</v>
      </c>
      <c r="G365" s="60" t="s">
        <v>16</v>
      </c>
      <c r="H365" s="60" t="s">
        <v>16</v>
      </c>
      <c r="I365" s="12" t="str">
        <f t="shared" si="499"/>
        <v>42</v>
      </c>
      <c r="J365" s="12"/>
      <c r="K365" s="12"/>
      <c r="L365" s="12"/>
      <c r="M365" s="12"/>
      <c r="N365" s="12"/>
      <c r="O365" s="12"/>
      <c r="P365" s="12"/>
      <c r="Q365" s="13">
        <f t="shared" si="500"/>
        <v>2</v>
      </c>
      <c r="R365" s="13">
        <f t="shared" si="501"/>
        <v>0</v>
      </c>
      <c r="S365" s="13">
        <f t="shared" si="506"/>
        <v>64</v>
      </c>
      <c r="T365" s="13">
        <f t="shared" si="502"/>
        <v>0</v>
      </c>
      <c r="U365" s="13">
        <f t="shared" si="503"/>
        <v>0</v>
      </c>
      <c r="V365" s="13">
        <f t="shared" si="507"/>
        <v>66</v>
      </c>
      <c r="W365" s="13" t="str">
        <f t="shared" si="508"/>
        <v>42</v>
      </c>
      <c r="X365" s="13">
        <f t="shared" si="504"/>
        <v>130</v>
      </c>
      <c r="Y365" s="13" t="str">
        <f t="shared" si="505"/>
        <v>82</v>
      </c>
      <c r="AH365" s="119"/>
      <c r="AJ365" s="64"/>
      <c r="AK365" s="64" t="s">
        <v>1544</v>
      </c>
    </row>
    <row r="366" spans="2:37" ht="16.5" customHeight="1">
      <c r="B366" s="122" t="s">
        <v>2028</v>
      </c>
      <c r="C366" s="122" t="str">
        <f t="shared" si="496"/>
        <v>FF010008002029</v>
      </c>
      <c r="D366" s="60" t="s">
        <v>24</v>
      </c>
      <c r="E366" s="60" t="s">
        <v>16</v>
      </c>
      <c r="F366" s="60" t="s">
        <v>1268</v>
      </c>
      <c r="G366" s="60" t="s">
        <v>16</v>
      </c>
      <c r="H366" s="60" t="s">
        <v>133</v>
      </c>
      <c r="I366" s="12" t="str">
        <f t="shared" si="499"/>
        <v>29</v>
      </c>
      <c r="J366" s="12"/>
      <c r="K366" s="12"/>
      <c r="L366" s="12"/>
      <c r="M366" s="12"/>
      <c r="N366" s="12"/>
      <c r="O366" s="12"/>
      <c r="P366" s="12"/>
      <c r="Q366" s="13">
        <f t="shared" si="500"/>
        <v>1</v>
      </c>
      <c r="R366" s="13">
        <f t="shared" si="501"/>
        <v>0</v>
      </c>
      <c r="S366" s="13">
        <f t="shared" si="506"/>
        <v>8</v>
      </c>
      <c r="T366" s="13">
        <f t="shared" si="502"/>
        <v>0</v>
      </c>
      <c r="U366" s="13">
        <f t="shared" si="503"/>
        <v>32</v>
      </c>
      <c r="V366" s="13">
        <f t="shared" si="507"/>
        <v>41</v>
      </c>
      <c r="W366" s="13" t="str">
        <f t="shared" si="508"/>
        <v>29</v>
      </c>
      <c r="X366" s="13">
        <f t="shared" si="504"/>
        <v>81</v>
      </c>
      <c r="Y366" s="13" t="str">
        <f t="shared" si="505"/>
        <v>51</v>
      </c>
      <c r="AH366" s="119"/>
      <c r="AJ366" s="64"/>
      <c r="AK366" s="64" t="s">
        <v>2046</v>
      </c>
    </row>
    <row r="367" spans="2:37" ht="16.5" customHeight="1">
      <c r="B367" s="122" t="s">
        <v>2029</v>
      </c>
      <c r="C367" s="122" t="str">
        <f t="shared" si="496"/>
        <v>FF010010002031</v>
      </c>
      <c r="D367" s="60" t="s">
        <v>24</v>
      </c>
      <c r="E367" s="60" t="s">
        <v>16</v>
      </c>
      <c r="F367" s="60" t="s">
        <v>109</v>
      </c>
      <c r="G367" s="60" t="s">
        <v>16</v>
      </c>
      <c r="H367" s="60" t="s">
        <v>133</v>
      </c>
      <c r="I367" s="12" t="str">
        <f t="shared" si="499"/>
        <v>31</v>
      </c>
      <c r="J367" s="12"/>
      <c r="K367" s="12"/>
      <c r="L367" s="12"/>
      <c r="M367" s="12"/>
      <c r="N367" s="12"/>
      <c r="O367" s="12"/>
      <c r="P367" s="12"/>
      <c r="Q367" s="13">
        <f t="shared" si="500"/>
        <v>1</v>
      </c>
      <c r="R367" s="13">
        <f t="shared" si="501"/>
        <v>0</v>
      </c>
      <c r="S367" s="13">
        <f t="shared" si="506"/>
        <v>16</v>
      </c>
      <c r="T367" s="13">
        <f t="shared" si="502"/>
        <v>0</v>
      </c>
      <c r="U367" s="13">
        <f t="shared" si="503"/>
        <v>32</v>
      </c>
      <c r="V367" s="13">
        <f t="shared" si="507"/>
        <v>49</v>
      </c>
      <c r="W367" s="13" t="str">
        <f t="shared" si="508"/>
        <v>31</v>
      </c>
      <c r="X367" s="13">
        <f t="shared" si="504"/>
        <v>97</v>
      </c>
      <c r="Y367" s="13" t="str">
        <f t="shared" si="505"/>
        <v>61</v>
      </c>
      <c r="AH367" s="119"/>
      <c r="AJ367" s="64"/>
      <c r="AK367" s="64" t="s">
        <v>2047</v>
      </c>
    </row>
    <row r="368" spans="2:37" ht="16.5" customHeight="1">
      <c r="B368" s="122" t="s">
        <v>2030</v>
      </c>
      <c r="C368" s="122" t="str">
        <f t="shared" si="496"/>
        <v>FF010002200023</v>
      </c>
      <c r="D368" s="60" t="s">
        <v>24</v>
      </c>
      <c r="E368" s="60" t="s">
        <v>16</v>
      </c>
      <c r="F368" s="60" t="s">
        <v>17</v>
      </c>
      <c r="G368" s="60" t="s">
        <v>133</v>
      </c>
      <c r="H368" s="60" t="s">
        <v>16</v>
      </c>
      <c r="I368" s="12" t="str">
        <f t="shared" si="499"/>
        <v>23</v>
      </c>
      <c r="J368" s="12"/>
      <c r="K368" s="12"/>
      <c r="L368" s="12"/>
      <c r="M368" s="12"/>
      <c r="N368" s="12"/>
      <c r="O368" s="12"/>
      <c r="P368" s="12"/>
      <c r="Q368" s="13">
        <f t="shared" si="500"/>
        <v>1</v>
      </c>
      <c r="R368" s="13">
        <f t="shared" si="501"/>
        <v>0</v>
      </c>
      <c r="S368" s="13">
        <f t="shared" si="506"/>
        <v>2</v>
      </c>
      <c r="T368" s="13">
        <f t="shared" si="502"/>
        <v>32</v>
      </c>
      <c r="U368" s="13">
        <f t="shared" si="503"/>
        <v>0</v>
      </c>
      <c r="V368" s="13">
        <f t="shared" si="507"/>
        <v>35</v>
      </c>
      <c r="W368" s="13" t="str">
        <f t="shared" si="508"/>
        <v>23</v>
      </c>
      <c r="X368" s="13">
        <f t="shared" si="504"/>
        <v>69</v>
      </c>
      <c r="Y368" s="13" t="str">
        <f t="shared" si="505"/>
        <v>45</v>
      </c>
      <c r="AH368" s="119"/>
      <c r="AJ368" s="64"/>
      <c r="AK368" s="64" t="s">
        <v>2048</v>
      </c>
    </row>
    <row r="369" spans="2:37" ht="16.5" customHeight="1">
      <c r="B369" s="122" t="s">
        <v>2031</v>
      </c>
      <c r="C369" s="122" t="str">
        <f t="shared" si="496"/>
        <v>FF010004200025</v>
      </c>
      <c r="D369" s="60" t="s">
        <v>24</v>
      </c>
      <c r="E369" s="60" t="s">
        <v>16</v>
      </c>
      <c r="F369" s="60" t="s">
        <v>67</v>
      </c>
      <c r="G369" s="60" t="s">
        <v>133</v>
      </c>
      <c r="H369" s="60" t="s">
        <v>16</v>
      </c>
      <c r="I369" s="12" t="str">
        <f t="shared" si="499"/>
        <v>25</v>
      </c>
      <c r="J369" s="12"/>
      <c r="K369" s="12"/>
      <c r="L369" s="12"/>
      <c r="M369" s="12"/>
      <c r="N369" s="12"/>
      <c r="O369" s="12"/>
      <c r="P369" s="12"/>
      <c r="Q369" s="13">
        <f t="shared" si="500"/>
        <v>1</v>
      </c>
      <c r="R369" s="13">
        <f t="shared" si="501"/>
        <v>0</v>
      </c>
      <c r="S369" s="13">
        <f t="shared" si="506"/>
        <v>4</v>
      </c>
      <c r="T369" s="13">
        <f t="shared" si="502"/>
        <v>32</v>
      </c>
      <c r="U369" s="13">
        <f t="shared" si="503"/>
        <v>0</v>
      </c>
      <c r="V369" s="13">
        <f t="shared" si="507"/>
        <v>37</v>
      </c>
      <c r="W369" s="13" t="str">
        <f t="shared" si="508"/>
        <v>25</v>
      </c>
      <c r="X369" s="13">
        <f t="shared" si="504"/>
        <v>73</v>
      </c>
      <c r="Y369" s="13" t="str">
        <f t="shared" si="505"/>
        <v>49</v>
      </c>
      <c r="AH369" s="119"/>
      <c r="AJ369" s="64"/>
      <c r="AK369" s="64" t="s">
        <v>2049</v>
      </c>
    </row>
    <row r="370" spans="2:37" ht="16.5" customHeight="1">
      <c r="B370" s="122" t="s">
        <v>2024</v>
      </c>
      <c r="C370" s="122" t="str">
        <f t="shared" si="496"/>
        <v>FF030100000004</v>
      </c>
      <c r="D370" s="60" t="s">
        <v>91</v>
      </c>
      <c r="E370" s="60" t="s">
        <v>24</v>
      </c>
      <c r="F370" s="60" t="s">
        <v>16</v>
      </c>
      <c r="G370" s="60" t="s">
        <v>16</v>
      </c>
      <c r="H370" s="60" t="s">
        <v>16</v>
      </c>
      <c r="I370" s="12" t="str">
        <f t="shared" si="499"/>
        <v>04</v>
      </c>
      <c r="J370" s="12"/>
      <c r="K370" s="12"/>
      <c r="L370" s="12"/>
      <c r="M370" s="12"/>
      <c r="N370" s="12"/>
      <c r="O370" s="12"/>
      <c r="P370" s="12"/>
      <c r="Q370" s="13">
        <f t="shared" si="500"/>
        <v>3</v>
      </c>
      <c r="R370" s="13">
        <f t="shared" si="501"/>
        <v>1</v>
      </c>
      <c r="S370" s="13">
        <f t="shared" si="506"/>
        <v>0</v>
      </c>
      <c r="T370" s="13">
        <f t="shared" si="502"/>
        <v>0</v>
      </c>
      <c r="U370" s="13">
        <f t="shared" si="503"/>
        <v>0</v>
      </c>
      <c r="V370" s="13">
        <f t="shared" si="507"/>
        <v>4</v>
      </c>
      <c r="W370" s="13" t="str">
        <f t="shared" si="508"/>
        <v>04</v>
      </c>
      <c r="X370" s="13">
        <f t="shared" si="504"/>
        <v>5</v>
      </c>
      <c r="Y370" s="13" t="str">
        <f t="shared" si="505"/>
        <v>05</v>
      </c>
      <c r="AH370" s="119"/>
      <c r="AJ370" s="64"/>
      <c r="AK370" s="64" t="s">
        <v>1668</v>
      </c>
    </row>
    <row r="371" spans="2:37" ht="16.5" customHeight="1">
      <c r="B371" s="122" t="s">
        <v>2025</v>
      </c>
      <c r="C371" s="122" t="str">
        <f t="shared" si="496"/>
        <v>FF030080000083</v>
      </c>
      <c r="D371" s="60" t="s">
        <v>91</v>
      </c>
      <c r="E371" s="60" t="s">
        <v>16</v>
      </c>
      <c r="F371" s="60" t="s">
        <v>43</v>
      </c>
      <c r="G371" s="60" t="s">
        <v>16</v>
      </c>
      <c r="H371" s="60" t="s">
        <v>16</v>
      </c>
      <c r="I371" s="12" t="str">
        <f t="shared" si="499"/>
        <v>83</v>
      </c>
      <c r="J371" s="12"/>
      <c r="K371" s="12"/>
      <c r="L371" s="12"/>
      <c r="M371" s="12"/>
      <c r="N371" s="12"/>
      <c r="O371" s="12"/>
      <c r="P371" s="12"/>
      <c r="Q371" s="13">
        <f t="shared" si="500"/>
        <v>3</v>
      </c>
      <c r="R371" s="13">
        <f t="shared" si="501"/>
        <v>0</v>
      </c>
      <c r="S371" s="13">
        <f t="shared" si="506"/>
        <v>128</v>
      </c>
      <c r="T371" s="13">
        <f t="shared" si="502"/>
        <v>0</v>
      </c>
      <c r="U371" s="13">
        <f t="shared" si="503"/>
        <v>0</v>
      </c>
      <c r="V371" s="13">
        <f t="shared" si="507"/>
        <v>131</v>
      </c>
      <c r="W371" s="13" t="str">
        <f t="shared" si="508"/>
        <v>83</v>
      </c>
      <c r="X371" s="13">
        <f t="shared" si="504"/>
        <v>259</v>
      </c>
      <c r="Y371" s="13" t="str">
        <f t="shared" si="505"/>
        <v>03</v>
      </c>
      <c r="AH371" s="119"/>
      <c r="AJ371" s="64"/>
      <c r="AK371" s="64" t="s">
        <v>2050</v>
      </c>
    </row>
    <row r="372" spans="2:37" ht="16.5" customHeight="1">
      <c r="B372" s="122" t="s">
        <v>2026</v>
      </c>
      <c r="C372" s="122" t="str">
        <f t="shared" si="496"/>
        <v>FF030020000023</v>
      </c>
      <c r="D372" s="60" t="s">
        <v>91</v>
      </c>
      <c r="E372" s="60" t="s">
        <v>16</v>
      </c>
      <c r="F372" s="60" t="s">
        <v>133</v>
      </c>
      <c r="G372" s="60" t="s">
        <v>16</v>
      </c>
      <c r="H372" s="60" t="s">
        <v>16</v>
      </c>
      <c r="I372" s="12" t="str">
        <f t="shared" si="499"/>
        <v>23</v>
      </c>
      <c r="J372" s="12"/>
      <c r="K372" s="12"/>
      <c r="L372" s="12"/>
      <c r="M372" s="12"/>
      <c r="N372" s="12"/>
      <c r="O372" s="12"/>
      <c r="P372" s="12"/>
      <c r="Q372" s="13">
        <f t="shared" si="500"/>
        <v>3</v>
      </c>
      <c r="R372" s="13">
        <f t="shared" si="501"/>
        <v>0</v>
      </c>
      <c r="S372" s="13">
        <f t="shared" si="506"/>
        <v>32</v>
      </c>
      <c r="T372" s="13">
        <f t="shared" si="502"/>
        <v>0</v>
      </c>
      <c r="U372" s="13">
        <f t="shared" si="503"/>
        <v>0</v>
      </c>
      <c r="V372" s="13">
        <f t="shared" si="507"/>
        <v>35</v>
      </c>
      <c r="W372" s="13" t="str">
        <f t="shared" si="508"/>
        <v>23</v>
      </c>
      <c r="X372" s="13">
        <f t="shared" si="504"/>
        <v>67</v>
      </c>
      <c r="Y372" s="13" t="str">
        <f t="shared" si="505"/>
        <v>43</v>
      </c>
      <c r="AH372" s="119"/>
      <c r="AJ372" s="64"/>
      <c r="AK372" s="64" t="s">
        <v>2051</v>
      </c>
    </row>
    <row r="373" spans="2:37" ht="16.5" customHeight="1">
      <c r="B373" s="122" t="s">
        <v>2027</v>
      </c>
      <c r="C373" s="122" t="str">
        <f t="shared" si="496"/>
        <v>FF030040000043</v>
      </c>
      <c r="D373" s="60" t="s">
        <v>91</v>
      </c>
      <c r="E373" s="60" t="s">
        <v>16</v>
      </c>
      <c r="F373" s="60" t="s">
        <v>1503</v>
      </c>
      <c r="G373" s="60" t="s">
        <v>16</v>
      </c>
      <c r="H373" s="60" t="s">
        <v>16</v>
      </c>
      <c r="I373" s="12" t="str">
        <f t="shared" si="499"/>
        <v>43</v>
      </c>
      <c r="J373" s="12"/>
      <c r="K373" s="12"/>
      <c r="L373" s="12"/>
      <c r="M373" s="12"/>
      <c r="N373" s="12"/>
      <c r="O373" s="12"/>
      <c r="P373" s="12"/>
      <c r="Q373" s="13">
        <f t="shared" si="500"/>
        <v>3</v>
      </c>
      <c r="R373" s="13">
        <f t="shared" si="501"/>
        <v>0</v>
      </c>
      <c r="S373" s="13">
        <f t="shared" si="506"/>
        <v>64</v>
      </c>
      <c r="T373" s="13">
        <f t="shared" si="502"/>
        <v>0</v>
      </c>
      <c r="U373" s="13">
        <f t="shared" si="503"/>
        <v>0</v>
      </c>
      <c r="V373" s="13">
        <f t="shared" si="507"/>
        <v>67</v>
      </c>
      <c r="W373" s="13" t="str">
        <f t="shared" si="508"/>
        <v>43</v>
      </c>
      <c r="X373" s="13">
        <f t="shared" si="504"/>
        <v>131</v>
      </c>
      <c r="Y373" s="13" t="str">
        <f t="shared" si="505"/>
        <v>83</v>
      </c>
      <c r="AH373" s="119"/>
      <c r="AJ373" s="64"/>
      <c r="AK373" s="64" t="s">
        <v>2052</v>
      </c>
    </row>
    <row r="374" spans="2:37" ht="16.5" customHeight="1">
      <c r="B374" s="122" t="s">
        <v>2053</v>
      </c>
      <c r="C374" s="122" t="str">
        <f t="shared" si="496"/>
        <v>FF010003000105</v>
      </c>
      <c r="D374" s="60" t="s">
        <v>24</v>
      </c>
      <c r="E374" s="60" t="s">
        <v>16</v>
      </c>
      <c r="F374" s="60" t="s">
        <v>91</v>
      </c>
      <c r="G374" s="60" t="s">
        <v>16</v>
      </c>
      <c r="H374" s="60" t="s">
        <v>24</v>
      </c>
      <c r="I374" s="12" t="str">
        <f t="shared" si="499"/>
        <v>05</v>
      </c>
      <c r="J374" s="12"/>
      <c r="K374" s="12"/>
      <c r="L374" s="12"/>
      <c r="M374" s="12"/>
      <c r="N374" s="12"/>
      <c r="O374" s="12"/>
      <c r="P374" s="12"/>
      <c r="Q374" s="13">
        <f>HEX2DEC(D374)</f>
        <v>1</v>
      </c>
      <c r="R374" s="13">
        <f t="shared" si="501"/>
        <v>0</v>
      </c>
      <c r="S374" s="13">
        <f t="shared" si="506"/>
        <v>3</v>
      </c>
      <c r="T374" s="13">
        <f t="shared" si="502"/>
        <v>0</v>
      </c>
      <c r="U374" s="13">
        <f t="shared" si="503"/>
        <v>1</v>
      </c>
      <c r="V374" s="13">
        <f t="shared" si="507"/>
        <v>5</v>
      </c>
      <c r="W374" s="13" t="str">
        <f t="shared" si="508"/>
        <v>05</v>
      </c>
      <c r="X374" s="13">
        <f t="shared" si="504"/>
        <v>9</v>
      </c>
      <c r="Y374" s="13" t="str">
        <f t="shared" si="505"/>
        <v>09</v>
      </c>
      <c r="AH374" s="119"/>
      <c r="AJ374" s="64"/>
      <c r="AK374" s="64" t="s">
        <v>2351</v>
      </c>
    </row>
    <row r="375" spans="2:37" ht="16.5" customHeight="1">
      <c r="B375" s="122" t="s">
        <v>2054</v>
      </c>
      <c r="C375" s="122" t="str">
        <f t="shared" si="496"/>
        <v>FF01000300FF03</v>
      </c>
      <c r="D375" s="60" t="s">
        <v>24</v>
      </c>
      <c r="E375" s="60" t="s">
        <v>16</v>
      </c>
      <c r="F375" s="60" t="s">
        <v>91</v>
      </c>
      <c r="G375" s="60" t="s">
        <v>16</v>
      </c>
      <c r="H375" s="60" t="s">
        <v>9</v>
      </c>
      <c r="I375" s="12" t="str">
        <f t="shared" si="499"/>
        <v>03</v>
      </c>
      <c r="J375" s="12"/>
      <c r="K375" s="12"/>
      <c r="L375" s="12"/>
      <c r="M375" s="12"/>
      <c r="N375" s="12"/>
      <c r="O375" s="12"/>
      <c r="P375" s="12"/>
      <c r="Q375" s="13">
        <f t="shared" si="500"/>
        <v>1</v>
      </c>
      <c r="R375" s="13">
        <f t="shared" si="501"/>
        <v>0</v>
      </c>
      <c r="S375" s="13">
        <f t="shared" si="506"/>
        <v>3</v>
      </c>
      <c r="T375" s="13">
        <f t="shared" si="502"/>
        <v>0</v>
      </c>
      <c r="U375" s="13">
        <f t="shared" si="503"/>
        <v>255</v>
      </c>
      <c r="V375" s="13">
        <f t="shared" si="507"/>
        <v>259</v>
      </c>
      <c r="W375" s="13" t="str">
        <f t="shared" si="508"/>
        <v>03</v>
      </c>
      <c r="X375" s="13">
        <f t="shared" si="504"/>
        <v>517</v>
      </c>
      <c r="Y375" s="13" t="str">
        <f t="shared" si="505"/>
        <v>05</v>
      </c>
      <c r="AH375" s="119"/>
      <c r="AJ375" s="64"/>
      <c r="AK375" s="64" t="s">
        <v>2059</v>
      </c>
    </row>
    <row r="376" spans="2:37" ht="16.5" customHeight="1">
      <c r="B376" s="122" t="s">
        <v>2055</v>
      </c>
      <c r="C376" s="122" t="str">
        <f t="shared" si="496"/>
        <v>FF010007000109</v>
      </c>
      <c r="D376" s="60" t="s">
        <v>24</v>
      </c>
      <c r="E376" s="60" t="s">
        <v>16</v>
      </c>
      <c r="F376" s="60" t="s">
        <v>101</v>
      </c>
      <c r="G376" s="60" t="s">
        <v>16</v>
      </c>
      <c r="H376" s="60" t="s">
        <v>24</v>
      </c>
      <c r="I376" s="12" t="str">
        <f t="shared" si="499"/>
        <v>09</v>
      </c>
      <c r="J376" s="12"/>
      <c r="K376" s="12"/>
      <c r="L376" s="12"/>
      <c r="M376" s="12"/>
      <c r="N376" s="12"/>
      <c r="O376" s="12"/>
      <c r="P376" s="12"/>
      <c r="Q376" s="13">
        <f t="shared" si="500"/>
        <v>1</v>
      </c>
      <c r="R376" s="13">
        <f t="shared" si="501"/>
        <v>0</v>
      </c>
      <c r="S376" s="13">
        <f t="shared" si="506"/>
        <v>7</v>
      </c>
      <c r="T376" s="13">
        <f t="shared" si="502"/>
        <v>0</v>
      </c>
      <c r="U376" s="13">
        <f t="shared" si="503"/>
        <v>1</v>
      </c>
      <c r="V376" s="13">
        <f t="shared" si="507"/>
        <v>9</v>
      </c>
      <c r="W376" s="13" t="str">
        <f t="shared" si="508"/>
        <v>09</v>
      </c>
      <c r="X376" s="13">
        <f t="shared" si="504"/>
        <v>17</v>
      </c>
      <c r="Y376" s="13" t="str">
        <f t="shared" si="505"/>
        <v>11</v>
      </c>
      <c r="AH376" s="119"/>
      <c r="AJ376" s="64"/>
      <c r="AK376" s="64" t="s">
        <v>2060</v>
      </c>
    </row>
    <row r="377" spans="2:37" ht="16.5" customHeight="1">
      <c r="B377" s="122" t="s">
        <v>2056</v>
      </c>
      <c r="C377" s="122" t="str">
        <f t="shared" si="496"/>
        <v>FF01000700FF07</v>
      </c>
      <c r="D377" s="60" t="s">
        <v>24</v>
      </c>
      <c r="E377" s="60" t="s">
        <v>16</v>
      </c>
      <c r="F377" s="60" t="s">
        <v>101</v>
      </c>
      <c r="G377" s="60" t="s">
        <v>16</v>
      </c>
      <c r="H377" s="60" t="s">
        <v>9</v>
      </c>
      <c r="I377" s="12" t="str">
        <f t="shared" si="499"/>
        <v>07</v>
      </c>
      <c r="J377" s="12"/>
      <c r="K377" s="12"/>
      <c r="L377" s="12"/>
      <c r="M377" s="12"/>
      <c r="N377" s="12"/>
      <c r="O377" s="12"/>
      <c r="P377" s="12"/>
      <c r="Q377" s="13">
        <f t="shared" si="500"/>
        <v>1</v>
      </c>
      <c r="R377" s="13">
        <f t="shared" si="501"/>
        <v>0</v>
      </c>
      <c r="S377" s="13">
        <f t="shared" si="506"/>
        <v>7</v>
      </c>
      <c r="T377" s="13">
        <f t="shared" si="502"/>
        <v>0</v>
      </c>
      <c r="U377" s="13">
        <f t="shared" si="503"/>
        <v>255</v>
      </c>
      <c r="V377" s="13">
        <f t="shared" si="507"/>
        <v>263</v>
      </c>
      <c r="W377" s="13" t="str">
        <f t="shared" si="508"/>
        <v>07</v>
      </c>
      <c r="X377" s="13">
        <f t="shared" si="504"/>
        <v>525</v>
      </c>
      <c r="Y377" s="13" t="str">
        <f t="shared" si="505"/>
        <v>0D</v>
      </c>
      <c r="AH377" s="119"/>
      <c r="AJ377" s="64"/>
      <c r="AK377" s="64" t="s">
        <v>2061</v>
      </c>
    </row>
    <row r="378" spans="2:37" ht="16.5" customHeight="1">
      <c r="B378" s="122" t="s">
        <v>2057</v>
      </c>
      <c r="C378" s="122" t="str">
        <f t="shared" si="496"/>
        <v>FF010005000107</v>
      </c>
      <c r="D378" s="60" t="s">
        <v>24</v>
      </c>
      <c r="E378" s="60" t="s">
        <v>16</v>
      </c>
      <c r="F378" s="60" t="s">
        <v>92</v>
      </c>
      <c r="G378" s="60" t="s">
        <v>16</v>
      </c>
      <c r="H378" s="60" t="s">
        <v>24</v>
      </c>
      <c r="I378" s="12" t="str">
        <f t="shared" si="499"/>
        <v>07</v>
      </c>
      <c r="J378" s="12"/>
      <c r="K378" s="12"/>
      <c r="L378" s="12"/>
      <c r="M378" s="12"/>
      <c r="N378" s="12"/>
      <c r="O378" s="12"/>
      <c r="P378" s="12"/>
      <c r="Q378" s="13">
        <f t="shared" si="500"/>
        <v>1</v>
      </c>
      <c r="R378" s="13">
        <f t="shared" si="501"/>
        <v>0</v>
      </c>
      <c r="S378" s="13">
        <f t="shared" si="506"/>
        <v>5</v>
      </c>
      <c r="T378" s="13">
        <f t="shared" si="502"/>
        <v>0</v>
      </c>
      <c r="U378" s="13">
        <f t="shared" si="503"/>
        <v>1</v>
      </c>
      <c r="V378" s="13">
        <f t="shared" si="507"/>
        <v>7</v>
      </c>
      <c r="W378" s="13" t="str">
        <f t="shared" si="508"/>
        <v>07</v>
      </c>
      <c r="X378" s="13">
        <f t="shared" si="504"/>
        <v>13</v>
      </c>
      <c r="Y378" s="13" t="str">
        <f t="shared" si="505"/>
        <v>0D</v>
      </c>
      <c r="AH378" s="119"/>
      <c r="AJ378" s="64"/>
      <c r="AK378" s="64" t="s">
        <v>2121</v>
      </c>
    </row>
    <row r="379" spans="2:37" ht="16.5" customHeight="1">
      <c r="B379" s="122" t="s">
        <v>2058</v>
      </c>
      <c r="C379" s="122" t="str">
        <f t="shared" si="496"/>
        <v>FF01000500FF05</v>
      </c>
      <c r="D379" s="60" t="s">
        <v>24</v>
      </c>
      <c r="E379" s="60" t="s">
        <v>16</v>
      </c>
      <c r="F379" s="60" t="s">
        <v>92</v>
      </c>
      <c r="G379" s="60" t="s">
        <v>16</v>
      </c>
      <c r="H379" s="60" t="s">
        <v>9</v>
      </c>
      <c r="I379" s="12" t="str">
        <f t="shared" si="499"/>
        <v>05</v>
      </c>
      <c r="J379" s="12"/>
      <c r="K379" s="12"/>
      <c r="L379" s="12"/>
      <c r="M379" s="12"/>
      <c r="N379" s="12"/>
      <c r="O379" s="12"/>
      <c r="P379" s="12"/>
      <c r="Q379" s="13">
        <f t="shared" ref="Q379" si="509">HEX2DEC(D379)</f>
        <v>1</v>
      </c>
      <c r="R379" s="13">
        <f t="shared" ref="R379" si="510">HEX2DEC(E379)</f>
        <v>0</v>
      </c>
      <c r="S379" s="13">
        <f t="shared" ref="S379" si="511">HEX2DEC(F379)</f>
        <v>5</v>
      </c>
      <c r="T379" s="13">
        <f t="shared" ref="T379" si="512">HEX2DEC(G379)</f>
        <v>0</v>
      </c>
      <c r="U379" s="13">
        <f t="shared" si="503"/>
        <v>255</v>
      </c>
      <c r="V379" s="13">
        <f t="shared" si="507"/>
        <v>261</v>
      </c>
      <c r="W379" s="13" t="str">
        <f t="shared" si="508"/>
        <v>05</v>
      </c>
      <c r="X379" s="13">
        <f t="shared" si="504"/>
        <v>521</v>
      </c>
      <c r="Y379" s="13" t="str">
        <f t="shared" si="505"/>
        <v>09</v>
      </c>
      <c r="AH379" s="119"/>
      <c r="AJ379" s="64"/>
      <c r="AK379" s="64" t="s">
        <v>1566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ED2B-3029-46E4-B621-AF03513FA7DA}">
  <dimension ref="B1:U23"/>
  <sheetViews>
    <sheetView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C18" sqref="C18"/>
    </sheetView>
  </sheetViews>
  <sheetFormatPr defaultColWidth="11.5546875" defaultRowHeight="16.5" customHeight="1"/>
  <cols>
    <col min="1" max="1" width="2.6640625" customWidth="1"/>
    <col min="2" max="2" width="14.5546875" style="126" customWidth="1"/>
    <col min="3" max="3" width="18.33203125" customWidth="1"/>
    <col min="4" max="4" width="11.5546875" customWidth="1"/>
    <col min="8" max="8" width="11.5546875" style="6"/>
    <col min="10" max="10" width="3.109375" style="7" bestFit="1" customWidth="1"/>
    <col min="11" max="11" width="3.109375" style="7" customWidth="1"/>
    <col min="12" max="12" width="3.6640625" style="8" bestFit="1" customWidth="1"/>
    <col min="13" max="14" width="3.109375" style="7" bestFit="1" customWidth="1"/>
    <col min="15" max="15" width="7.33203125" style="7" customWidth="1"/>
    <col min="16" max="16" width="8.44140625" style="7" customWidth="1"/>
    <col min="17" max="18" width="7" style="7" bestFit="1" customWidth="1"/>
    <col min="20" max="20" width="16.5546875" style="7" bestFit="1" customWidth="1"/>
  </cols>
  <sheetData>
    <row r="1" spans="2:21" ht="16.5" customHeight="1">
      <c r="C1" s="7"/>
    </row>
    <row r="2" spans="2:21" s="2" customFormat="1" ht="33.75" customHeight="1">
      <c r="B2" s="139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29</v>
      </c>
      <c r="K2" s="11" t="s">
        <v>34</v>
      </c>
      <c r="L2" s="11" t="s">
        <v>35</v>
      </c>
      <c r="M2" s="11" t="s">
        <v>36</v>
      </c>
      <c r="N2" s="11" t="s">
        <v>37</v>
      </c>
      <c r="O2" s="11" t="s">
        <v>39</v>
      </c>
      <c r="P2" s="11" t="s">
        <v>40</v>
      </c>
      <c r="Q2" s="11" t="s">
        <v>39</v>
      </c>
      <c r="R2" s="11" t="s">
        <v>40</v>
      </c>
      <c r="T2" s="64" t="s">
        <v>701</v>
      </c>
      <c r="U2" s="2" t="s">
        <v>178</v>
      </c>
    </row>
    <row r="3" spans="2:21" ht="16.5" customHeight="1">
      <c r="B3" s="122" t="s">
        <v>1612</v>
      </c>
      <c r="C3" s="12" t="s">
        <v>1614</v>
      </c>
      <c r="D3" s="60"/>
      <c r="E3" s="60"/>
      <c r="F3" s="60"/>
      <c r="G3" s="60"/>
      <c r="H3" s="60"/>
      <c r="I3" s="12"/>
      <c r="J3" s="13"/>
      <c r="K3" s="13"/>
      <c r="L3" s="13"/>
      <c r="M3" s="13"/>
      <c r="N3" s="13"/>
      <c r="O3" s="13"/>
      <c r="P3" s="13"/>
      <c r="Q3" s="13"/>
      <c r="R3" s="13"/>
      <c r="T3" s="64"/>
    </row>
    <row r="4" spans="2:21" s="2" customFormat="1" ht="16.5" customHeight="1">
      <c r="B4" s="122" t="s">
        <v>1534</v>
      </c>
      <c r="C4" s="12" t="str">
        <f>"FF"&amp;D4&amp;E4&amp;""&amp;F4&amp;G4&amp;H4&amp;I4</f>
        <v>FF020000000002</v>
      </c>
      <c r="D4" s="60" t="s">
        <v>17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P4</f>
        <v>02</v>
      </c>
      <c r="J4" s="13">
        <f>HEX2DEC(D4)</f>
        <v>2</v>
      </c>
      <c r="K4" s="13">
        <f>HEX2DEC(E4)</f>
        <v>0</v>
      </c>
      <c r="L4" s="13">
        <f>HEX2DEC(F4)</f>
        <v>0</v>
      </c>
      <c r="M4" s="13">
        <f>HEX2DEC(G4)</f>
        <v>0</v>
      </c>
      <c r="N4" s="13">
        <f t="shared" ref="N4:O4" si="0">SUM(J4:M4)</f>
        <v>2</v>
      </c>
      <c r="O4" s="13">
        <f t="shared" si="0"/>
        <v>2</v>
      </c>
      <c r="P4" s="13" t="str">
        <f>REPT("0",2-LEN(RIGHT(DEC2HEX(N4), 2)))&amp;RIGHT(DEC2HEX(N4), 2)</f>
        <v>02</v>
      </c>
      <c r="Q4" s="13">
        <f>SUM(K4:P4)</f>
        <v>4</v>
      </c>
      <c r="R4" s="13" t="str">
        <f>REPT("0",2-LEN(RIGHT(DEC2HEX(Q4), 2)))&amp;RIGHT(DEC2HEX(Q4), 2)</f>
        <v>04</v>
      </c>
      <c r="T4" s="64" t="s">
        <v>1533</v>
      </c>
      <c r="U4" s="2" t="s">
        <v>1542</v>
      </c>
    </row>
    <row r="5" spans="2:21" ht="16.5" customHeight="1">
      <c r="B5" s="122" t="s">
        <v>1504</v>
      </c>
      <c r="C5" s="12" t="str">
        <f t="shared" ref="C5:C23" si="1">"FF"&amp;D5&amp;E5&amp;""&amp;F5&amp;G5&amp;H5&amp;I5</f>
        <v>FF020020000022</v>
      </c>
      <c r="D5" s="60" t="s">
        <v>17</v>
      </c>
      <c r="E5" s="60" t="s">
        <v>16</v>
      </c>
      <c r="F5" s="60">
        <v>20</v>
      </c>
      <c r="G5" s="60" t="s">
        <v>16</v>
      </c>
      <c r="H5" s="60" t="s">
        <v>16</v>
      </c>
      <c r="I5" s="12" t="str">
        <f t="shared" ref="I5:I23" si="2">P5</f>
        <v>22</v>
      </c>
      <c r="J5" s="13">
        <f t="shared" ref="J5:N11" si="3">HEX2DEC(D5)</f>
        <v>2</v>
      </c>
      <c r="K5" s="13">
        <f t="shared" si="3"/>
        <v>0</v>
      </c>
      <c r="L5" s="13">
        <f t="shared" si="3"/>
        <v>32</v>
      </c>
      <c r="M5" s="13">
        <f t="shared" ref="M5:N10" si="4">HEX2DEC(G5)</f>
        <v>0</v>
      </c>
      <c r="N5" s="13">
        <f t="shared" si="4"/>
        <v>0</v>
      </c>
      <c r="O5" s="13">
        <f t="shared" ref="O5:O23" si="5">SUM(J5:N5)</f>
        <v>34</v>
      </c>
      <c r="P5" s="13" t="str">
        <f t="shared" ref="P5:P23" si="6">REPT("0",2-LEN(RIGHT(DEC2HEX(O5), 2)))&amp;RIGHT(DEC2HEX(O5), 2)</f>
        <v>22</v>
      </c>
      <c r="Q5" s="13">
        <f t="shared" ref="Q5:Q23" si="7">SUM(K5:P5)</f>
        <v>66</v>
      </c>
      <c r="R5" s="13" t="str">
        <f t="shared" ref="R5:R23" si="8">REPT("0",2-LEN(RIGHT(DEC2HEX(Q5), 2)))&amp;RIGHT(DEC2HEX(Q5), 2)</f>
        <v>42</v>
      </c>
      <c r="T5" s="64" t="s">
        <v>1582</v>
      </c>
      <c r="U5" t="s">
        <v>1543</v>
      </c>
    </row>
    <row r="6" spans="2:21" ht="16.5" customHeight="1">
      <c r="B6" s="122" t="s">
        <v>1505</v>
      </c>
      <c r="C6" s="12" t="str">
        <f t="shared" si="1"/>
        <v>FF020040000042</v>
      </c>
      <c r="D6" s="60" t="s">
        <v>17</v>
      </c>
      <c r="E6" s="60" t="s">
        <v>16</v>
      </c>
      <c r="F6" s="60" t="s">
        <v>1503</v>
      </c>
      <c r="G6" s="60" t="s">
        <v>16</v>
      </c>
      <c r="H6" s="60" t="s">
        <v>16</v>
      </c>
      <c r="I6" s="12" t="str">
        <f t="shared" si="2"/>
        <v>42</v>
      </c>
      <c r="J6" s="13">
        <f t="shared" si="3"/>
        <v>2</v>
      </c>
      <c r="K6" s="13">
        <f t="shared" si="3"/>
        <v>0</v>
      </c>
      <c r="L6" s="13">
        <f t="shared" si="3"/>
        <v>64</v>
      </c>
      <c r="M6" s="13">
        <f t="shared" si="4"/>
        <v>0</v>
      </c>
      <c r="N6" s="13">
        <f t="shared" si="4"/>
        <v>0</v>
      </c>
      <c r="O6" s="13">
        <f t="shared" si="5"/>
        <v>66</v>
      </c>
      <c r="P6" s="13" t="str">
        <f t="shared" si="6"/>
        <v>42</v>
      </c>
      <c r="Q6" s="13">
        <f t="shared" si="7"/>
        <v>130</v>
      </c>
      <c r="R6" s="13" t="str">
        <f t="shared" si="8"/>
        <v>82</v>
      </c>
      <c r="T6" s="64" t="s">
        <v>1583</v>
      </c>
      <c r="U6" t="s">
        <v>1544</v>
      </c>
    </row>
    <row r="7" spans="2:21" ht="16.5" customHeight="1">
      <c r="B7" s="122" t="s">
        <v>1506</v>
      </c>
      <c r="C7" s="12" t="str">
        <f t="shared" si="1"/>
        <v>FF020080000082</v>
      </c>
      <c r="D7" s="60" t="s">
        <v>17</v>
      </c>
      <c r="E7" s="60" t="s">
        <v>16</v>
      </c>
      <c r="F7" s="60" t="s">
        <v>43</v>
      </c>
      <c r="G7" s="60" t="s">
        <v>16</v>
      </c>
      <c r="H7" s="60" t="s">
        <v>16</v>
      </c>
      <c r="I7" s="12" t="str">
        <f t="shared" si="2"/>
        <v>82</v>
      </c>
      <c r="J7" s="13">
        <f t="shared" si="3"/>
        <v>2</v>
      </c>
      <c r="K7" s="13">
        <f t="shared" si="3"/>
        <v>0</v>
      </c>
      <c r="L7" s="13">
        <f t="shared" si="3"/>
        <v>128</v>
      </c>
      <c r="M7" s="13">
        <f t="shared" si="4"/>
        <v>0</v>
      </c>
      <c r="N7" s="13">
        <f t="shared" si="4"/>
        <v>0</v>
      </c>
      <c r="O7" s="13">
        <f t="shared" si="5"/>
        <v>130</v>
      </c>
      <c r="P7" s="13" t="str">
        <f t="shared" si="6"/>
        <v>82</v>
      </c>
      <c r="Q7" s="13">
        <f t="shared" si="7"/>
        <v>258</v>
      </c>
      <c r="R7" s="13" t="str">
        <f t="shared" si="8"/>
        <v>02</v>
      </c>
      <c r="T7" s="64" t="s">
        <v>1584</v>
      </c>
      <c r="U7" t="s">
        <v>1545</v>
      </c>
    </row>
    <row r="8" spans="2:21" ht="16.5" customHeight="1">
      <c r="B8" s="122" t="s">
        <v>1507</v>
      </c>
      <c r="C8" s="12" t="str">
        <f t="shared" si="1"/>
        <v>FF020100000003</v>
      </c>
      <c r="D8" s="60" t="s">
        <v>17</v>
      </c>
      <c r="E8" s="60" t="s">
        <v>24</v>
      </c>
      <c r="F8" s="60" t="s">
        <v>16</v>
      </c>
      <c r="G8" s="60" t="s">
        <v>16</v>
      </c>
      <c r="H8" s="60" t="s">
        <v>16</v>
      </c>
      <c r="I8" s="12" t="str">
        <f t="shared" si="2"/>
        <v>03</v>
      </c>
      <c r="J8" s="13">
        <f t="shared" si="3"/>
        <v>2</v>
      </c>
      <c r="K8" s="13">
        <f t="shared" si="3"/>
        <v>1</v>
      </c>
      <c r="L8" s="13">
        <f t="shared" si="3"/>
        <v>0</v>
      </c>
      <c r="M8" s="13">
        <f t="shared" si="4"/>
        <v>0</v>
      </c>
      <c r="N8" s="13">
        <f t="shared" si="4"/>
        <v>0</v>
      </c>
      <c r="O8" s="13">
        <f t="shared" si="5"/>
        <v>3</v>
      </c>
      <c r="P8" s="13" t="str">
        <f t="shared" si="6"/>
        <v>03</v>
      </c>
      <c r="Q8" s="13">
        <f t="shared" si="7"/>
        <v>4</v>
      </c>
      <c r="R8" s="13" t="str">
        <f t="shared" si="8"/>
        <v>04</v>
      </c>
      <c r="T8" s="64" t="s">
        <v>1585</v>
      </c>
      <c r="U8" t="s">
        <v>1546</v>
      </c>
    </row>
    <row r="9" spans="2:21" ht="16.5" customHeight="1">
      <c r="B9" s="122" t="s">
        <v>1508</v>
      </c>
      <c r="C9" s="12" t="str">
        <f t="shared" si="1"/>
        <v>FF02002500042B</v>
      </c>
      <c r="D9" s="60" t="s">
        <v>17</v>
      </c>
      <c r="E9" s="60" t="s">
        <v>16</v>
      </c>
      <c r="F9" s="60" t="s">
        <v>51</v>
      </c>
      <c r="G9" s="60" t="s">
        <v>16</v>
      </c>
      <c r="H9" s="60" t="s">
        <v>67</v>
      </c>
      <c r="I9" s="12" t="str">
        <f t="shared" si="2"/>
        <v>2B</v>
      </c>
      <c r="J9" s="13">
        <f t="shared" si="3"/>
        <v>2</v>
      </c>
      <c r="K9" s="13">
        <f t="shared" si="3"/>
        <v>0</v>
      </c>
      <c r="L9" s="13">
        <f t="shared" si="3"/>
        <v>37</v>
      </c>
      <c r="M9" s="13">
        <f t="shared" si="4"/>
        <v>0</v>
      </c>
      <c r="N9" s="13">
        <f t="shared" si="4"/>
        <v>4</v>
      </c>
      <c r="O9" s="13">
        <f t="shared" si="5"/>
        <v>43</v>
      </c>
      <c r="P9" s="13" t="str">
        <f t="shared" si="6"/>
        <v>2B</v>
      </c>
      <c r="Q9" s="13">
        <f t="shared" si="7"/>
        <v>84</v>
      </c>
      <c r="R9" s="13" t="str">
        <f t="shared" si="8"/>
        <v>54</v>
      </c>
      <c r="T9" s="64" t="s">
        <v>1586</v>
      </c>
      <c r="U9" t="s">
        <v>1547</v>
      </c>
    </row>
    <row r="10" spans="2:21" ht="16.5" customHeight="1">
      <c r="B10" s="122" t="s">
        <v>1509</v>
      </c>
      <c r="C10" s="12" t="str">
        <f t="shared" si="1"/>
        <v>FF02002700042D</v>
      </c>
      <c r="D10" s="60" t="s">
        <v>17</v>
      </c>
      <c r="E10" s="60" t="s">
        <v>16</v>
      </c>
      <c r="F10" s="60" t="s">
        <v>60</v>
      </c>
      <c r="G10" s="60" t="s">
        <v>16</v>
      </c>
      <c r="H10" s="60" t="s">
        <v>67</v>
      </c>
      <c r="I10" s="12" t="str">
        <f t="shared" si="2"/>
        <v>2D</v>
      </c>
      <c r="J10" s="13">
        <f t="shared" si="3"/>
        <v>2</v>
      </c>
      <c r="K10" s="13">
        <f t="shared" si="3"/>
        <v>0</v>
      </c>
      <c r="L10" s="13">
        <f t="shared" si="3"/>
        <v>39</v>
      </c>
      <c r="M10" s="13">
        <f t="shared" si="4"/>
        <v>0</v>
      </c>
      <c r="N10" s="13">
        <f t="shared" si="4"/>
        <v>4</v>
      </c>
      <c r="O10" s="13">
        <f t="shared" si="5"/>
        <v>45</v>
      </c>
      <c r="P10" s="13" t="str">
        <f t="shared" si="6"/>
        <v>2D</v>
      </c>
      <c r="Q10" s="13">
        <f t="shared" si="7"/>
        <v>88</v>
      </c>
      <c r="R10" s="13" t="str">
        <f t="shared" si="8"/>
        <v>58</v>
      </c>
      <c r="T10" s="64" t="s">
        <v>1587</v>
      </c>
      <c r="U10" t="s">
        <v>1548</v>
      </c>
    </row>
    <row r="11" spans="2:21" ht="16.5" customHeight="1">
      <c r="B11" s="122" t="s">
        <v>1616</v>
      </c>
      <c r="C11" s="12" t="str">
        <f t="shared" si="1"/>
        <v>FF02004F000051</v>
      </c>
      <c r="D11" s="60" t="s">
        <v>17</v>
      </c>
      <c r="E11" s="60" t="s">
        <v>16</v>
      </c>
      <c r="F11" s="60" t="s">
        <v>70</v>
      </c>
      <c r="G11" s="60" t="s">
        <v>16</v>
      </c>
      <c r="H11" s="60" t="s">
        <v>16</v>
      </c>
      <c r="I11" s="12" t="str">
        <f t="shared" si="2"/>
        <v>51</v>
      </c>
      <c r="J11" s="13">
        <f t="shared" si="3"/>
        <v>2</v>
      </c>
      <c r="K11" s="13">
        <f t="shared" si="3"/>
        <v>0</v>
      </c>
      <c r="L11" s="13">
        <f t="shared" si="3"/>
        <v>79</v>
      </c>
      <c r="M11" s="13">
        <f t="shared" si="3"/>
        <v>0</v>
      </c>
      <c r="N11" s="13">
        <f t="shared" si="3"/>
        <v>0</v>
      </c>
      <c r="O11" s="13">
        <f t="shared" si="5"/>
        <v>81</v>
      </c>
      <c r="P11" s="13" t="str">
        <f t="shared" si="6"/>
        <v>51</v>
      </c>
      <c r="Q11" s="13">
        <f t="shared" si="7"/>
        <v>160</v>
      </c>
      <c r="R11" s="13" t="str">
        <f t="shared" si="8"/>
        <v>A0</v>
      </c>
      <c r="T11" s="64" t="s">
        <v>1588</v>
      </c>
      <c r="U11" t="s">
        <v>1549</v>
      </c>
    </row>
    <row r="12" spans="2:21" ht="28.5" customHeight="1">
      <c r="B12" s="122" t="s">
        <v>1618</v>
      </c>
      <c r="C12" s="12" t="str">
        <f t="shared" si="1"/>
        <v>FF02004F400091</v>
      </c>
      <c r="D12" s="60" t="s">
        <v>17</v>
      </c>
      <c r="E12" s="60" t="s">
        <v>16</v>
      </c>
      <c r="F12" s="60" t="s">
        <v>70</v>
      </c>
      <c r="G12" s="60" t="s">
        <v>1503</v>
      </c>
      <c r="H12" s="60" t="s">
        <v>16</v>
      </c>
      <c r="I12" s="12" t="str">
        <f t="shared" si="2"/>
        <v>91</v>
      </c>
      <c r="J12" s="13">
        <f t="shared" ref="J12:N23" si="9">HEX2DEC(D12)</f>
        <v>2</v>
      </c>
      <c r="K12" s="13">
        <f t="shared" si="9"/>
        <v>0</v>
      </c>
      <c r="L12" s="13">
        <f t="shared" si="9"/>
        <v>79</v>
      </c>
      <c r="M12" s="13">
        <f t="shared" si="9"/>
        <v>64</v>
      </c>
      <c r="N12" s="13">
        <f t="shared" si="9"/>
        <v>0</v>
      </c>
      <c r="O12" s="13">
        <f t="shared" si="5"/>
        <v>145</v>
      </c>
      <c r="P12" s="13" t="str">
        <f t="shared" si="6"/>
        <v>91</v>
      </c>
      <c r="Q12" s="13">
        <f t="shared" si="7"/>
        <v>288</v>
      </c>
      <c r="R12" s="13" t="str">
        <f t="shared" si="8"/>
        <v>20</v>
      </c>
      <c r="T12" s="64" t="s">
        <v>1529</v>
      </c>
      <c r="U12" t="s">
        <v>1550</v>
      </c>
    </row>
    <row r="13" spans="2:21" ht="16.5" customHeight="1">
      <c r="B13" s="122" t="s">
        <v>1620</v>
      </c>
      <c r="C13" s="12" t="str">
        <f t="shared" si="1"/>
        <v>FF02004FFFFF4F</v>
      </c>
      <c r="D13" s="60" t="s">
        <v>17</v>
      </c>
      <c r="E13" s="60" t="s">
        <v>16</v>
      </c>
      <c r="F13" s="60" t="s">
        <v>70</v>
      </c>
      <c r="G13" s="60" t="s">
        <v>9</v>
      </c>
      <c r="H13" s="60" t="s">
        <v>9</v>
      </c>
      <c r="I13" s="12" t="str">
        <f t="shared" si="2"/>
        <v>4F</v>
      </c>
      <c r="J13" s="13">
        <f t="shared" si="9"/>
        <v>2</v>
      </c>
      <c r="K13" s="13">
        <f t="shared" si="9"/>
        <v>0</v>
      </c>
      <c r="L13" s="13">
        <f t="shared" si="9"/>
        <v>79</v>
      </c>
      <c r="M13" s="13">
        <f t="shared" si="9"/>
        <v>255</v>
      </c>
      <c r="N13" s="13">
        <f t="shared" si="9"/>
        <v>255</v>
      </c>
      <c r="O13" s="13">
        <f t="shared" si="5"/>
        <v>591</v>
      </c>
      <c r="P13" s="13" t="str">
        <f t="shared" si="6"/>
        <v>4F</v>
      </c>
      <c r="Q13" s="13">
        <f t="shared" si="7"/>
        <v>1180</v>
      </c>
      <c r="R13" s="13" t="str">
        <f t="shared" si="8"/>
        <v>9C</v>
      </c>
      <c r="T13" s="64" t="s">
        <v>1589</v>
      </c>
      <c r="U13" t="s">
        <v>1551</v>
      </c>
    </row>
    <row r="14" spans="2:21" ht="16.5" customHeight="1">
      <c r="B14" s="122" t="s">
        <v>1622</v>
      </c>
      <c r="C14" s="12" t="str">
        <f t="shared" si="1"/>
        <v>FF020055000057</v>
      </c>
      <c r="D14" s="60" t="s">
        <v>17</v>
      </c>
      <c r="E14" s="60" t="s">
        <v>16</v>
      </c>
      <c r="F14" s="60" t="s">
        <v>74</v>
      </c>
      <c r="G14" s="60" t="s">
        <v>16</v>
      </c>
      <c r="H14" s="60" t="s">
        <v>16</v>
      </c>
      <c r="I14" s="12" t="str">
        <f t="shared" si="2"/>
        <v>57</v>
      </c>
      <c r="J14" s="13">
        <f t="shared" si="9"/>
        <v>2</v>
      </c>
      <c r="K14" s="13">
        <f t="shared" si="9"/>
        <v>0</v>
      </c>
      <c r="L14" s="13">
        <f t="shared" si="9"/>
        <v>85</v>
      </c>
      <c r="M14" s="13">
        <f t="shared" si="9"/>
        <v>0</v>
      </c>
      <c r="N14" s="13">
        <f t="shared" si="9"/>
        <v>0</v>
      </c>
      <c r="O14" s="13">
        <f t="shared" si="5"/>
        <v>87</v>
      </c>
      <c r="P14" s="13" t="str">
        <f t="shared" si="6"/>
        <v>57</v>
      </c>
      <c r="Q14" s="13">
        <f t="shared" si="7"/>
        <v>172</v>
      </c>
      <c r="R14" s="13" t="str">
        <f>REPT("0",2-LEN(RIGHT(DEC2HEX(Q14), 2)))&amp;RIGHT(DEC2HEX(Q14), 2)</f>
        <v>AC</v>
      </c>
      <c r="T14" s="64" t="s">
        <v>1590</v>
      </c>
      <c r="U14" t="s">
        <v>1552</v>
      </c>
    </row>
    <row r="15" spans="2:21" ht="16.5" customHeight="1">
      <c r="B15" s="122" t="s">
        <v>1624</v>
      </c>
      <c r="C15" s="12" t="str">
        <f t="shared" si="1"/>
        <v>FF02014F000052</v>
      </c>
      <c r="D15" s="60" t="s">
        <v>17</v>
      </c>
      <c r="E15" s="60" t="s">
        <v>24</v>
      </c>
      <c r="F15" s="60" t="s">
        <v>70</v>
      </c>
      <c r="G15" s="60" t="s">
        <v>16</v>
      </c>
      <c r="H15" s="60" t="s">
        <v>16</v>
      </c>
      <c r="I15" s="12" t="str">
        <f t="shared" si="2"/>
        <v>52</v>
      </c>
      <c r="J15" s="13">
        <f t="shared" si="9"/>
        <v>2</v>
      </c>
      <c r="K15" s="13">
        <f t="shared" si="9"/>
        <v>1</v>
      </c>
      <c r="L15" s="13">
        <f t="shared" si="9"/>
        <v>79</v>
      </c>
      <c r="M15" s="13">
        <f t="shared" si="9"/>
        <v>0</v>
      </c>
      <c r="N15" s="13">
        <f t="shared" si="9"/>
        <v>0</v>
      </c>
      <c r="O15" s="13">
        <f t="shared" si="5"/>
        <v>82</v>
      </c>
      <c r="P15" s="13" t="str">
        <f t="shared" si="6"/>
        <v>52</v>
      </c>
      <c r="Q15" s="13">
        <f t="shared" si="7"/>
        <v>162</v>
      </c>
      <c r="R15" s="13" t="str">
        <f t="shared" si="8"/>
        <v>A2</v>
      </c>
      <c r="T15" s="64" t="s">
        <v>1527</v>
      </c>
      <c r="U15" t="s">
        <v>1553</v>
      </c>
    </row>
    <row r="16" spans="2:21" ht="32.25" customHeight="1">
      <c r="B16" s="122" t="s">
        <v>1626</v>
      </c>
      <c r="C16" s="12" t="str">
        <f t="shared" si="1"/>
        <v>FF02014F100062</v>
      </c>
      <c r="D16" s="60" t="s">
        <v>17</v>
      </c>
      <c r="E16" s="60" t="s">
        <v>24</v>
      </c>
      <c r="F16" s="60" t="s">
        <v>70</v>
      </c>
      <c r="G16" s="60" t="s">
        <v>109</v>
      </c>
      <c r="H16" s="60" t="s">
        <v>16</v>
      </c>
      <c r="I16" s="12" t="str">
        <f t="shared" si="2"/>
        <v>62</v>
      </c>
      <c r="J16" s="13">
        <f t="shared" si="9"/>
        <v>2</v>
      </c>
      <c r="K16" s="13">
        <f t="shared" si="9"/>
        <v>1</v>
      </c>
      <c r="L16" s="13">
        <f t="shared" si="9"/>
        <v>79</v>
      </c>
      <c r="M16" s="13">
        <f t="shared" si="9"/>
        <v>16</v>
      </c>
      <c r="N16" s="13">
        <f t="shared" si="9"/>
        <v>0</v>
      </c>
      <c r="O16" s="13">
        <f t="shared" si="5"/>
        <v>98</v>
      </c>
      <c r="P16" s="13" t="str">
        <f t="shared" si="6"/>
        <v>62</v>
      </c>
      <c r="Q16" s="13">
        <f t="shared" si="7"/>
        <v>194</v>
      </c>
      <c r="R16" s="13" t="str">
        <f t="shared" si="8"/>
        <v>C2</v>
      </c>
      <c r="T16" s="64" t="s">
        <v>1528</v>
      </c>
      <c r="U16" t="s">
        <v>1554</v>
      </c>
    </row>
    <row r="17" spans="2:21" ht="30" customHeight="1">
      <c r="B17" s="122" t="s">
        <v>1628</v>
      </c>
      <c r="C17" s="12" t="str">
        <f t="shared" si="1"/>
        <v>FF02014F8000D2</v>
      </c>
      <c r="D17" s="60" t="s">
        <v>17</v>
      </c>
      <c r="E17" s="60" t="s">
        <v>24</v>
      </c>
      <c r="F17" s="60" t="s">
        <v>70</v>
      </c>
      <c r="G17" s="60" t="s">
        <v>43</v>
      </c>
      <c r="H17" s="60" t="s">
        <v>16</v>
      </c>
      <c r="I17" s="12" t="str">
        <f t="shared" si="2"/>
        <v>D2</v>
      </c>
      <c r="J17" s="13">
        <f t="shared" si="9"/>
        <v>2</v>
      </c>
      <c r="K17" s="13">
        <f t="shared" si="9"/>
        <v>1</v>
      </c>
      <c r="L17" s="13">
        <f t="shared" si="9"/>
        <v>79</v>
      </c>
      <c r="M17" s="13">
        <f t="shared" si="9"/>
        <v>128</v>
      </c>
      <c r="N17" s="13">
        <f t="shared" si="9"/>
        <v>0</v>
      </c>
      <c r="O17" s="13">
        <f t="shared" si="5"/>
        <v>210</v>
      </c>
      <c r="P17" s="13" t="str">
        <f t="shared" si="6"/>
        <v>D2</v>
      </c>
      <c r="Q17" s="13">
        <f t="shared" si="7"/>
        <v>418</v>
      </c>
      <c r="R17" s="13" t="str">
        <f t="shared" si="8"/>
        <v>A2</v>
      </c>
      <c r="T17" s="64" t="s">
        <v>1530</v>
      </c>
      <c r="U17" t="s">
        <v>1555</v>
      </c>
    </row>
    <row r="18" spans="2:21" ht="16.5" customHeight="1">
      <c r="B18" s="122" t="s">
        <v>1630</v>
      </c>
      <c r="C18" s="12" t="str">
        <f t="shared" si="1"/>
        <v>FF02014FFFFF50</v>
      </c>
      <c r="D18" s="60" t="s">
        <v>17</v>
      </c>
      <c r="E18" s="60" t="s">
        <v>24</v>
      </c>
      <c r="F18" s="60" t="s">
        <v>70</v>
      </c>
      <c r="G18" s="60" t="s">
        <v>9</v>
      </c>
      <c r="H18" s="60" t="s">
        <v>9</v>
      </c>
      <c r="I18" s="12" t="str">
        <f t="shared" si="2"/>
        <v>50</v>
      </c>
      <c r="J18" s="13">
        <f t="shared" si="9"/>
        <v>2</v>
      </c>
      <c r="K18" s="13">
        <f t="shared" si="9"/>
        <v>1</v>
      </c>
      <c r="L18" s="13">
        <f t="shared" si="9"/>
        <v>79</v>
      </c>
      <c r="M18" s="13">
        <f t="shared" si="9"/>
        <v>255</v>
      </c>
      <c r="N18" s="13">
        <f t="shared" si="9"/>
        <v>255</v>
      </c>
      <c r="O18" s="13">
        <f t="shared" si="5"/>
        <v>592</v>
      </c>
      <c r="P18" s="13" t="str">
        <f t="shared" si="6"/>
        <v>50</v>
      </c>
      <c r="Q18" s="13">
        <f t="shared" si="7"/>
        <v>1182</v>
      </c>
      <c r="R18" s="13" t="str">
        <f t="shared" si="8"/>
        <v>9E</v>
      </c>
      <c r="T18" s="64" t="s">
        <v>1591</v>
      </c>
      <c r="U18" t="s">
        <v>1556</v>
      </c>
    </row>
    <row r="19" spans="2:21" ht="16.5" customHeight="1">
      <c r="B19" s="122" t="s">
        <v>1632</v>
      </c>
      <c r="C19" s="12" t="str">
        <f t="shared" si="1"/>
        <v>FF020155000058</v>
      </c>
      <c r="D19" s="60" t="s">
        <v>17</v>
      </c>
      <c r="E19" s="60" t="s">
        <v>24</v>
      </c>
      <c r="F19" s="60" t="s">
        <v>74</v>
      </c>
      <c r="G19" s="60" t="s">
        <v>16</v>
      </c>
      <c r="H19" s="60" t="s">
        <v>16</v>
      </c>
      <c r="I19" s="12" t="str">
        <f t="shared" si="2"/>
        <v>58</v>
      </c>
      <c r="J19" s="13">
        <f t="shared" si="9"/>
        <v>2</v>
      </c>
      <c r="K19" s="13">
        <f t="shared" si="9"/>
        <v>1</v>
      </c>
      <c r="L19" s="13">
        <f t="shared" si="9"/>
        <v>85</v>
      </c>
      <c r="M19" s="13">
        <f t="shared" si="9"/>
        <v>0</v>
      </c>
      <c r="N19" s="13">
        <f t="shared" si="9"/>
        <v>0</v>
      </c>
      <c r="O19" s="13">
        <f t="shared" si="5"/>
        <v>88</v>
      </c>
      <c r="P19" s="13" t="str">
        <f t="shared" si="6"/>
        <v>58</v>
      </c>
      <c r="Q19" s="13">
        <f t="shared" si="7"/>
        <v>174</v>
      </c>
      <c r="R19" s="13" t="str">
        <f t="shared" si="8"/>
        <v>AE</v>
      </c>
      <c r="T19" s="64" t="s">
        <v>1592</v>
      </c>
      <c r="U19" t="s">
        <v>1557</v>
      </c>
    </row>
    <row r="20" spans="2:21" ht="16.5" customHeight="1">
      <c r="B20" s="122" t="s">
        <v>1634</v>
      </c>
      <c r="C20" s="12" t="str">
        <f t="shared" si="1"/>
        <v>FF02002B00002D</v>
      </c>
      <c r="D20" s="60" t="s">
        <v>17</v>
      </c>
      <c r="E20" s="60" t="s">
        <v>16</v>
      </c>
      <c r="F20" s="60" t="s">
        <v>104</v>
      </c>
      <c r="G20" s="60" t="s">
        <v>16</v>
      </c>
      <c r="H20" s="60" t="s">
        <v>16</v>
      </c>
      <c r="I20" s="12" t="str">
        <f t="shared" si="2"/>
        <v>2D</v>
      </c>
      <c r="J20" s="13">
        <f t="shared" si="9"/>
        <v>2</v>
      </c>
      <c r="K20" s="13">
        <f t="shared" si="9"/>
        <v>0</v>
      </c>
      <c r="L20" s="13">
        <f t="shared" si="9"/>
        <v>43</v>
      </c>
      <c r="M20" s="13">
        <f t="shared" si="9"/>
        <v>0</v>
      </c>
      <c r="N20" s="13">
        <f t="shared" si="9"/>
        <v>0</v>
      </c>
      <c r="O20" s="13">
        <f t="shared" si="5"/>
        <v>45</v>
      </c>
      <c r="P20" s="13" t="str">
        <f t="shared" si="6"/>
        <v>2D</v>
      </c>
      <c r="Q20" s="13">
        <f t="shared" si="7"/>
        <v>88</v>
      </c>
      <c r="R20" s="13" t="str">
        <f t="shared" si="8"/>
        <v>58</v>
      </c>
      <c r="T20" s="64" t="s">
        <v>1593</v>
      </c>
      <c r="U20" t="s">
        <v>1558</v>
      </c>
    </row>
    <row r="21" spans="2:21" ht="16.5" customHeight="1">
      <c r="B21" s="122" t="s">
        <v>1636</v>
      </c>
      <c r="C21" s="12" t="str">
        <f t="shared" si="1"/>
        <v>FF02002B00012E</v>
      </c>
      <c r="D21" s="60" t="s">
        <v>17</v>
      </c>
      <c r="E21" s="60" t="s">
        <v>16</v>
      </c>
      <c r="F21" s="60" t="s">
        <v>104</v>
      </c>
      <c r="G21" s="60" t="s">
        <v>16</v>
      </c>
      <c r="H21" s="60" t="s">
        <v>24</v>
      </c>
      <c r="I21" s="12" t="str">
        <f t="shared" si="2"/>
        <v>2E</v>
      </c>
      <c r="J21" s="13">
        <f t="shared" si="9"/>
        <v>2</v>
      </c>
      <c r="K21" s="13">
        <f t="shared" si="9"/>
        <v>0</v>
      </c>
      <c r="L21" s="13">
        <f t="shared" si="9"/>
        <v>43</v>
      </c>
      <c r="M21" s="13">
        <f t="shared" si="9"/>
        <v>0</v>
      </c>
      <c r="N21" s="13">
        <f t="shared" si="9"/>
        <v>1</v>
      </c>
      <c r="O21" s="13">
        <f t="shared" si="5"/>
        <v>46</v>
      </c>
      <c r="P21" s="13" t="str">
        <f t="shared" si="6"/>
        <v>2E</v>
      </c>
      <c r="Q21" s="13">
        <f t="shared" si="7"/>
        <v>90</v>
      </c>
      <c r="R21" s="13" t="str">
        <f t="shared" si="8"/>
        <v>5A</v>
      </c>
      <c r="T21" s="64" t="s">
        <v>1594</v>
      </c>
      <c r="U21" t="s">
        <v>1559</v>
      </c>
    </row>
    <row r="22" spans="2:21" ht="16.5" customHeight="1">
      <c r="B22" s="122" t="s">
        <v>1638</v>
      </c>
      <c r="C22" s="12" t="str">
        <f t="shared" si="1"/>
        <v>FF02000F000011</v>
      </c>
      <c r="D22" s="60" t="s">
        <v>17</v>
      </c>
      <c r="E22" s="60" t="s">
        <v>16</v>
      </c>
      <c r="F22" s="60" t="s">
        <v>78</v>
      </c>
      <c r="G22" s="60" t="s">
        <v>16</v>
      </c>
      <c r="H22" s="60" t="s">
        <v>16</v>
      </c>
      <c r="I22" s="12" t="str">
        <f t="shared" si="2"/>
        <v>11</v>
      </c>
      <c r="J22" s="13">
        <f t="shared" si="9"/>
        <v>2</v>
      </c>
      <c r="K22" s="13">
        <f t="shared" si="9"/>
        <v>0</v>
      </c>
      <c r="L22" s="13">
        <f t="shared" si="9"/>
        <v>15</v>
      </c>
      <c r="M22" s="13">
        <f t="shared" si="9"/>
        <v>0</v>
      </c>
      <c r="N22" s="13">
        <f t="shared" si="9"/>
        <v>0</v>
      </c>
      <c r="O22" s="13">
        <f t="shared" si="5"/>
        <v>17</v>
      </c>
      <c r="P22" s="13" t="str">
        <f t="shared" si="6"/>
        <v>11</v>
      </c>
      <c r="Q22" s="13">
        <f t="shared" si="7"/>
        <v>32</v>
      </c>
      <c r="R22" s="13" t="str">
        <f t="shared" si="8"/>
        <v>20</v>
      </c>
      <c r="T22" s="64" t="s">
        <v>1595</v>
      </c>
      <c r="U22" t="s">
        <v>1560</v>
      </c>
    </row>
    <row r="23" spans="2:21" ht="16.5" customHeight="1">
      <c r="B23" s="122" t="s">
        <v>1640</v>
      </c>
      <c r="C23" s="12" t="str">
        <f t="shared" si="1"/>
        <v>FF02002900002B</v>
      </c>
      <c r="D23" s="60" t="s">
        <v>17</v>
      </c>
      <c r="E23" s="60" t="s">
        <v>16</v>
      </c>
      <c r="F23" s="60" t="s">
        <v>79</v>
      </c>
      <c r="G23" s="60" t="s">
        <v>16</v>
      </c>
      <c r="H23" s="60" t="s">
        <v>16</v>
      </c>
      <c r="I23" s="12" t="str">
        <f t="shared" si="2"/>
        <v>2B</v>
      </c>
      <c r="J23" s="13">
        <f t="shared" si="9"/>
        <v>2</v>
      </c>
      <c r="K23" s="13">
        <f t="shared" si="9"/>
        <v>0</v>
      </c>
      <c r="L23" s="13">
        <f t="shared" si="9"/>
        <v>41</v>
      </c>
      <c r="M23" s="13">
        <f t="shared" si="9"/>
        <v>0</v>
      </c>
      <c r="N23" s="13">
        <f t="shared" si="9"/>
        <v>0</v>
      </c>
      <c r="O23" s="13">
        <f t="shared" si="5"/>
        <v>43</v>
      </c>
      <c r="P23" s="13" t="str">
        <f t="shared" si="6"/>
        <v>2B</v>
      </c>
      <c r="Q23" s="13">
        <f t="shared" si="7"/>
        <v>84</v>
      </c>
      <c r="R23" s="13" t="str">
        <f t="shared" si="8"/>
        <v>54</v>
      </c>
      <c r="T23" s="64" t="s">
        <v>1596</v>
      </c>
      <c r="U23" t="s">
        <v>1561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D130-7E94-4798-80EB-E2350D9BAC78}">
  <dimension ref="B1:X102"/>
  <sheetViews>
    <sheetView workbookViewId="0">
      <pane xSplit="8" ySplit="2" topLeftCell="J75" activePane="bottomRight" state="frozen"/>
      <selection pane="topRight" activeCell="I1" sqref="I1"/>
      <selection pane="bottomLeft" activeCell="A3" sqref="A3"/>
      <selection pane="bottomRight" activeCell="A16" sqref="A7:XFD16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6.88671875" hidden="1" customWidth="1"/>
    <col min="4" max="4" width="0" hidden="1" customWidth="1"/>
    <col min="5" max="5" width="4.109375" hidden="1" customWidth="1"/>
    <col min="6" max="6" width="9.33203125" hidden="1" customWidth="1"/>
    <col min="7" max="7" width="6.33203125" hidden="1" customWidth="1"/>
    <col min="8" max="8" width="7.44140625" hidden="1" customWidth="1"/>
    <col min="9" max="9" width="0" hidden="1" customWidth="1"/>
    <col min="13" max="13" width="11.5546875" style="6"/>
    <col min="15" max="15" width="14.44140625" customWidth="1"/>
    <col min="16" max="16" width="3.109375" style="7" bestFit="1" customWidth="1"/>
    <col min="17" max="17" width="3.109375" style="7" customWidth="1"/>
    <col min="18" max="18" width="3.6640625" style="8" bestFit="1" customWidth="1"/>
    <col min="19" max="21" width="3.109375" style="7" bestFit="1" customWidth="1"/>
    <col min="22" max="23" width="7" style="7" bestFit="1" customWidth="1"/>
    <col min="24" max="24" width="16.5546875" bestFit="1" customWidth="1"/>
  </cols>
  <sheetData>
    <row r="1" spans="2:24" ht="16.5" customHeight="1">
      <c r="O1" t="s">
        <v>8</v>
      </c>
      <c r="X1" t="s">
        <v>535</v>
      </c>
    </row>
    <row r="2" spans="2:24" s="2" customFormat="1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29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9" t="s">
        <v>7</v>
      </c>
      <c r="P2" s="11" t="s">
        <v>32</v>
      </c>
      <c r="Q2" s="11" t="s">
        <v>33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2" t="s">
        <v>178</v>
      </c>
    </row>
    <row r="3" spans="2:24" s="2" customFormat="1" ht="16.5" customHeight="1">
      <c r="B3" s="3" t="s">
        <v>76</v>
      </c>
      <c r="C3" s="3"/>
      <c r="D3" s="3"/>
      <c r="E3" s="3"/>
      <c r="F3" s="3"/>
      <c r="G3" s="4"/>
      <c r="H3" s="3"/>
      <c r="I3" s="5" t="s">
        <v>24</v>
      </c>
      <c r="J3" s="5" t="s">
        <v>16</v>
      </c>
      <c r="K3" s="5" t="s">
        <v>78</v>
      </c>
      <c r="L3" s="5" t="s">
        <v>16</v>
      </c>
      <c r="M3" s="5" t="s">
        <v>16</v>
      </c>
      <c r="N3" s="3" t="str">
        <f>W3</f>
        <v>10</v>
      </c>
      <c r="O3" s="10" t="str">
        <f t="shared" ref="O3:O11" si="0">"FF01"&amp;J3&amp;""&amp;K3&amp;L3&amp;M3&amp;N3</f>
        <v>FF01000F000010</v>
      </c>
      <c r="P3" s="12" t="s">
        <v>9</v>
      </c>
      <c r="Q3" s="13">
        <f t="shared" ref="Q3:U18" si="1">HEX2DEC(I3)</f>
        <v>1</v>
      </c>
      <c r="R3" s="13">
        <f t="shared" si="1"/>
        <v>0</v>
      </c>
      <c r="S3" s="13">
        <f t="shared" si="1"/>
        <v>15</v>
      </c>
      <c r="T3" s="13">
        <f t="shared" si="1"/>
        <v>0</v>
      </c>
      <c r="U3" s="13">
        <f t="shared" si="1"/>
        <v>0</v>
      </c>
      <c r="V3" s="13">
        <f t="shared" ref="V3:V66" si="2">SUM(Q3:U3)</f>
        <v>16</v>
      </c>
      <c r="W3" s="13" t="str">
        <f>REPT("0",2-LEN(RIGHT(DEC2HEX(V3), 2)))&amp;RIGHT(DEC2HEX(V3), 2)</f>
        <v>10</v>
      </c>
      <c r="X3" s="2" t="s">
        <v>179</v>
      </c>
    </row>
    <row r="4" spans="2:24" s="2" customFormat="1" ht="16.5" customHeight="1">
      <c r="B4" s="3" t="s">
        <v>77</v>
      </c>
      <c r="C4" s="3"/>
      <c r="D4" s="3"/>
      <c r="E4" s="3"/>
      <c r="F4" s="3"/>
      <c r="G4" s="4"/>
      <c r="H4" s="3"/>
      <c r="I4" s="5" t="s">
        <v>24</v>
      </c>
      <c r="J4" s="5" t="s">
        <v>16</v>
      </c>
      <c r="K4" s="5" t="s">
        <v>79</v>
      </c>
      <c r="L4" s="5" t="s">
        <v>16</v>
      </c>
      <c r="M4" s="5" t="s">
        <v>16</v>
      </c>
      <c r="N4" s="3" t="str">
        <f>W4</f>
        <v>2A</v>
      </c>
      <c r="O4" s="10" t="str">
        <f t="shared" si="0"/>
        <v>FF01002900002A</v>
      </c>
      <c r="P4" s="12" t="s">
        <v>9</v>
      </c>
      <c r="Q4" s="13">
        <f t="shared" si="1"/>
        <v>1</v>
      </c>
      <c r="R4" s="13">
        <f t="shared" si="1"/>
        <v>0</v>
      </c>
      <c r="S4" s="13">
        <f t="shared" si="1"/>
        <v>41</v>
      </c>
      <c r="T4" s="13">
        <f t="shared" si="1"/>
        <v>0</v>
      </c>
      <c r="U4" s="13">
        <f t="shared" si="1"/>
        <v>0</v>
      </c>
      <c r="V4" s="13">
        <f t="shared" si="2"/>
        <v>42</v>
      </c>
      <c r="W4" s="13" t="str">
        <f>REPT("0",2-LEN(RIGHT(DEC2HEX(V4), 2)))&amp;RIGHT(DEC2HEX(V4), 2)</f>
        <v>2A</v>
      </c>
      <c r="X4" s="2" t="s">
        <v>180</v>
      </c>
    </row>
    <row r="5" spans="2:24" s="2" customFormat="1" ht="16.5" customHeight="1">
      <c r="B5" s="3" t="s">
        <v>64</v>
      </c>
      <c r="C5" s="3"/>
      <c r="D5" s="3"/>
      <c r="E5" s="3"/>
      <c r="F5" s="3"/>
      <c r="G5" s="4"/>
      <c r="H5" s="3"/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10" t="str">
        <f t="shared" si="0"/>
        <v>FF010000000000</v>
      </c>
      <c r="P5" s="12" t="s">
        <v>9</v>
      </c>
      <c r="Q5" s="13">
        <f t="shared" si="1"/>
        <v>0</v>
      </c>
      <c r="R5" s="13">
        <f t="shared" si="1"/>
        <v>0</v>
      </c>
      <c r="S5" s="13">
        <f t="shared" si="1"/>
        <v>0</v>
      </c>
      <c r="T5" s="13">
        <f t="shared" si="1"/>
        <v>0</v>
      </c>
      <c r="U5" s="13">
        <f t="shared" si="1"/>
        <v>0</v>
      </c>
      <c r="V5" s="13">
        <f t="shared" si="2"/>
        <v>0</v>
      </c>
      <c r="W5" s="13" t="str">
        <f>REPT("0",2-LEN(RIGHT(DEC2HEX(V5), 2)))&amp;RIGHT(DEC2HEX(V5), 2)</f>
        <v>00</v>
      </c>
      <c r="X5" s="2" t="s">
        <v>181</v>
      </c>
    </row>
    <row r="6" spans="2:24" s="2" customFormat="1" ht="16.5" customHeight="1">
      <c r="B6" s="39" t="s">
        <v>10</v>
      </c>
      <c r="C6" s="39"/>
      <c r="D6" s="39"/>
      <c r="E6" s="39"/>
      <c r="F6" s="39"/>
      <c r="G6" s="40"/>
      <c r="H6" s="39"/>
      <c r="I6" s="41" t="s">
        <v>24</v>
      </c>
      <c r="J6" s="39" t="s">
        <v>15</v>
      </c>
      <c r="K6" s="41" t="s">
        <v>18</v>
      </c>
      <c r="L6" s="41" t="s">
        <v>16</v>
      </c>
      <c r="M6" s="41" t="s">
        <v>16</v>
      </c>
      <c r="N6" s="39" t="str">
        <f>W6</f>
        <v>02</v>
      </c>
      <c r="O6" s="42" t="str">
        <f t="shared" si="0"/>
        <v>FF01E021000002</v>
      </c>
      <c r="P6" s="43" t="s">
        <v>9</v>
      </c>
      <c r="Q6" s="44">
        <f t="shared" si="1"/>
        <v>1</v>
      </c>
      <c r="R6" s="44">
        <f t="shared" si="1"/>
        <v>224</v>
      </c>
      <c r="S6" s="44">
        <f t="shared" si="1"/>
        <v>33</v>
      </c>
      <c r="T6" s="44">
        <f t="shared" si="1"/>
        <v>0</v>
      </c>
      <c r="U6" s="44">
        <f t="shared" si="1"/>
        <v>0</v>
      </c>
      <c r="V6" s="44">
        <f t="shared" si="2"/>
        <v>258</v>
      </c>
      <c r="W6" s="44" t="str">
        <f>REPT("0",2-LEN(RIGHT(DEC2HEX(V6), 2)))&amp;RIGHT(DEC2HEX(V6), 2)</f>
        <v>02</v>
      </c>
      <c r="X6" s="2" t="s">
        <v>536</v>
      </c>
    </row>
    <row r="7" spans="2:24" s="2" customFormat="1" ht="16.5" customHeight="1">
      <c r="B7" s="39" t="s">
        <v>11</v>
      </c>
      <c r="C7" s="39"/>
      <c r="D7" s="39"/>
      <c r="E7" s="39"/>
      <c r="F7" s="39"/>
      <c r="G7" s="40"/>
      <c r="H7" s="39"/>
      <c r="I7" s="41" t="s">
        <v>24</v>
      </c>
      <c r="J7" s="39" t="s">
        <v>15</v>
      </c>
      <c r="K7" s="41">
        <v>22</v>
      </c>
      <c r="L7" s="41" t="s">
        <v>16</v>
      </c>
      <c r="M7" s="41" t="s">
        <v>16</v>
      </c>
      <c r="N7" s="39" t="str">
        <f t="shared" ref="N7:N62" si="3">W7</f>
        <v>03</v>
      </c>
      <c r="O7" s="42" t="str">
        <f t="shared" si="0"/>
        <v>FF01E022000003</v>
      </c>
      <c r="P7" s="43" t="s">
        <v>9</v>
      </c>
      <c r="Q7" s="44">
        <f t="shared" si="1"/>
        <v>1</v>
      </c>
      <c r="R7" s="44">
        <f>HEX2DEC(J7)</f>
        <v>224</v>
      </c>
      <c r="S7" s="44">
        <f t="shared" si="1"/>
        <v>34</v>
      </c>
      <c r="T7" s="44">
        <f t="shared" si="1"/>
        <v>0</v>
      </c>
      <c r="U7" s="44">
        <f t="shared" si="1"/>
        <v>0</v>
      </c>
      <c r="V7" s="44">
        <f t="shared" si="2"/>
        <v>259</v>
      </c>
      <c r="W7" s="44" t="str">
        <f t="shared" ref="W7:W79" si="4">REPT("0",2-LEN(RIGHT(DEC2HEX(V7), 2)))&amp;RIGHT(DEC2HEX(V7), 2)</f>
        <v>03</v>
      </c>
      <c r="X7" s="2" t="s">
        <v>537</v>
      </c>
    </row>
    <row r="8" spans="2:24" s="2" customFormat="1" ht="16.5" customHeight="1">
      <c r="B8" s="39" t="s">
        <v>12</v>
      </c>
      <c r="C8" s="39"/>
      <c r="D8" s="39"/>
      <c r="E8" s="39"/>
      <c r="F8" s="39"/>
      <c r="G8" s="40"/>
      <c r="H8" s="39"/>
      <c r="I8" s="41" t="s">
        <v>24</v>
      </c>
      <c r="J8" s="39" t="s">
        <v>15</v>
      </c>
      <c r="K8" s="39">
        <v>23</v>
      </c>
      <c r="L8" s="41" t="s">
        <v>16</v>
      </c>
      <c r="M8" s="41" t="s">
        <v>16</v>
      </c>
      <c r="N8" s="39" t="str">
        <f t="shared" si="3"/>
        <v>04</v>
      </c>
      <c r="O8" s="42" t="str">
        <f t="shared" si="0"/>
        <v>FF01E023000004</v>
      </c>
      <c r="P8" s="43" t="s">
        <v>9</v>
      </c>
      <c r="Q8" s="44">
        <f t="shared" si="1"/>
        <v>1</v>
      </c>
      <c r="R8" s="44">
        <f t="shared" si="1"/>
        <v>224</v>
      </c>
      <c r="S8" s="44">
        <f t="shared" si="1"/>
        <v>35</v>
      </c>
      <c r="T8" s="44">
        <f t="shared" si="1"/>
        <v>0</v>
      </c>
      <c r="U8" s="44">
        <f t="shared" si="1"/>
        <v>0</v>
      </c>
      <c r="V8" s="44">
        <f t="shared" si="2"/>
        <v>260</v>
      </c>
      <c r="W8" s="44" t="str">
        <f t="shared" si="4"/>
        <v>04</v>
      </c>
      <c r="X8" s="2" t="s">
        <v>538</v>
      </c>
    </row>
    <row r="9" spans="2:24" s="2" customFormat="1" ht="16.5" customHeight="1">
      <c r="B9" s="39" t="s">
        <v>13</v>
      </c>
      <c r="C9" s="39"/>
      <c r="D9" s="39"/>
      <c r="E9" s="39"/>
      <c r="F9" s="39"/>
      <c r="G9" s="40"/>
      <c r="H9" s="39"/>
      <c r="I9" s="41" t="s">
        <v>24</v>
      </c>
      <c r="J9" s="39" t="s">
        <v>15</v>
      </c>
      <c r="K9" s="39">
        <v>24</v>
      </c>
      <c r="L9" s="41" t="s">
        <v>16</v>
      </c>
      <c r="M9" s="41" t="s">
        <v>16</v>
      </c>
      <c r="N9" s="39" t="str">
        <f t="shared" si="3"/>
        <v>05</v>
      </c>
      <c r="O9" s="42" t="str">
        <f t="shared" si="0"/>
        <v>FF01E024000005</v>
      </c>
      <c r="P9" s="43" t="s">
        <v>9</v>
      </c>
      <c r="Q9" s="44">
        <f t="shared" si="1"/>
        <v>1</v>
      </c>
      <c r="R9" s="44">
        <f t="shared" si="1"/>
        <v>224</v>
      </c>
      <c r="S9" s="44">
        <f t="shared" si="1"/>
        <v>36</v>
      </c>
      <c r="T9" s="44">
        <f t="shared" si="1"/>
        <v>0</v>
      </c>
      <c r="U9" s="44">
        <f t="shared" si="1"/>
        <v>0</v>
      </c>
      <c r="V9" s="44">
        <f t="shared" si="2"/>
        <v>261</v>
      </c>
      <c r="W9" s="44" t="str">
        <f t="shared" si="4"/>
        <v>05</v>
      </c>
      <c r="X9" s="2" t="s">
        <v>539</v>
      </c>
    </row>
    <row r="10" spans="2:24" s="2" customFormat="1" ht="16.5" customHeight="1" thickBot="1">
      <c r="B10" s="39" t="s">
        <v>14</v>
      </c>
      <c r="C10" s="39"/>
      <c r="D10" s="39"/>
      <c r="E10" s="39"/>
      <c r="F10" s="39"/>
      <c r="G10" s="40"/>
      <c r="H10" s="39"/>
      <c r="I10" s="41" t="s">
        <v>24</v>
      </c>
      <c r="J10" s="39" t="s">
        <v>15</v>
      </c>
      <c r="K10" s="39">
        <v>25</v>
      </c>
      <c r="L10" s="41" t="s">
        <v>16</v>
      </c>
      <c r="M10" s="41" t="s">
        <v>16</v>
      </c>
      <c r="N10" s="39" t="str">
        <f t="shared" si="3"/>
        <v>06</v>
      </c>
      <c r="O10" s="42" t="str">
        <f t="shared" si="0"/>
        <v>FF01E025000006</v>
      </c>
      <c r="P10" s="43" t="s">
        <v>9</v>
      </c>
      <c r="Q10" s="44">
        <f t="shared" si="1"/>
        <v>1</v>
      </c>
      <c r="R10" s="44">
        <f t="shared" si="1"/>
        <v>224</v>
      </c>
      <c r="S10" s="44">
        <f t="shared" si="1"/>
        <v>37</v>
      </c>
      <c r="T10" s="44">
        <f t="shared" si="1"/>
        <v>0</v>
      </c>
      <c r="U10" s="44">
        <f t="shared" si="1"/>
        <v>0</v>
      </c>
      <c r="V10" s="44">
        <f t="shared" si="2"/>
        <v>262</v>
      </c>
      <c r="W10" s="44" t="str">
        <f t="shared" si="4"/>
        <v>06</v>
      </c>
      <c r="X10" s="2" t="s">
        <v>540</v>
      </c>
    </row>
    <row r="11" spans="2:24" s="2" customFormat="1" ht="16.5" customHeight="1">
      <c r="B11" s="45" t="s">
        <v>41</v>
      </c>
      <c r="C11" s="46"/>
      <c r="D11" s="46"/>
      <c r="E11" s="46"/>
      <c r="F11" s="46"/>
      <c r="G11" s="47"/>
      <c r="H11" s="46"/>
      <c r="I11" s="48" t="s">
        <v>24</v>
      </c>
      <c r="J11" s="48" t="s">
        <v>16</v>
      </c>
      <c r="K11" s="48" t="s">
        <v>16</v>
      </c>
      <c r="L11" s="48" t="s">
        <v>16</v>
      </c>
      <c r="M11" s="48" t="s">
        <v>16</v>
      </c>
      <c r="N11" s="46" t="str">
        <f t="shared" si="3"/>
        <v>01</v>
      </c>
      <c r="O11" s="49" t="str">
        <f t="shared" si="0"/>
        <v>FF010000000001</v>
      </c>
      <c r="P11" s="50" t="s">
        <v>9</v>
      </c>
      <c r="Q11" s="51">
        <f t="shared" si="1"/>
        <v>1</v>
      </c>
      <c r="R11" s="51">
        <f t="shared" si="1"/>
        <v>0</v>
      </c>
      <c r="S11" s="51">
        <f t="shared" si="1"/>
        <v>0</v>
      </c>
      <c r="T11" s="51">
        <f t="shared" si="1"/>
        <v>0</v>
      </c>
      <c r="U11" s="51">
        <f t="shared" si="1"/>
        <v>0</v>
      </c>
      <c r="V11" s="51">
        <f>SUM(Q11:U11)</f>
        <v>1</v>
      </c>
      <c r="W11" s="52" t="str">
        <f>REPT("0",2-LEN(RIGHT(DEC2HEX(V11), 2)))&amp;RIGHT(DEC2HEX(V11), 2)</f>
        <v>01</v>
      </c>
      <c r="X11" s="2" t="s">
        <v>541</v>
      </c>
    </row>
    <row r="12" spans="2:24" s="2" customFormat="1" ht="16.5" customHeight="1">
      <c r="B12" s="53" t="s">
        <v>31</v>
      </c>
      <c r="C12" s="39"/>
      <c r="D12" s="39"/>
      <c r="E12" s="39"/>
      <c r="F12" s="39"/>
      <c r="G12" s="40"/>
      <c r="H12" s="39"/>
      <c r="I12" s="41" t="s">
        <v>24</v>
      </c>
      <c r="J12" s="41" t="s">
        <v>16</v>
      </c>
      <c r="K12" s="39">
        <v>40</v>
      </c>
      <c r="L12" s="41" t="s">
        <v>16</v>
      </c>
      <c r="M12" s="41" t="s">
        <v>16</v>
      </c>
      <c r="N12" s="39" t="str">
        <f>W12</f>
        <v>41</v>
      </c>
      <c r="O12" s="42" t="str">
        <f>"FF01"&amp;J12&amp;""&amp;K12&amp;L12&amp;M12&amp;N12</f>
        <v>FF010040000041</v>
      </c>
      <c r="P12" s="43" t="s">
        <v>9</v>
      </c>
      <c r="Q12" s="44">
        <f>HEX2DEC(I12)</f>
        <v>1</v>
      </c>
      <c r="R12" s="44">
        <f>HEX2DEC(J12)</f>
        <v>0</v>
      </c>
      <c r="S12" s="44">
        <f>HEX2DEC(K12)</f>
        <v>64</v>
      </c>
      <c r="T12" s="44">
        <f>HEX2DEC(L12)</f>
        <v>0</v>
      </c>
      <c r="U12" s="44">
        <f>HEX2DEC(M12)</f>
        <v>0</v>
      </c>
      <c r="V12" s="44">
        <f>SUM(Q12:U12)</f>
        <v>65</v>
      </c>
      <c r="W12" s="54" t="str">
        <f>REPT("0",2-LEN(RIGHT(DEC2HEX(V12), 2)))&amp;RIGHT(DEC2HEX(V12), 2)</f>
        <v>41</v>
      </c>
      <c r="X12" s="2" t="s">
        <v>542</v>
      </c>
    </row>
    <row r="13" spans="2:24" s="2" customFormat="1" ht="16.5" customHeight="1">
      <c r="B13" s="53" t="s">
        <v>30</v>
      </c>
      <c r="C13" s="39"/>
      <c r="D13" s="39"/>
      <c r="E13" s="39"/>
      <c r="F13" s="39"/>
      <c r="G13" s="40"/>
      <c r="H13" s="39"/>
      <c r="I13" s="41" t="s">
        <v>24</v>
      </c>
      <c r="J13" s="41" t="s">
        <v>16</v>
      </c>
      <c r="K13" s="39">
        <v>20</v>
      </c>
      <c r="L13" s="41" t="s">
        <v>16</v>
      </c>
      <c r="M13" s="41" t="s">
        <v>16</v>
      </c>
      <c r="N13" s="39" t="str">
        <f t="shared" si="3"/>
        <v>21</v>
      </c>
      <c r="O13" s="42" t="str">
        <f t="shared" ref="O13:O21" si="5">"FF01"&amp;J13&amp;""&amp;K13&amp;L13&amp;M13&amp;N13</f>
        <v>FF010020000021</v>
      </c>
      <c r="P13" s="43" t="s">
        <v>9</v>
      </c>
      <c r="Q13" s="44">
        <f t="shared" si="1"/>
        <v>1</v>
      </c>
      <c r="R13" s="44">
        <f t="shared" si="1"/>
        <v>0</v>
      </c>
      <c r="S13" s="44">
        <f t="shared" si="1"/>
        <v>32</v>
      </c>
      <c r="T13" s="44">
        <f t="shared" si="1"/>
        <v>0</v>
      </c>
      <c r="U13" s="44">
        <f t="shared" si="1"/>
        <v>0</v>
      </c>
      <c r="V13" s="44">
        <f t="shared" si="2"/>
        <v>33</v>
      </c>
      <c r="W13" s="54" t="str">
        <f t="shared" si="4"/>
        <v>21</v>
      </c>
      <c r="X13" s="2" t="s">
        <v>543</v>
      </c>
    </row>
    <row r="14" spans="2:24" s="2" customFormat="1" ht="16.5" customHeight="1">
      <c r="B14" s="53" t="s">
        <v>28</v>
      </c>
      <c r="C14" s="39"/>
      <c r="D14" s="39"/>
      <c r="E14" s="39"/>
      <c r="F14" s="39"/>
      <c r="G14" s="40"/>
      <c r="H14" s="39"/>
      <c r="I14" s="41" t="s">
        <v>24</v>
      </c>
      <c r="J14" s="39" t="s">
        <v>23</v>
      </c>
      <c r="K14" s="39">
        <v>11</v>
      </c>
      <c r="L14" s="41" t="s">
        <v>16</v>
      </c>
      <c r="M14" s="41" t="s">
        <v>16</v>
      </c>
      <c r="N14" s="39" t="str">
        <f t="shared" si="3"/>
        <v>B2</v>
      </c>
      <c r="O14" s="42" t="str">
        <f t="shared" si="5"/>
        <v>FF01A0110000B2</v>
      </c>
      <c r="P14" s="43" t="s">
        <v>9</v>
      </c>
      <c r="Q14" s="44">
        <f t="shared" si="1"/>
        <v>1</v>
      </c>
      <c r="R14" s="44">
        <f t="shared" si="1"/>
        <v>160</v>
      </c>
      <c r="S14" s="44">
        <f t="shared" si="1"/>
        <v>17</v>
      </c>
      <c r="T14" s="44">
        <f t="shared" si="1"/>
        <v>0</v>
      </c>
      <c r="U14" s="44">
        <f t="shared" si="1"/>
        <v>0</v>
      </c>
      <c r="V14" s="44">
        <f t="shared" si="2"/>
        <v>178</v>
      </c>
      <c r="W14" s="54" t="str">
        <f t="shared" si="4"/>
        <v>B2</v>
      </c>
      <c r="X14" s="2" t="s">
        <v>194</v>
      </c>
    </row>
    <row r="15" spans="2:24" s="2" customFormat="1" ht="16.5" customHeight="1">
      <c r="B15" s="53" t="s">
        <v>42</v>
      </c>
      <c r="C15" s="39"/>
      <c r="D15" s="39"/>
      <c r="E15" s="39"/>
      <c r="F15" s="39"/>
      <c r="G15" s="40"/>
      <c r="H15" s="39"/>
      <c r="I15" s="41" t="s">
        <v>24</v>
      </c>
      <c r="J15" s="41" t="s">
        <v>16</v>
      </c>
      <c r="K15" s="41" t="s">
        <v>43</v>
      </c>
      <c r="L15" s="41" t="s">
        <v>16</v>
      </c>
      <c r="M15" s="41" t="s">
        <v>16</v>
      </c>
      <c r="N15" s="39" t="str">
        <f t="shared" si="3"/>
        <v>81</v>
      </c>
      <c r="O15" s="42" t="str">
        <f t="shared" si="5"/>
        <v>FF010080000081</v>
      </c>
      <c r="P15" s="43" t="s">
        <v>9</v>
      </c>
      <c r="Q15" s="44">
        <f t="shared" si="1"/>
        <v>1</v>
      </c>
      <c r="R15" s="44">
        <f t="shared" si="1"/>
        <v>0</v>
      </c>
      <c r="S15" s="44">
        <f t="shared" si="1"/>
        <v>128</v>
      </c>
      <c r="T15" s="44">
        <f t="shared" si="1"/>
        <v>0</v>
      </c>
      <c r="U15" s="44">
        <f t="shared" si="1"/>
        <v>0</v>
      </c>
      <c r="V15" s="44">
        <f t="shared" si="2"/>
        <v>129</v>
      </c>
      <c r="W15" s="54" t="str">
        <f t="shared" si="4"/>
        <v>81</v>
      </c>
      <c r="X15" s="2" t="s">
        <v>544</v>
      </c>
    </row>
    <row r="16" spans="2:24" s="2" customFormat="1" ht="16.5" customHeight="1">
      <c r="B16" s="53" t="s">
        <v>44</v>
      </c>
      <c r="C16" s="39"/>
      <c r="D16" s="39"/>
      <c r="E16" s="39"/>
      <c r="F16" s="39"/>
      <c r="G16" s="40"/>
      <c r="H16" s="39"/>
      <c r="I16" s="41" t="s">
        <v>24</v>
      </c>
      <c r="J16" s="41" t="s">
        <v>24</v>
      </c>
      <c r="K16" s="41" t="s">
        <v>16</v>
      </c>
      <c r="L16" s="41" t="s">
        <v>16</v>
      </c>
      <c r="M16" s="41" t="s">
        <v>16</v>
      </c>
      <c r="N16" s="39" t="str">
        <f t="shared" si="3"/>
        <v>02</v>
      </c>
      <c r="O16" s="42" t="str">
        <f t="shared" si="5"/>
        <v>FF010100000002</v>
      </c>
      <c r="P16" s="43" t="s">
        <v>9</v>
      </c>
      <c r="Q16" s="44">
        <f t="shared" si="1"/>
        <v>1</v>
      </c>
      <c r="R16" s="44">
        <f t="shared" si="1"/>
        <v>1</v>
      </c>
      <c r="S16" s="44">
        <f t="shared" si="1"/>
        <v>0</v>
      </c>
      <c r="T16" s="44">
        <f t="shared" si="1"/>
        <v>0</v>
      </c>
      <c r="U16" s="44">
        <f t="shared" si="1"/>
        <v>0</v>
      </c>
      <c r="V16" s="44">
        <f t="shared" si="2"/>
        <v>2</v>
      </c>
      <c r="W16" s="54" t="str">
        <f t="shared" si="4"/>
        <v>02</v>
      </c>
      <c r="X16" s="2" t="s">
        <v>545</v>
      </c>
    </row>
    <row r="17" spans="2:24" s="2" customFormat="1" ht="16.5" customHeight="1">
      <c r="B17" s="27" t="s">
        <v>65</v>
      </c>
      <c r="C17" s="3"/>
      <c r="D17" s="3"/>
      <c r="E17" s="3"/>
      <c r="F17" s="3"/>
      <c r="G17" s="4"/>
      <c r="H17" s="3"/>
      <c r="I17" s="5" t="s">
        <v>24</v>
      </c>
      <c r="J17" s="5" t="s">
        <v>16</v>
      </c>
      <c r="K17" s="5" t="s">
        <v>51</v>
      </c>
      <c r="L17" s="5" t="s">
        <v>16</v>
      </c>
      <c r="M17" s="5" t="s">
        <v>16</v>
      </c>
      <c r="N17" s="3" t="str">
        <f t="shared" si="3"/>
        <v>26</v>
      </c>
      <c r="O17" s="10" t="str">
        <f t="shared" si="5"/>
        <v>FF010025000026</v>
      </c>
      <c r="P17" s="12" t="s">
        <v>9</v>
      </c>
      <c r="Q17" s="13">
        <f t="shared" si="1"/>
        <v>1</v>
      </c>
      <c r="R17" s="13">
        <f t="shared" si="1"/>
        <v>0</v>
      </c>
      <c r="S17" s="13">
        <f t="shared" si="1"/>
        <v>37</v>
      </c>
      <c r="T17" s="13">
        <f t="shared" si="1"/>
        <v>0</v>
      </c>
      <c r="U17" s="13">
        <f t="shared" si="1"/>
        <v>0</v>
      </c>
      <c r="V17" s="13">
        <f t="shared" si="2"/>
        <v>38</v>
      </c>
      <c r="W17" s="28" t="str">
        <f t="shared" si="4"/>
        <v>26</v>
      </c>
      <c r="X17" s="2" t="s">
        <v>182</v>
      </c>
    </row>
    <row r="18" spans="2:24" s="2" customFormat="1" ht="16.5" customHeight="1">
      <c r="B18" s="27" t="s">
        <v>66</v>
      </c>
      <c r="C18" s="3"/>
      <c r="D18" s="3"/>
      <c r="E18" s="3"/>
      <c r="F18" s="3"/>
      <c r="G18" s="4"/>
      <c r="H18" s="3"/>
      <c r="I18" s="5" t="s">
        <v>24</v>
      </c>
      <c r="J18" s="5" t="s">
        <v>16</v>
      </c>
      <c r="K18" s="5" t="s">
        <v>51</v>
      </c>
      <c r="L18" s="5" t="s">
        <v>16</v>
      </c>
      <c r="M18" s="5" t="s">
        <v>67</v>
      </c>
      <c r="N18" s="3" t="str">
        <f t="shared" si="3"/>
        <v>2A</v>
      </c>
      <c r="O18" s="10" t="str">
        <f t="shared" si="5"/>
        <v>FF01002500042A</v>
      </c>
      <c r="P18" s="12" t="s">
        <v>9</v>
      </c>
      <c r="Q18" s="13">
        <f t="shared" si="1"/>
        <v>1</v>
      </c>
      <c r="R18" s="13">
        <f t="shared" si="1"/>
        <v>0</v>
      </c>
      <c r="S18" s="13">
        <f t="shared" si="1"/>
        <v>37</v>
      </c>
      <c r="T18" s="13">
        <f t="shared" si="1"/>
        <v>0</v>
      </c>
      <c r="U18" s="13">
        <f t="shared" si="1"/>
        <v>4</v>
      </c>
      <c r="V18" s="13">
        <f t="shared" si="2"/>
        <v>42</v>
      </c>
      <c r="W18" s="28" t="str">
        <f t="shared" si="4"/>
        <v>2A</v>
      </c>
      <c r="X18" s="2" t="s">
        <v>183</v>
      </c>
    </row>
    <row r="19" spans="2:24" s="2" customFormat="1" ht="16.5" customHeight="1">
      <c r="B19" s="27" t="s">
        <v>71</v>
      </c>
      <c r="C19" s="3"/>
      <c r="D19" s="3"/>
      <c r="E19" s="3"/>
      <c r="F19" s="3"/>
      <c r="G19" s="4"/>
      <c r="H19" s="3"/>
      <c r="I19" s="5" t="s">
        <v>24</v>
      </c>
      <c r="J19" s="5" t="s">
        <v>16</v>
      </c>
      <c r="K19" s="5" t="s">
        <v>70</v>
      </c>
      <c r="L19" s="5" t="s">
        <v>16</v>
      </c>
      <c r="M19" s="5" t="s">
        <v>16</v>
      </c>
      <c r="N19" s="3" t="str">
        <f t="shared" si="3"/>
        <v>50</v>
      </c>
      <c r="O19" s="10" t="str">
        <f t="shared" si="5"/>
        <v>FF01004F000050</v>
      </c>
      <c r="P19" s="12" t="s">
        <v>9</v>
      </c>
      <c r="Q19" s="13">
        <f t="shared" ref="Q19:U21" si="6">HEX2DEC(I19)</f>
        <v>1</v>
      </c>
      <c r="R19" s="13">
        <f t="shared" si="6"/>
        <v>0</v>
      </c>
      <c r="S19" s="13">
        <f t="shared" si="6"/>
        <v>79</v>
      </c>
      <c r="T19" s="13">
        <f t="shared" si="6"/>
        <v>0</v>
      </c>
      <c r="U19" s="13">
        <f t="shared" si="6"/>
        <v>0</v>
      </c>
      <c r="V19" s="13">
        <f t="shared" si="2"/>
        <v>80</v>
      </c>
      <c r="W19" s="28" t="str">
        <f t="shared" si="4"/>
        <v>50</v>
      </c>
      <c r="X19" s="2" t="s">
        <v>176</v>
      </c>
    </row>
    <row r="20" spans="2:24" s="2" customFormat="1" ht="16.5" customHeight="1">
      <c r="B20" s="27" t="s">
        <v>72</v>
      </c>
      <c r="C20" s="3"/>
      <c r="D20" s="3"/>
      <c r="E20" s="3"/>
      <c r="F20" s="3"/>
      <c r="G20" s="4"/>
      <c r="H20" s="3"/>
      <c r="I20" s="5" t="s">
        <v>24</v>
      </c>
      <c r="J20" s="5" t="s">
        <v>16</v>
      </c>
      <c r="K20" s="5" t="s">
        <v>70</v>
      </c>
      <c r="L20" s="5" t="s">
        <v>9</v>
      </c>
      <c r="M20" s="5" t="s">
        <v>9</v>
      </c>
      <c r="N20" s="3" t="str">
        <f t="shared" si="3"/>
        <v>4E</v>
      </c>
      <c r="O20" s="10" t="str">
        <f t="shared" si="5"/>
        <v>FF01004FFFFF4E</v>
      </c>
      <c r="P20" s="12" t="s">
        <v>9</v>
      </c>
      <c r="Q20" s="13">
        <f t="shared" si="6"/>
        <v>1</v>
      </c>
      <c r="R20" s="13">
        <f t="shared" si="6"/>
        <v>0</v>
      </c>
      <c r="S20" s="13">
        <f t="shared" si="6"/>
        <v>79</v>
      </c>
      <c r="T20" s="13">
        <f t="shared" si="6"/>
        <v>255</v>
      </c>
      <c r="U20" s="13">
        <f t="shared" si="6"/>
        <v>255</v>
      </c>
      <c r="V20" s="13">
        <f t="shared" si="2"/>
        <v>590</v>
      </c>
      <c r="W20" s="28" t="str">
        <f t="shared" si="4"/>
        <v>4E</v>
      </c>
      <c r="X20" s="2" t="s">
        <v>184</v>
      </c>
    </row>
    <row r="21" spans="2:24" s="2" customFormat="1" ht="16.5" customHeight="1">
      <c r="B21" s="27" t="s">
        <v>73</v>
      </c>
      <c r="C21" s="3"/>
      <c r="D21" s="3"/>
      <c r="E21" s="3"/>
      <c r="F21" s="3"/>
      <c r="G21" s="4"/>
      <c r="H21" s="3"/>
      <c r="I21" s="5" t="s">
        <v>24</v>
      </c>
      <c r="J21" s="5" t="s">
        <v>16</v>
      </c>
      <c r="K21" s="5" t="s">
        <v>74</v>
      </c>
      <c r="L21" s="5" t="s">
        <v>16</v>
      </c>
      <c r="M21" s="5" t="s">
        <v>16</v>
      </c>
      <c r="N21" s="3" t="str">
        <f t="shared" si="3"/>
        <v>56</v>
      </c>
      <c r="O21" s="10" t="str">
        <f t="shared" si="5"/>
        <v>FF010055000056</v>
      </c>
      <c r="P21" s="12" t="s">
        <v>9</v>
      </c>
      <c r="Q21" s="13">
        <f t="shared" si="6"/>
        <v>1</v>
      </c>
      <c r="R21" s="13">
        <f t="shared" si="6"/>
        <v>0</v>
      </c>
      <c r="S21" s="13">
        <f t="shared" si="6"/>
        <v>85</v>
      </c>
      <c r="T21" s="13">
        <f t="shared" si="6"/>
        <v>0</v>
      </c>
      <c r="U21" s="13">
        <f t="shared" si="6"/>
        <v>0</v>
      </c>
      <c r="V21" s="13">
        <f t="shared" si="2"/>
        <v>86</v>
      </c>
      <c r="W21" s="28" t="str">
        <f t="shared" si="4"/>
        <v>56</v>
      </c>
      <c r="X21" s="2" t="s">
        <v>186</v>
      </c>
    </row>
    <row r="22" spans="2:24" s="2" customFormat="1" ht="16.5" customHeight="1">
      <c r="B22" s="27" t="s">
        <v>68</v>
      </c>
      <c r="C22" s="3"/>
      <c r="D22" s="3"/>
      <c r="E22" s="3"/>
      <c r="F22" s="3"/>
      <c r="G22" s="4"/>
      <c r="H22" s="3"/>
      <c r="I22" s="5" t="s">
        <v>24</v>
      </c>
      <c r="J22" s="5" t="s">
        <v>16</v>
      </c>
      <c r="K22" s="5" t="s">
        <v>60</v>
      </c>
      <c r="L22" s="5" t="s">
        <v>16</v>
      </c>
      <c r="M22" s="5" t="s">
        <v>16</v>
      </c>
      <c r="N22" s="3" t="str">
        <f t="shared" si="3"/>
        <v>28</v>
      </c>
      <c r="O22" s="10" t="str">
        <f>"FF01"&amp;J22&amp;""&amp;K22&amp;L22&amp;M22&amp;N22</f>
        <v>FF010027000028</v>
      </c>
      <c r="P22" s="12" t="s">
        <v>9</v>
      </c>
      <c r="Q22" s="13">
        <f>HEX2DEC(I22)</f>
        <v>1</v>
      </c>
      <c r="R22" s="13">
        <f>HEX2DEC(J22)</f>
        <v>0</v>
      </c>
      <c r="S22" s="13">
        <f>HEX2DEC(K22)</f>
        <v>39</v>
      </c>
      <c r="T22" s="13">
        <f>HEX2DEC(L22)</f>
        <v>0</v>
      </c>
      <c r="U22" s="13">
        <f>HEX2DEC(M22)</f>
        <v>0</v>
      </c>
      <c r="V22" s="13">
        <f>SUM(Q22:U22)</f>
        <v>40</v>
      </c>
      <c r="W22" s="28" t="str">
        <f>REPT("0",2-LEN(RIGHT(DEC2HEX(V22), 2)))&amp;RIGHT(DEC2HEX(V22), 2)</f>
        <v>28</v>
      </c>
      <c r="X22" s="2" t="s">
        <v>187</v>
      </c>
    </row>
    <row r="23" spans="2:24" s="2" customFormat="1" ht="16.5" customHeight="1">
      <c r="B23" s="27" t="s">
        <v>69</v>
      </c>
      <c r="C23" s="3"/>
      <c r="D23" s="3"/>
      <c r="E23" s="3"/>
      <c r="F23" s="3"/>
      <c r="G23" s="4"/>
      <c r="H23" s="3"/>
      <c r="I23" s="5" t="s">
        <v>24</v>
      </c>
      <c r="J23" s="5" t="s">
        <v>16</v>
      </c>
      <c r="K23" s="5" t="s">
        <v>60</v>
      </c>
      <c r="L23" s="5" t="s">
        <v>16</v>
      </c>
      <c r="M23" s="5" t="s">
        <v>67</v>
      </c>
      <c r="N23" s="3" t="str">
        <f t="shared" si="3"/>
        <v>2C</v>
      </c>
      <c r="O23" s="10" t="str">
        <f t="shared" ref="O23" si="7">"FF01"&amp;J23&amp;""&amp;K23&amp;L23&amp;M23&amp;N23</f>
        <v>FF01002700042C</v>
      </c>
      <c r="P23" s="12" t="s">
        <v>9</v>
      </c>
      <c r="Q23" s="13">
        <f t="shared" ref="Q23:U38" si="8">HEX2DEC(I23)</f>
        <v>1</v>
      </c>
      <c r="R23" s="13">
        <f t="shared" si="8"/>
        <v>0</v>
      </c>
      <c r="S23" s="13">
        <f t="shared" si="8"/>
        <v>39</v>
      </c>
      <c r="T23" s="13">
        <f t="shared" si="8"/>
        <v>0</v>
      </c>
      <c r="U23" s="13">
        <f t="shared" si="8"/>
        <v>4</v>
      </c>
      <c r="V23" s="13">
        <f t="shared" ref="V23" si="9">SUM(Q23:U23)</f>
        <v>44</v>
      </c>
      <c r="W23" s="28" t="str">
        <f t="shared" ref="W23" si="10">REPT("0",2-LEN(RIGHT(DEC2HEX(V23), 2)))&amp;RIGHT(DEC2HEX(V23), 2)</f>
        <v>2C</v>
      </c>
      <c r="X23" s="2" t="s">
        <v>188</v>
      </c>
    </row>
    <row r="24" spans="2:24" s="2" customFormat="1" ht="16.5" customHeight="1">
      <c r="B24" s="27" t="s">
        <v>105</v>
      </c>
      <c r="C24" s="3"/>
      <c r="D24" s="3"/>
      <c r="E24" s="3"/>
      <c r="F24" s="3"/>
      <c r="G24" s="4"/>
      <c r="H24" s="3"/>
      <c r="I24" s="5" t="s">
        <v>24</v>
      </c>
      <c r="J24" s="5" t="s">
        <v>24</v>
      </c>
      <c r="K24" s="5" t="s">
        <v>70</v>
      </c>
      <c r="L24" s="5" t="s">
        <v>16</v>
      </c>
      <c r="M24" s="5" t="s">
        <v>16</v>
      </c>
      <c r="N24" s="3" t="str">
        <f t="shared" si="3"/>
        <v>51</v>
      </c>
      <c r="O24" s="10" t="str">
        <f>"FF01"&amp;J24&amp;""&amp;K24&amp;L24&amp;M24&amp;N24</f>
        <v>FF01014F000051</v>
      </c>
      <c r="P24" s="12" t="s">
        <v>9</v>
      </c>
      <c r="Q24" s="13">
        <f t="shared" si="8"/>
        <v>1</v>
      </c>
      <c r="R24" s="13">
        <f t="shared" si="8"/>
        <v>1</v>
      </c>
      <c r="S24" s="13">
        <f t="shared" si="8"/>
        <v>79</v>
      </c>
      <c r="T24" s="13">
        <f t="shared" si="8"/>
        <v>0</v>
      </c>
      <c r="U24" s="13">
        <f t="shared" si="8"/>
        <v>0</v>
      </c>
      <c r="V24" s="13">
        <f>SUM(Q24:U24)</f>
        <v>81</v>
      </c>
      <c r="W24" s="28" t="str">
        <f>REPT("0",2-LEN(RIGHT(DEC2HEX(V24), 2)))&amp;RIGHT(DEC2HEX(V24), 2)</f>
        <v>51</v>
      </c>
      <c r="X24" s="2" t="s">
        <v>189</v>
      </c>
    </row>
    <row r="25" spans="2:24" s="2" customFormat="1" ht="16.5" customHeight="1">
      <c r="B25" s="27" t="s">
        <v>106</v>
      </c>
      <c r="C25" s="3"/>
      <c r="D25" s="3"/>
      <c r="E25" s="3"/>
      <c r="F25" s="3"/>
      <c r="G25" s="4"/>
      <c r="H25" s="3"/>
      <c r="I25" s="5" t="s">
        <v>24</v>
      </c>
      <c r="J25" s="5" t="s">
        <v>24</v>
      </c>
      <c r="K25" s="5" t="s">
        <v>70</v>
      </c>
      <c r="L25" s="5" t="s">
        <v>9</v>
      </c>
      <c r="M25" s="5" t="s">
        <v>9</v>
      </c>
      <c r="N25" s="3" t="str">
        <f t="shared" si="3"/>
        <v>4F</v>
      </c>
      <c r="O25" s="10" t="str">
        <f>"FF01"&amp;J25&amp;""&amp;K25&amp;L25&amp;M25&amp;N25</f>
        <v>FF01014FFFFF4F</v>
      </c>
      <c r="P25" s="12" t="s">
        <v>9</v>
      </c>
      <c r="Q25" s="13">
        <f t="shared" si="8"/>
        <v>1</v>
      </c>
      <c r="R25" s="13">
        <f t="shared" si="8"/>
        <v>1</v>
      </c>
      <c r="S25" s="13">
        <f t="shared" si="8"/>
        <v>79</v>
      </c>
      <c r="T25" s="13">
        <f t="shared" si="8"/>
        <v>255</v>
      </c>
      <c r="U25" s="13">
        <f t="shared" si="8"/>
        <v>255</v>
      </c>
      <c r="V25" s="13">
        <f>SUM(Q25:U25)</f>
        <v>591</v>
      </c>
      <c r="W25" s="28" t="str">
        <f>REPT("0",2-LEN(RIGHT(DEC2HEX(V25), 2)))&amp;RIGHT(DEC2HEX(V25), 2)</f>
        <v>4F</v>
      </c>
      <c r="X25" s="2" t="s">
        <v>177</v>
      </c>
    </row>
    <row r="26" spans="2:24" s="2" customFormat="1" ht="16.5" customHeight="1">
      <c r="B26" s="27" t="s">
        <v>75</v>
      </c>
      <c r="C26" s="3"/>
      <c r="D26" s="3"/>
      <c r="E26" s="3"/>
      <c r="F26" s="3"/>
      <c r="G26" s="4"/>
      <c r="H26" s="3"/>
      <c r="I26" s="5" t="s">
        <v>24</v>
      </c>
      <c r="J26" s="5" t="s">
        <v>24</v>
      </c>
      <c r="K26" s="5" t="s">
        <v>74</v>
      </c>
      <c r="L26" s="5" t="s">
        <v>16</v>
      </c>
      <c r="M26" s="5" t="s">
        <v>67</v>
      </c>
      <c r="N26" s="3" t="str">
        <f t="shared" si="3"/>
        <v>5B</v>
      </c>
      <c r="O26" s="10" t="str">
        <f t="shared" ref="O26:O43" si="11">"FF01"&amp;J26&amp;""&amp;K26&amp;L26&amp;M26&amp;N26</f>
        <v>FF01015500045B</v>
      </c>
      <c r="P26" s="12" t="s">
        <v>9</v>
      </c>
      <c r="Q26" s="13">
        <f t="shared" si="8"/>
        <v>1</v>
      </c>
      <c r="R26" s="13">
        <f t="shared" si="8"/>
        <v>1</v>
      </c>
      <c r="S26" s="13">
        <f t="shared" si="8"/>
        <v>85</v>
      </c>
      <c r="T26" s="13">
        <f t="shared" si="8"/>
        <v>0</v>
      </c>
      <c r="U26" s="13">
        <f t="shared" si="8"/>
        <v>4</v>
      </c>
      <c r="V26" s="13">
        <f t="shared" ref="V26:V43" si="12">SUM(Q26:U26)</f>
        <v>91</v>
      </c>
      <c r="W26" s="28" t="str">
        <f t="shared" ref="W26:W43" si="13">REPT("0",2-LEN(RIGHT(DEC2HEX(V26), 2)))&amp;RIGHT(DEC2HEX(V26), 2)</f>
        <v>5B</v>
      </c>
      <c r="X26" s="2" t="s">
        <v>546</v>
      </c>
    </row>
    <row r="27" spans="2:24" s="2" customFormat="1" ht="16.5" customHeight="1">
      <c r="B27" s="27" t="s">
        <v>102</v>
      </c>
      <c r="C27" s="3"/>
      <c r="D27" s="3"/>
      <c r="E27" s="3"/>
      <c r="F27" s="3"/>
      <c r="G27" s="4"/>
      <c r="H27" s="3"/>
      <c r="I27" s="5" t="s">
        <v>24</v>
      </c>
      <c r="J27" s="5" t="s">
        <v>16</v>
      </c>
      <c r="K27" s="5" t="s">
        <v>104</v>
      </c>
      <c r="L27" s="5" t="s">
        <v>16</v>
      </c>
      <c r="M27" s="5" t="s">
        <v>16</v>
      </c>
      <c r="N27" s="3" t="str">
        <f t="shared" si="3"/>
        <v>2C</v>
      </c>
      <c r="O27" s="10" t="str">
        <f t="shared" si="11"/>
        <v>FF01002B00002C</v>
      </c>
      <c r="P27" s="12" t="s">
        <v>9</v>
      </c>
      <c r="Q27" s="13">
        <f t="shared" si="8"/>
        <v>1</v>
      </c>
      <c r="R27" s="13">
        <f t="shared" si="8"/>
        <v>0</v>
      </c>
      <c r="S27" s="13">
        <f t="shared" si="8"/>
        <v>43</v>
      </c>
      <c r="T27" s="13">
        <f t="shared" si="8"/>
        <v>0</v>
      </c>
      <c r="U27" s="13">
        <f t="shared" si="8"/>
        <v>0</v>
      </c>
      <c r="V27" s="13">
        <f t="shared" si="12"/>
        <v>44</v>
      </c>
      <c r="W27" s="28" t="str">
        <f t="shared" si="13"/>
        <v>2C</v>
      </c>
      <c r="X27" s="2" t="s">
        <v>191</v>
      </c>
    </row>
    <row r="28" spans="2:24" s="2" customFormat="1" ht="16.5" customHeight="1" thickBot="1">
      <c r="B28" s="29" t="s">
        <v>103</v>
      </c>
      <c r="C28" s="30"/>
      <c r="D28" s="30"/>
      <c r="E28" s="30"/>
      <c r="F28" s="30"/>
      <c r="G28" s="31"/>
      <c r="H28" s="30"/>
      <c r="I28" s="32" t="s">
        <v>24</v>
      </c>
      <c r="J28" s="32" t="s">
        <v>16</v>
      </c>
      <c r="K28" s="32" t="s">
        <v>104</v>
      </c>
      <c r="L28" s="32" t="s">
        <v>16</v>
      </c>
      <c r="M28" s="32" t="s">
        <v>24</v>
      </c>
      <c r="N28" s="30" t="str">
        <f t="shared" si="3"/>
        <v>2D</v>
      </c>
      <c r="O28" s="33" t="str">
        <f t="shared" si="11"/>
        <v>FF01002B00012D</v>
      </c>
      <c r="P28" s="34" t="s">
        <v>9</v>
      </c>
      <c r="Q28" s="35">
        <f t="shared" si="8"/>
        <v>1</v>
      </c>
      <c r="R28" s="35">
        <f t="shared" si="8"/>
        <v>0</v>
      </c>
      <c r="S28" s="35">
        <f t="shared" si="8"/>
        <v>43</v>
      </c>
      <c r="T28" s="35">
        <f t="shared" si="8"/>
        <v>0</v>
      </c>
      <c r="U28" s="35">
        <f t="shared" si="8"/>
        <v>1</v>
      </c>
      <c r="V28" s="35">
        <f t="shared" si="12"/>
        <v>45</v>
      </c>
      <c r="W28" s="36" t="str">
        <f t="shared" si="13"/>
        <v>2D</v>
      </c>
      <c r="X28" s="2" t="s">
        <v>192</v>
      </c>
    </row>
    <row r="29" spans="2:24" s="2" customFormat="1" ht="16.5" customHeight="1">
      <c r="B29" s="37" t="s">
        <v>108</v>
      </c>
      <c r="C29" s="20"/>
      <c r="D29" s="20"/>
      <c r="E29" s="20"/>
      <c r="F29" s="20"/>
      <c r="G29" s="21"/>
      <c r="H29" s="20"/>
      <c r="I29" s="22" t="s">
        <v>24</v>
      </c>
      <c r="J29" s="22" t="s">
        <v>80</v>
      </c>
      <c r="K29" s="22" t="s">
        <v>109</v>
      </c>
      <c r="L29" s="22" t="s">
        <v>16</v>
      </c>
      <c r="M29" s="22" t="s">
        <v>16</v>
      </c>
      <c r="N29" s="20" t="str">
        <f t="shared" si="3"/>
        <v>B2</v>
      </c>
      <c r="O29" s="23" t="str">
        <f t="shared" si="11"/>
        <v>FF01A1100000B2</v>
      </c>
      <c r="P29" s="24" t="s">
        <v>9</v>
      </c>
      <c r="Q29" s="25">
        <f t="shared" si="8"/>
        <v>1</v>
      </c>
      <c r="R29" s="25">
        <f t="shared" si="8"/>
        <v>161</v>
      </c>
      <c r="S29" s="25">
        <f t="shared" si="8"/>
        <v>16</v>
      </c>
      <c r="T29" s="25">
        <f t="shared" si="8"/>
        <v>0</v>
      </c>
      <c r="U29" s="25">
        <f t="shared" si="8"/>
        <v>0</v>
      </c>
      <c r="V29" s="25">
        <f t="shared" si="12"/>
        <v>178</v>
      </c>
      <c r="W29" s="26" t="str">
        <f t="shared" si="13"/>
        <v>B2</v>
      </c>
      <c r="X29" s="2" t="s">
        <v>193</v>
      </c>
    </row>
    <row r="30" spans="2:24" s="2" customFormat="1" ht="16.5" customHeight="1">
      <c r="B30" s="27" t="s">
        <v>117</v>
      </c>
      <c r="C30" s="3"/>
      <c r="D30" s="3"/>
      <c r="E30" s="3"/>
      <c r="F30" s="3"/>
      <c r="G30" s="4"/>
      <c r="H30" s="3"/>
      <c r="I30" s="5" t="s">
        <v>24</v>
      </c>
      <c r="J30" s="5" t="s">
        <v>23</v>
      </c>
      <c r="K30" s="5" t="s">
        <v>110</v>
      </c>
      <c r="L30" s="5" t="s">
        <v>16</v>
      </c>
      <c r="M30" s="5" t="s">
        <v>16</v>
      </c>
      <c r="N30" s="3" t="str">
        <f t="shared" si="3"/>
        <v>B2</v>
      </c>
      <c r="O30" s="10" t="str">
        <f t="shared" si="11"/>
        <v>FF01A0110000B2</v>
      </c>
      <c r="P30" s="12" t="s">
        <v>9</v>
      </c>
      <c r="Q30" s="13">
        <f t="shared" si="8"/>
        <v>1</v>
      </c>
      <c r="R30" s="13">
        <f t="shared" si="8"/>
        <v>160</v>
      </c>
      <c r="S30" s="13">
        <f t="shared" si="8"/>
        <v>17</v>
      </c>
      <c r="T30" s="13">
        <f t="shared" si="8"/>
        <v>0</v>
      </c>
      <c r="U30" s="13">
        <f t="shared" si="8"/>
        <v>0</v>
      </c>
      <c r="V30" s="13">
        <f t="shared" si="12"/>
        <v>178</v>
      </c>
      <c r="W30" s="28" t="str">
        <f t="shared" si="13"/>
        <v>B2</v>
      </c>
      <c r="X30" s="2" t="s">
        <v>194</v>
      </c>
    </row>
    <row r="31" spans="2:24" s="2" customFormat="1" ht="16.5" customHeight="1">
      <c r="B31" s="27" t="s">
        <v>112</v>
      </c>
      <c r="C31" s="3"/>
      <c r="D31" s="3"/>
      <c r="E31" s="3"/>
      <c r="F31" s="3"/>
      <c r="G31" s="4"/>
      <c r="H31" s="3"/>
      <c r="I31" s="5" t="s">
        <v>24</v>
      </c>
      <c r="J31" s="5" t="s">
        <v>23</v>
      </c>
      <c r="K31" s="5" t="s">
        <v>111</v>
      </c>
      <c r="L31" s="5" t="s">
        <v>16</v>
      </c>
      <c r="M31" s="5" t="s">
        <v>16</v>
      </c>
      <c r="N31" s="3" t="str">
        <f t="shared" si="3"/>
        <v>B3</v>
      </c>
      <c r="O31" s="10" t="str">
        <f t="shared" si="11"/>
        <v>FF01A0120000B3</v>
      </c>
      <c r="P31" s="12" t="s">
        <v>9</v>
      </c>
      <c r="Q31" s="13">
        <f t="shared" si="8"/>
        <v>1</v>
      </c>
      <c r="R31" s="13">
        <f t="shared" si="8"/>
        <v>160</v>
      </c>
      <c r="S31" s="13">
        <f t="shared" si="8"/>
        <v>18</v>
      </c>
      <c r="T31" s="13">
        <f t="shared" si="8"/>
        <v>0</v>
      </c>
      <c r="U31" s="13">
        <f t="shared" si="8"/>
        <v>0</v>
      </c>
      <c r="V31" s="13">
        <f t="shared" si="12"/>
        <v>179</v>
      </c>
      <c r="W31" s="28" t="str">
        <f t="shared" si="13"/>
        <v>B3</v>
      </c>
      <c r="X31" s="2" t="s">
        <v>195</v>
      </c>
    </row>
    <row r="32" spans="2:24" s="2" customFormat="1" ht="16.5" customHeight="1">
      <c r="B32" s="27" t="s">
        <v>113</v>
      </c>
      <c r="C32" s="3"/>
      <c r="D32" s="3"/>
      <c r="E32" s="3"/>
      <c r="F32" s="3"/>
      <c r="G32" s="4"/>
      <c r="H32" s="3"/>
      <c r="I32" s="5" t="s">
        <v>24</v>
      </c>
      <c r="J32" s="5" t="s">
        <v>23</v>
      </c>
      <c r="K32" s="5" t="s">
        <v>111</v>
      </c>
      <c r="L32" s="5" t="s">
        <v>16</v>
      </c>
      <c r="M32" s="5" t="s">
        <v>67</v>
      </c>
      <c r="N32" s="3" t="str">
        <f t="shared" si="3"/>
        <v>B7</v>
      </c>
      <c r="O32" s="10" t="str">
        <f t="shared" si="11"/>
        <v>FF01A0120004B7</v>
      </c>
      <c r="P32" s="12" t="s">
        <v>9</v>
      </c>
      <c r="Q32" s="13">
        <f t="shared" si="8"/>
        <v>1</v>
      </c>
      <c r="R32" s="13">
        <f t="shared" si="8"/>
        <v>160</v>
      </c>
      <c r="S32" s="13">
        <f t="shared" si="8"/>
        <v>18</v>
      </c>
      <c r="T32" s="13">
        <f t="shared" si="8"/>
        <v>0</v>
      </c>
      <c r="U32" s="13">
        <f t="shared" si="8"/>
        <v>4</v>
      </c>
      <c r="V32" s="13">
        <f t="shared" si="12"/>
        <v>183</v>
      </c>
      <c r="W32" s="28" t="str">
        <f t="shared" si="13"/>
        <v>B7</v>
      </c>
      <c r="X32" s="2" t="s">
        <v>196</v>
      </c>
    </row>
    <row r="33" spans="2:24" s="2" customFormat="1" ht="16.5" customHeight="1">
      <c r="B33" s="27" t="s">
        <v>114</v>
      </c>
      <c r="C33" s="3"/>
      <c r="D33" s="3"/>
      <c r="E33" s="3"/>
      <c r="F33" s="3"/>
      <c r="G33" s="4"/>
      <c r="H33" s="3"/>
      <c r="I33" s="5" t="s">
        <v>24</v>
      </c>
      <c r="J33" s="5" t="s">
        <v>23</v>
      </c>
      <c r="K33" s="5" t="s">
        <v>116</v>
      </c>
      <c r="L33" s="5" t="s">
        <v>16</v>
      </c>
      <c r="M33" s="5" t="s">
        <v>16</v>
      </c>
      <c r="N33" s="3" t="str">
        <f t="shared" si="3"/>
        <v>B4</v>
      </c>
      <c r="O33" s="10" t="str">
        <f t="shared" si="11"/>
        <v>FF01A0130000B4</v>
      </c>
      <c r="P33" s="12" t="s">
        <v>9</v>
      </c>
      <c r="Q33" s="13">
        <f t="shared" si="8"/>
        <v>1</v>
      </c>
      <c r="R33" s="13">
        <f t="shared" si="8"/>
        <v>160</v>
      </c>
      <c r="S33" s="13">
        <f t="shared" si="8"/>
        <v>19</v>
      </c>
      <c r="T33" s="13">
        <f t="shared" si="8"/>
        <v>0</v>
      </c>
      <c r="U33" s="13">
        <f t="shared" si="8"/>
        <v>0</v>
      </c>
      <c r="V33" s="13">
        <f t="shared" si="12"/>
        <v>180</v>
      </c>
      <c r="W33" s="28" t="str">
        <f t="shared" si="13"/>
        <v>B4</v>
      </c>
      <c r="X33" s="2" t="s">
        <v>197</v>
      </c>
    </row>
    <row r="34" spans="2:24" s="2" customFormat="1" ht="16.5" customHeight="1">
      <c r="B34" s="27" t="s">
        <v>115</v>
      </c>
      <c r="C34" s="3"/>
      <c r="D34" s="3"/>
      <c r="E34" s="3"/>
      <c r="F34" s="3"/>
      <c r="G34" s="4"/>
      <c r="H34" s="3"/>
      <c r="I34" s="5" t="s">
        <v>24</v>
      </c>
      <c r="J34" s="5" t="s">
        <v>23</v>
      </c>
      <c r="K34" s="5" t="s">
        <v>116</v>
      </c>
      <c r="L34" s="5" t="s">
        <v>16</v>
      </c>
      <c r="M34" s="5" t="s">
        <v>67</v>
      </c>
      <c r="N34" s="3" t="str">
        <f t="shared" si="3"/>
        <v>B8</v>
      </c>
      <c r="O34" s="10" t="str">
        <f t="shared" si="11"/>
        <v>FF01A0130004B8</v>
      </c>
      <c r="P34" s="12" t="s">
        <v>9</v>
      </c>
      <c r="Q34" s="13">
        <f t="shared" si="8"/>
        <v>1</v>
      </c>
      <c r="R34" s="13">
        <f t="shared" si="8"/>
        <v>160</v>
      </c>
      <c r="S34" s="13">
        <f t="shared" si="8"/>
        <v>19</v>
      </c>
      <c r="T34" s="13">
        <f t="shared" si="8"/>
        <v>0</v>
      </c>
      <c r="U34" s="13">
        <f t="shared" si="8"/>
        <v>4</v>
      </c>
      <c r="V34" s="13">
        <f t="shared" si="12"/>
        <v>184</v>
      </c>
      <c r="W34" s="28" t="str">
        <f t="shared" si="13"/>
        <v>B8</v>
      </c>
      <c r="X34" s="2" t="s">
        <v>198</v>
      </c>
    </row>
    <row r="35" spans="2:24" s="2" customFormat="1" ht="16.5" customHeight="1">
      <c r="B35" s="27" t="s">
        <v>118</v>
      </c>
      <c r="C35" s="3"/>
      <c r="D35" s="3"/>
      <c r="E35" s="3"/>
      <c r="F35" s="3"/>
      <c r="G35" s="4"/>
      <c r="H35" s="3"/>
      <c r="I35" s="5" t="s">
        <v>24</v>
      </c>
      <c r="J35" s="5" t="s">
        <v>23</v>
      </c>
      <c r="K35" s="5" t="s">
        <v>62</v>
      </c>
      <c r="L35" s="5" t="s">
        <v>16</v>
      </c>
      <c r="M35" s="5" t="s">
        <v>16</v>
      </c>
      <c r="N35" s="3" t="str">
        <f t="shared" si="3"/>
        <v>B5</v>
      </c>
      <c r="O35" s="10" t="str">
        <f t="shared" si="11"/>
        <v>FF01A0140000B5</v>
      </c>
      <c r="P35" s="12" t="s">
        <v>9</v>
      </c>
      <c r="Q35" s="13">
        <f t="shared" si="8"/>
        <v>1</v>
      </c>
      <c r="R35" s="13">
        <f t="shared" si="8"/>
        <v>160</v>
      </c>
      <c r="S35" s="13">
        <f t="shared" si="8"/>
        <v>20</v>
      </c>
      <c r="T35" s="13">
        <f t="shared" si="8"/>
        <v>0</v>
      </c>
      <c r="U35" s="13">
        <f t="shared" si="8"/>
        <v>0</v>
      </c>
      <c r="V35" s="13">
        <f t="shared" si="12"/>
        <v>181</v>
      </c>
      <c r="W35" s="28" t="str">
        <f t="shared" si="13"/>
        <v>B5</v>
      </c>
      <c r="X35" s="2" t="s">
        <v>199</v>
      </c>
    </row>
    <row r="36" spans="2:24" s="2" customFormat="1" ht="16.5" customHeight="1">
      <c r="B36" s="27" t="s">
        <v>119</v>
      </c>
      <c r="C36" s="3"/>
      <c r="D36" s="3"/>
      <c r="E36" s="3"/>
      <c r="F36" s="3"/>
      <c r="G36" s="4"/>
      <c r="H36" s="3"/>
      <c r="I36" s="5" t="s">
        <v>24</v>
      </c>
      <c r="J36" s="5" t="s">
        <v>23</v>
      </c>
      <c r="K36" s="5" t="s">
        <v>62</v>
      </c>
      <c r="L36" s="5" t="s">
        <v>16</v>
      </c>
      <c r="M36" s="5" t="s">
        <v>24</v>
      </c>
      <c r="N36" s="3" t="str">
        <f t="shared" si="3"/>
        <v>B6</v>
      </c>
      <c r="O36" s="10" t="str">
        <f t="shared" si="11"/>
        <v>FF01A0140001B6</v>
      </c>
      <c r="P36" s="12" t="s">
        <v>9</v>
      </c>
      <c r="Q36" s="13">
        <f t="shared" si="8"/>
        <v>1</v>
      </c>
      <c r="R36" s="13">
        <f t="shared" si="8"/>
        <v>160</v>
      </c>
      <c r="S36" s="13">
        <f t="shared" si="8"/>
        <v>20</v>
      </c>
      <c r="T36" s="13">
        <f t="shared" si="8"/>
        <v>0</v>
      </c>
      <c r="U36" s="13">
        <f t="shared" si="8"/>
        <v>1</v>
      </c>
      <c r="V36" s="13">
        <f t="shared" si="12"/>
        <v>182</v>
      </c>
      <c r="W36" s="28" t="str">
        <f t="shared" si="13"/>
        <v>B6</v>
      </c>
      <c r="X36" s="2" t="s">
        <v>200</v>
      </c>
    </row>
    <row r="37" spans="2:24" s="2" customFormat="1" ht="16.5" customHeight="1">
      <c r="B37" s="27" t="s">
        <v>120</v>
      </c>
      <c r="C37" s="3"/>
      <c r="D37" s="3"/>
      <c r="E37" s="3"/>
      <c r="F37" s="3"/>
      <c r="G37" s="4"/>
      <c r="H37" s="3"/>
      <c r="I37" s="5" t="s">
        <v>24</v>
      </c>
      <c r="J37" s="5" t="s">
        <v>23</v>
      </c>
      <c r="K37" s="5" t="s">
        <v>62</v>
      </c>
      <c r="L37" s="5" t="s">
        <v>16</v>
      </c>
      <c r="M37" s="5" t="s">
        <v>17</v>
      </c>
      <c r="N37" s="3" t="str">
        <f t="shared" si="3"/>
        <v>B7</v>
      </c>
      <c r="O37" s="10" t="str">
        <f t="shared" si="11"/>
        <v>FF01A0140002B7</v>
      </c>
      <c r="P37" s="12" t="s">
        <v>9</v>
      </c>
      <c r="Q37" s="13">
        <f t="shared" si="8"/>
        <v>1</v>
      </c>
      <c r="R37" s="13">
        <f t="shared" si="8"/>
        <v>160</v>
      </c>
      <c r="S37" s="13">
        <f t="shared" si="8"/>
        <v>20</v>
      </c>
      <c r="T37" s="13">
        <f t="shared" si="8"/>
        <v>0</v>
      </c>
      <c r="U37" s="13">
        <f t="shared" si="8"/>
        <v>2</v>
      </c>
      <c r="V37" s="13">
        <f t="shared" si="12"/>
        <v>183</v>
      </c>
      <c r="W37" s="28" t="str">
        <f t="shared" si="13"/>
        <v>B7</v>
      </c>
      <c r="X37" s="2" t="s">
        <v>201</v>
      </c>
    </row>
    <row r="38" spans="2:24" s="2" customFormat="1" ht="16.5" customHeight="1">
      <c r="B38" s="27" t="s">
        <v>121</v>
      </c>
      <c r="C38" s="3"/>
      <c r="D38" s="3"/>
      <c r="E38" s="3"/>
      <c r="F38" s="3"/>
      <c r="G38" s="4"/>
      <c r="H38" s="3"/>
      <c r="I38" s="5" t="s">
        <v>24</v>
      </c>
      <c r="J38" s="5" t="s">
        <v>23</v>
      </c>
      <c r="K38" s="5" t="s">
        <v>123</v>
      </c>
      <c r="L38" s="5" t="s">
        <v>16</v>
      </c>
      <c r="M38" s="5" t="s">
        <v>24</v>
      </c>
      <c r="N38" s="3" t="str">
        <f t="shared" si="3"/>
        <v>B7</v>
      </c>
      <c r="O38" s="10" t="str">
        <f t="shared" si="11"/>
        <v>FF01A0150001B7</v>
      </c>
      <c r="P38" s="12" t="s">
        <v>9</v>
      </c>
      <c r="Q38" s="13">
        <f t="shared" si="8"/>
        <v>1</v>
      </c>
      <c r="R38" s="13">
        <f t="shared" si="8"/>
        <v>160</v>
      </c>
      <c r="S38" s="13">
        <f t="shared" si="8"/>
        <v>21</v>
      </c>
      <c r="T38" s="13">
        <f t="shared" si="8"/>
        <v>0</v>
      </c>
      <c r="U38" s="13">
        <f t="shared" si="8"/>
        <v>1</v>
      </c>
      <c r="V38" s="13">
        <f t="shared" si="12"/>
        <v>183</v>
      </c>
      <c r="W38" s="28" t="str">
        <f t="shared" si="13"/>
        <v>B7</v>
      </c>
      <c r="X38" s="2" t="s">
        <v>202</v>
      </c>
    </row>
    <row r="39" spans="2:24" s="2" customFormat="1" ht="16.5" customHeight="1">
      <c r="B39" s="27" t="s">
        <v>122</v>
      </c>
      <c r="C39" s="3"/>
      <c r="D39" s="3"/>
      <c r="E39" s="3"/>
      <c r="F39" s="3"/>
      <c r="G39" s="4"/>
      <c r="H39" s="3"/>
      <c r="I39" s="5" t="s">
        <v>24</v>
      </c>
      <c r="J39" s="5" t="s">
        <v>23</v>
      </c>
      <c r="K39" s="5" t="s">
        <v>123</v>
      </c>
      <c r="L39" s="5" t="s">
        <v>16</v>
      </c>
      <c r="M39" s="5" t="s">
        <v>124</v>
      </c>
      <c r="N39" s="3" t="str">
        <f t="shared" si="3"/>
        <v>6A</v>
      </c>
      <c r="O39" s="10" t="str">
        <f t="shared" si="11"/>
        <v>FF01A01500B46A</v>
      </c>
      <c r="P39" s="12" t="s">
        <v>9</v>
      </c>
      <c r="Q39" s="13">
        <f t="shared" ref="Q39:U43" si="14">HEX2DEC(I39)</f>
        <v>1</v>
      </c>
      <c r="R39" s="13">
        <f t="shared" si="14"/>
        <v>160</v>
      </c>
      <c r="S39" s="13">
        <f t="shared" si="14"/>
        <v>21</v>
      </c>
      <c r="T39" s="13">
        <f t="shared" si="14"/>
        <v>0</v>
      </c>
      <c r="U39" s="13">
        <f t="shared" si="14"/>
        <v>180</v>
      </c>
      <c r="V39" s="13">
        <f t="shared" si="12"/>
        <v>362</v>
      </c>
      <c r="W39" s="28" t="str">
        <f t="shared" si="13"/>
        <v>6A</v>
      </c>
      <c r="X39" s="2" t="s">
        <v>203</v>
      </c>
    </row>
    <row r="40" spans="2:24" s="2" customFormat="1" ht="16.5" customHeight="1">
      <c r="B40" s="27" t="s">
        <v>125</v>
      </c>
      <c r="C40" s="3"/>
      <c r="D40" s="3"/>
      <c r="E40" s="3"/>
      <c r="F40" s="3"/>
      <c r="G40" s="4"/>
      <c r="H40" s="3"/>
      <c r="I40" s="5" t="s">
        <v>24</v>
      </c>
      <c r="J40" s="5" t="s">
        <v>23</v>
      </c>
      <c r="K40" s="5" t="s">
        <v>127</v>
      </c>
      <c r="L40" s="5" t="s">
        <v>16</v>
      </c>
      <c r="M40" s="5" t="s">
        <v>128</v>
      </c>
      <c r="N40" s="3" t="str">
        <f t="shared" si="3"/>
        <v>1B</v>
      </c>
      <c r="O40" s="10" t="str">
        <f t="shared" si="11"/>
        <v>FF01A01600641B</v>
      </c>
      <c r="P40" s="12" t="s">
        <v>9</v>
      </c>
      <c r="Q40" s="13">
        <f t="shared" si="14"/>
        <v>1</v>
      </c>
      <c r="R40" s="13">
        <f t="shared" si="14"/>
        <v>160</v>
      </c>
      <c r="S40" s="13">
        <f t="shared" si="14"/>
        <v>22</v>
      </c>
      <c r="T40" s="13">
        <f t="shared" si="14"/>
        <v>0</v>
      </c>
      <c r="U40" s="13">
        <f t="shared" si="14"/>
        <v>100</v>
      </c>
      <c r="V40" s="13">
        <f t="shared" si="12"/>
        <v>283</v>
      </c>
      <c r="W40" s="28" t="str">
        <f t="shared" si="13"/>
        <v>1B</v>
      </c>
      <c r="X40" s="2" t="s">
        <v>204</v>
      </c>
    </row>
    <row r="41" spans="2:24" s="2" customFormat="1" ht="16.5" customHeight="1">
      <c r="B41" s="27" t="s">
        <v>126</v>
      </c>
      <c r="C41" s="3"/>
      <c r="D41" s="3"/>
      <c r="E41" s="3"/>
      <c r="F41" s="3"/>
      <c r="G41" s="4"/>
      <c r="H41" s="3"/>
      <c r="I41" s="5" t="s">
        <v>24</v>
      </c>
      <c r="J41" s="5" t="s">
        <v>23</v>
      </c>
      <c r="K41" s="5" t="s">
        <v>127</v>
      </c>
      <c r="L41" s="5" t="s">
        <v>9</v>
      </c>
      <c r="M41" s="5" t="s">
        <v>9</v>
      </c>
      <c r="N41" s="3" t="str">
        <f t="shared" si="3"/>
        <v>B5</v>
      </c>
      <c r="O41" s="10" t="str">
        <f t="shared" si="11"/>
        <v>FF01A016FFFFB5</v>
      </c>
      <c r="P41" s="12" t="s">
        <v>9</v>
      </c>
      <c r="Q41" s="13">
        <f t="shared" si="14"/>
        <v>1</v>
      </c>
      <c r="R41" s="13">
        <f t="shared" si="14"/>
        <v>160</v>
      </c>
      <c r="S41" s="13">
        <f t="shared" si="14"/>
        <v>22</v>
      </c>
      <c r="T41" s="13">
        <f t="shared" si="14"/>
        <v>255</v>
      </c>
      <c r="U41" s="13">
        <f t="shared" si="14"/>
        <v>255</v>
      </c>
      <c r="V41" s="13">
        <f t="shared" si="12"/>
        <v>693</v>
      </c>
      <c r="W41" s="28" t="str">
        <f t="shared" si="13"/>
        <v>B5</v>
      </c>
      <c r="X41" s="2" t="s">
        <v>205</v>
      </c>
    </row>
    <row r="42" spans="2:24" s="2" customFormat="1" ht="16.5" customHeight="1">
      <c r="B42" s="27" t="s">
        <v>129</v>
      </c>
      <c r="C42" s="3"/>
      <c r="D42" s="3"/>
      <c r="E42" s="3"/>
      <c r="F42" s="3"/>
      <c r="G42" s="4"/>
      <c r="H42" s="3"/>
      <c r="I42" s="5" t="s">
        <v>24</v>
      </c>
      <c r="J42" s="5" t="s">
        <v>23</v>
      </c>
      <c r="K42" s="5" t="s">
        <v>131</v>
      </c>
      <c r="L42" s="5" t="s">
        <v>16</v>
      </c>
      <c r="M42" s="5" t="s">
        <v>16</v>
      </c>
      <c r="N42" s="3" t="str">
        <f t="shared" si="3"/>
        <v>B8</v>
      </c>
      <c r="O42" s="10" t="str">
        <f t="shared" si="11"/>
        <v>FF01A0170000B8</v>
      </c>
      <c r="P42" s="12" t="s">
        <v>9</v>
      </c>
      <c r="Q42" s="13">
        <f t="shared" si="14"/>
        <v>1</v>
      </c>
      <c r="R42" s="13">
        <f t="shared" si="14"/>
        <v>160</v>
      </c>
      <c r="S42" s="13">
        <f t="shared" si="14"/>
        <v>23</v>
      </c>
      <c r="T42" s="13">
        <f t="shared" si="14"/>
        <v>0</v>
      </c>
      <c r="U42" s="13">
        <f t="shared" si="14"/>
        <v>0</v>
      </c>
      <c r="V42" s="13">
        <f t="shared" si="12"/>
        <v>184</v>
      </c>
      <c r="W42" s="28" t="str">
        <f t="shared" si="13"/>
        <v>B8</v>
      </c>
      <c r="X42" s="2" t="s">
        <v>206</v>
      </c>
    </row>
    <row r="43" spans="2:24" s="2" customFormat="1" ht="16.5" customHeight="1" thickBot="1">
      <c r="B43" s="29" t="s">
        <v>130</v>
      </c>
      <c r="C43" s="30"/>
      <c r="D43" s="30"/>
      <c r="E43" s="30"/>
      <c r="F43" s="30"/>
      <c r="G43" s="31"/>
      <c r="H43" s="30"/>
      <c r="I43" s="32" t="s">
        <v>24</v>
      </c>
      <c r="J43" s="32" t="s">
        <v>23</v>
      </c>
      <c r="K43" s="32" t="s">
        <v>131</v>
      </c>
      <c r="L43" s="32" t="s">
        <v>16</v>
      </c>
      <c r="M43" s="32" t="s">
        <v>24</v>
      </c>
      <c r="N43" s="30" t="str">
        <f t="shared" si="3"/>
        <v>B9</v>
      </c>
      <c r="O43" s="33" t="str">
        <f t="shared" si="11"/>
        <v>FF01A0170001B9</v>
      </c>
      <c r="P43" s="34" t="s">
        <v>9</v>
      </c>
      <c r="Q43" s="35">
        <f t="shared" si="14"/>
        <v>1</v>
      </c>
      <c r="R43" s="35">
        <f t="shared" si="14"/>
        <v>160</v>
      </c>
      <c r="S43" s="35">
        <f t="shared" si="14"/>
        <v>23</v>
      </c>
      <c r="T43" s="35">
        <f t="shared" si="14"/>
        <v>0</v>
      </c>
      <c r="U43" s="35">
        <f t="shared" si="14"/>
        <v>1</v>
      </c>
      <c r="V43" s="35">
        <f t="shared" si="12"/>
        <v>185</v>
      </c>
      <c r="W43" s="36" t="str">
        <f t="shared" si="13"/>
        <v>B9</v>
      </c>
      <c r="X43" s="2" t="s">
        <v>207</v>
      </c>
    </row>
    <row r="44" spans="2:24" s="2" customFormat="1" ht="16.5" customHeight="1">
      <c r="B44" s="37" t="s">
        <v>134</v>
      </c>
      <c r="C44" s="20"/>
      <c r="D44" s="20"/>
      <c r="E44" s="20"/>
      <c r="F44" s="20"/>
      <c r="G44" s="21"/>
      <c r="H44" s="20"/>
      <c r="I44" s="22" t="s">
        <v>16</v>
      </c>
      <c r="J44" s="22" t="s">
        <v>80</v>
      </c>
      <c r="K44" s="22" t="s">
        <v>16</v>
      </c>
      <c r="L44" s="22" t="s">
        <v>16</v>
      </c>
      <c r="M44" s="22" t="s">
        <v>16</v>
      </c>
      <c r="N44" s="22" t="s">
        <v>16</v>
      </c>
      <c r="O44" s="23" t="str">
        <f>"FF01"&amp;J44&amp;""&amp;K44&amp;L44&amp;M44&amp;N44</f>
        <v>FF01A100000000</v>
      </c>
      <c r="P44" s="24" t="s">
        <v>9</v>
      </c>
      <c r="Q44" s="25">
        <f>HEX2DEC(I44)</f>
        <v>0</v>
      </c>
      <c r="R44" s="25">
        <f>HEX2DEC(J44)</f>
        <v>161</v>
      </c>
      <c r="S44" s="25">
        <f>HEX2DEC(K44)</f>
        <v>0</v>
      </c>
      <c r="T44" s="25">
        <f>HEX2DEC(L44)</f>
        <v>0</v>
      </c>
      <c r="U44" s="25">
        <f>HEX2DEC(M44)</f>
        <v>0</v>
      </c>
      <c r="V44" s="25">
        <f>SUM(Q44:U44)</f>
        <v>161</v>
      </c>
      <c r="W44" s="26" t="str">
        <f>REPT("0",2-LEN(RIGHT(DEC2HEX(V44), 2)))&amp;RIGHT(DEC2HEX(V44), 2)</f>
        <v>A1</v>
      </c>
      <c r="X44" s="2" t="s">
        <v>547</v>
      </c>
    </row>
    <row r="45" spans="2:24" s="2" customFormat="1" ht="16.5" customHeight="1">
      <c r="B45" s="27" t="s">
        <v>81</v>
      </c>
      <c r="C45" s="3"/>
      <c r="D45" s="3"/>
      <c r="E45" s="3"/>
      <c r="F45" s="3"/>
      <c r="G45" s="4"/>
      <c r="H45" s="3"/>
      <c r="I45" s="5" t="s">
        <v>24</v>
      </c>
      <c r="J45" s="5" t="s">
        <v>23</v>
      </c>
      <c r="K45" s="5" t="s">
        <v>24</v>
      </c>
      <c r="L45" s="5" t="s">
        <v>16</v>
      </c>
      <c r="M45" s="5" t="s">
        <v>16</v>
      </c>
      <c r="N45" s="3" t="str">
        <f t="shared" si="3"/>
        <v>A2</v>
      </c>
      <c r="O45" s="10" t="str">
        <f t="shared" ref="O45:O62" si="15">"FF01"&amp;J45&amp;""&amp;K45&amp;L45&amp;M45&amp;N45</f>
        <v>FF01A0010000A2</v>
      </c>
      <c r="P45" s="12" t="s">
        <v>9</v>
      </c>
      <c r="Q45" s="13">
        <f t="shared" ref="Q45:U60" si="16">HEX2DEC(I45)</f>
        <v>1</v>
      </c>
      <c r="R45" s="13">
        <f t="shared" si="16"/>
        <v>160</v>
      </c>
      <c r="S45" s="13">
        <f t="shared" si="16"/>
        <v>1</v>
      </c>
      <c r="T45" s="13">
        <f t="shared" si="16"/>
        <v>0</v>
      </c>
      <c r="U45" s="13">
        <f t="shared" si="16"/>
        <v>0</v>
      </c>
      <c r="V45" s="13">
        <f t="shared" ref="V45:V62" si="17">SUM(Q45:U45)</f>
        <v>162</v>
      </c>
      <c r="W45" s="28" t="str">
        <f t="shared" ref="W45:W62" si="18">REPT("0",2-LEN(RIGHT(DEC2HEX(V45), 2)))&amp;RIGHT(DEC2HEX(V45), 2)</f>
        <v>A2</v>
      </c>
      <c r="X45" s="2" t="s">
        <v>209</v>
      </c>
    </row>
    <row r="46" spans="2:24" s="2" customFormat="1" ht="16.5" customHeight="1">
      <c r="B46" s="27" t="s">
        <v>82</v>
      </c>
      <c r="C46" s="3"/>
      <c r="D46" s="3"/>
      <c r="E46" s="3"/>
      <c r="F46" s="3"/>
      <c r="G46" s="4"/>
      <c r="H46" s="3"/>
      <c r="I46" s="5" t="s">
        <v>24</v>
      </c>
      <c r="J46" s="5" t="s">
        <v>23</v>
      </c>
      <c r="K46" s="5" t="s">
        <v>24</v>
      </c>
      <c r="L46" s="5" t="s">
        <v>16</v>
      </c>
      <c r="M46" s="5" t="s">
        <v>24</v>
      </c>
      <c r="N46" s="3" t="str">
        <f t="shared" si="3"/>
        <v>A3</v>
      </c>
      <c r="O46" s="10" t="str">
        <f t="shared" si="15"/>
        <v>FF01A0010001A3</v>
      </c>
      <c r="P46" s="12" t="s">
        <v>9</v>
      </c>
      <c r="Q46" s="13">
        <f t="shared" si="16"/>
        <v>1</v>
      </c>
      <c r="R46" s="13">
        <f t="shared" si="16"/>
        <v>160</v>
      </c>
      <c r="S46" s="13">
        <f t="shared" si="16"/>
        <v>1</v>
      </c>
      <c r="T46" s="13">
        <f t="shared" si="16"/>
        <v>0</v>
      </c>
      <c r="U46" s="13">
        <f t="shared" si="16"/>
        <v>1</v>
      </c>
      <c r="V46" s="13">
        <f t="shared" si="17"/>
        <v>163</v>
      </c>
      <c r="W46" s="28" t="str">
        <f t="shared" si="18"/>
        <v>A3</v>
      </c>
      <c r="X46" s="2" t="s">
        <v>210</v>
      </c>
    </row>
    <row r="47" spans="2:24" s="2" customFormat="1" ht="16.5" customHeight="1">
      <c r="B47" s="27" t="s">
        <v>84</v>
      </c>
      <c r="C47" s="3"/>
      <c r="D47" s="3"/>
      <c r="E47" s="3"/>
      <c r="F47" s="3"/>
      <c r="G47" s="4"/>
      <c r="H47" s="3"/>
      <c r="I47" s="5" t="s">
        <v>24</v>
      </c>
      <c r="J47" s="5" t="s">
        <v>23</v>
      </c>
      <c r="K47" s="5" t="s">
        <v>17</v>
      </c>
      <c r="L47" s="5" t="s">
        <v>16</v>
      </c>
      <c r="M47" s="5" t="s">
        <v>16</v>
      </c>
      <c r="N47" s="3" t="str">
        <f t="shared" si="3"/>
        <v>A3</v>
      </c>
      <c r="O47" s="10" t="str">
        <f t="shared" si="15"/>
        <v>FF01A0020000A3</v>
      </c>
      <c r="P47" s="12" t="s">
        <v>9</v>
      </c>
      <c r="Q47" s="13">
        <f t="shared" si="16"/>
        <v>1</v>
      </c>
      <c r="R47" s="13">
        <f t="shared" si="16"/>
        <v>160</v>
      </c>
      <c r="S47" s="13">
        <f t="shared" si="16"/>
        <v>2</v>
      </c>
      <c r="T47" s="13">
        <f t="shared" si="16"/>
        <v>0</v>
      </c>
      <c r="U47" s="13">
        <f t="shared" si="16"/>
        <v>0</v>
      </c>
      <c r="V47" s="13">
        <f t="shared" si="17"/>
        <v>163</v>
      </c>
      <c r="W47" s="28" t="str">
        <f t="shared" si="18"/>
        <v>A3</v>
      </c>
      <c r="X47" s="2" t="s">
        <v>211</v>
      </c>
    </row>
    <row r="48" spans="2:24" s="2" customFormat="1" ht="16.5" customHeight="1">
      <c r="B48" s="27" t="s">
        <v>83</v>
      </c>
      <c r="C48" s="3"/>
      <c r="D48" s="3"/>
      <c r="E48" s="3"/>
      <c r="F48" s="3"/>
      <c r="G48" s="4"/>
      <c r="H48" s="3"/>
      <c r="I48" s="5" t="s">
        <v>24</v>
      </c>
      <c r="J48" s="5" t="s">
        <v>23</v>
      </c>
      <c r="K48" s="5" t="s">
        <v>17</v>
      </c>
      <c r="L48" s="5" t="s">
        <v>16</v>
      </c>
      <c r="M48" s="5" t="s">
        <v>24</v>
      </c>
      <c r="N48" s="3" t="str">
        <f t="shared" si="3"/>
        <v>A4</v>
      </c>
      <c r="O48" s="10" t="str">
        <f t="shared" si="15"/>
        <v>FF01A0020001A4</v>
      </c>
      <c r="P48" s="12" t="s">
        <v>9</v>
      </c>
      <c r="Q48" s="13">
        <f t="shared" si="16"/>
        <v>1</v>
      </c>
      <c r="R48" s="13">
        <f t="shared" si="16"/>
        <v>160</v>
      </c>
      <c r="S48" s="13">
        <f t="shared" si="16"/>
        <v>2</v>
      </c>
      <c r="T48" s="13">
        <f t="shared" si="16"/>
        <v>0</v>
      </c>
      <c r="U48" s="13">
        <f t="shared" si="16"/>
        <v>1</v>
      </c>
      <c r="V48" s="13">
        <f t="shared" si="17"/>
        <v>164</v>
      </c>
      <c r="W48" s="28" t="str">
        <f t="shared" si="18"/>
        <v>A4</v>
      </c>
      <c r="X48" s="2" t="s">
        <v>212</v>
      </c>
    </row>
    <row r="49" spans="2:24" s="2" customFormat="1" ht="15.75" customHeight="1">
      <c r="B49" s="27" t="s">
        <v>85</v>
      </c>
      <c r="C49" s="3"/>
      <c r="D49" s="3"/>
      <c r="E49" s="3"/>
      <c r="F49" s="3"/>
      <c r="G49" s="4"/>
      <c r="H49" s="3"/>
      <c r="I49" s="5" t="s">
        <v>24</v>
      </c>
      <c r="J49" s="5" t="s">
        <v>23</v>
      </c>
      <c r="K49" s="5" t="s">
        <v>91</v>
      </c>
      <c r="L49" s="5" t="s">
        <v>16</v>
      </c>
      <c r="M49" s="5" t="s">
        <v>16</v>
      </c>
      <c r="N49" s="3" t="str">
        <f t="shared" si="3"/>
        <v>A4</v>
      </c>
      <c r="O49" s="10" t="str">
        <f t="shared" si="15"/>
        <v>FF01A0030000A4</v>
      </c>
      <c r="P49" s="12" t="s">
        <v>9</v>
      </c>
      <c r="Q49" s="13">
        <f t="shared" si="16"/>
        <v>1</v>
      </c>
      <c r="R49" s="13">
        <f t="shared" si="16"/>
        <v>160</v>
      </c>
      <c r="S49" s="13">
        <f t="shared" si="16"/>
        <v>3</v>
      </c>
      <c r="T49" s="13">
        <f t="shared" si="16"/>
        <v>0</v>
      </c>
      <c r="U49" s="13">
        <f t="shared" si="16"/>
        <v>0</v>
      </c>
      <c r="V49" s="13">
        <f t="shared" si="17"/>
        <v>164</v>
      </c>
      <c r="W49" s="28" t="str">
        <f t="shared" si="18"/>
        <v>A4</v>
      </c>
      <c r="X49" s="2" t="s">
        <v>213</v>
      </c>
    </row>
    <row r="50" spans="2:24" s="2" customFormat="1" ht="15.75" customHeight="1">
      <c r="B50" s="27" t="s">
        <v>86</v>
      </c>
      <c r="C50" s="3"/>
      <c r="D50" s="3"/>
      <c r="E50" s="3"/>
      <c r="F50" s="3"/>
      <c r="G50" s="4"/>
      <c r="H50" s="3"/>
      <c r="I50" s="5" t="s">
        <v>24</v>
      </c>
      <c r="J50" s="5" t="s">
        <v>23</v>
      </c>
      <c r="K50" s="5" t="s">
        <v>91</v>
      </c>
      <c r="L50" s="5" t="s">
        <v>16</v>
      </c>
      <c r="M50" s="5" t="s">
        <v>24</v>
      </c>
      <c r="N50" s="3" t="str">
        <f t="shared" si="3"/>
        <v>A5</v>
      </c>
      <c r="O50" s="10" t="str">
        <f t="shared" si="15"/>
        <v>FF01A0030001A5</v>
      </c>
      <c r="P50" s="12" t="s">
        <v>9</v>
      </c>
      <c r="Q50" s="13">
        <f t="shared" si="16"/>
        <v>1</v>
      </c>
      <c r="R50" s="13">
        <f t="shared" si="16"/>
        <v>160</v>
      </c>
      <c r="S50" s="13">
        <f t="shared" si="16"/>
        <v>3</v>
      </c>
      <c r="T50" s="13">
        <f t="shared" si="16"/>
        <v>0</v>
      </c>
      <c r="U50" s="13">
        <f t="shared" si="16"/>
        <v>1</v>
      </c>
      <c r="V50" s="13">
        <f t="shared" si="17"/>
        <v>165</v>
      </c>
      <c r="W50" s="28" t="str">
        <f t="shared" si="18"/>
        <v>A5</v>
      </c>
      <c r="X50" s="2" t="s">
        <v>214</v>
      </c>
    </row>
    <row r="51" spans="2:24" s="2" customFormat="1" ht="15.75" customHeight="1">
      <c r="B51" s="27" t="s">
        <v>87</v>
      </c>
      <c r="C51" s="3"/>
      <c r="D51" s="3"/>
      <c r="E51" s="3"/>
      <c r="F51" s="3"/>
      <c r="G51" s="4"/>
      <c r="H51" s="3"/>
      <c r="I51" s="5" t="s">
        <v>24</v>
      </c>
      <c r="J51" s="5" t="s">
        <v>23</v>
      </c>
      <c r="K51" s="5" t="s">
        <v>91</v>
      </c>
      <c r="L51" s="5" t="s">
        <v>16</v>
      </c>
      <c r="M51" s="5" t="s">
        <v>17</v>
      </c>
      <c r="N51" s="3" t="str">
        <f t="shared" si="3"/>
        <v>A6</v>
      </c>
      <c r="O51" s="10" t="str">
        <f t="shared" si="15"/>
        <v>FF01A0030002A6</v>
      </c>
      <c r="P51" s="12" t="s">
        <v>9</v>
      </c>
      <c r="Q51" s="13">
        <f t="shared" si="16"/>
        <v>1</v>
      </c>
      <c r="R51" s="13">
        <f t="shared" si="16"/>
        <v>160</v>
      </c>
      <c r="S51" s="13">
        <f t="shared" si="16"/>
        <v>3</v>
      </c>
      <c r="T51" s="13">
        <f t="shared" si="16"/>
        <v>0</v>
      </c>
      <c r="U51" s="13">
        <f t="shared" si="16"/>
        <v>2</v>
      </c>
      <c r="V51" s="13">
        <f t="shared" si="17"/>
        <v>166</v>
      </c>
      <c r="W51" s="28" t="str">
        <f t="shared" si="18"/>
        <v>A6</v>
      </c>
      <c r="X51" s="2" t="s">
        <v>215</v>
      </c>
    </row>
    <row r="52" spans="2:24" s="2" customFormat="1" ht="15.75" customHeight="1">
      <c r="B52" s="27" t="s">
        <v>88</v>
      </c>
      <c r="C52" s="3"/>
      <c r="D52" s="3"/>
      <c r="E52" s="3"/>
      <c r="F52" s="3"/>
      <c r="G52" s="4"/>
      <c r="H52" s="3"/>
      <c r="I52" s="5" t="s">
        <v>24</v>
      </c>
      <c r="J52" s="5" t="s">
        <v>23</v>
      </c>
      <c r="K52" s="5" t="s">
        <v>91</v>
      </c>
      <c r="L52" s="5" t="s">
        <v>16</v>
      </c>
      <c r="M52" s="5" t="s">
        <v>91</v>
      </c>
      <c r="N52" s="3" t="str">
        <f t="shared" si="3"/>
        <v>A7</v>
      </c>
      <c r="O52" s="10" t="str">
        <f t="shared" si="15"/>
        <v>FF01A0030003A7</v>
      </c>
      <c r="P52" s="12" t="s">
        <v>9</v>
      </c>
      <c r="Q52" s="13">
        <f t="shared" si="16"/>
        <v>1</v>
      </c>
      <c r="R52" s="13">
        <f t="shared" si="16"/>
        <v>160</v>
      </c>
      <c r="S52" s="13">
        <f t="shared" si="16"/>
        <v>3</v>
      </c>
      <c r="T52" s="13">
        <f t="shared" si="16"/>
        <v>0</v>
      </c>
      <c r="U52" s="13">
        <f t="shared" si="16"/>
        <v>3</v>
      </c>
      <c r="V52" s="13">
        <f t="shared" si="17"/>
        <v>167</v>
      </c>
      <c r="W52" s="28" t="str">
        <f t="shared" si="18"/>
        <v>A7</v>
      </c>
      <c r="X52" s="2" t="s">
        <v>216</v>
      </c>
    </row>
    <row r="53" spans="2:24" s="2" customFormat="1" ht="15.75" customHeight="1">
      <c r="B53" s="27" t="s">
        <v>89</v>
      </c>
      <c r="C53" s="3"/>
      <c r="D53" s="3"/>
      <c r="E53" s="3"/>
      <c r="F53" s="3"/>
      <c r="G53" s="4"/>
      <c r="H53" s="3"/>
      <c r="I53" s="5" t="s">
        <v>24</v>
      </c>
      <c r="J53" s="5" t="s">
        <v>23</v>
      </c>
      <c r="K53" s="5" t="s">
        <v>91</v>
      </c>
      <c r="L53" s="5" t="s">
        <v>16</v>
      </c>
      <c r="M53" s="5" t="s">
        <v>67</v>
      </c>
      <c r="N53" s="3" t="str">
        <f t="shared" si="3"/>
        <v>A8</v>
      </c>
      <c r="O53" s="10" t="str">
        <f t="shared" si="15"/>
        <v>FF01A0030004A8</v>
      </c>
      <c r="P53" s="12" t="s">
        <v>9</v>
      </c>
      <c r="Q53" s="13">
        <f t="shared" si="16"/>
        <v>1</v>
      </c>
      <c r="R53" s="13">
        <f t="shared" si="16"/>
        <v>160</v>
      </c>
      <c r="S53" s="13">
        <f t="shared" si="16"/>
        <v>3</v>
      </c>
      <c r="T53" s="13">
        <f t="shared" si="16"/>
        <v>0</v>
      </c>
      <c r="U53" s="13">
        <f t="shared" si="16"/>
        <v>4</v>
      </c>
      <c r="V53" s="13">
        <f t="shared" si="17"/>
        <v>168</v>
      </c>
      <c r="W53" s="28" t="str">
        <f t="shared" si="18"/>
        <v>A8</v>
      </c>
      <c r="X53" s="2" t="s">
        <v>217</v>
      </c>
    </row>
    <row r="54" spans="2:24" s="2" customFormat="1" ht="15.75" customHeight="1">
      <c r="B54" s="27" t="s">
        <v>90</v>
      </c>
      <c r="C54" s="3"/>
      <c r="D54" s="3"/>
      <c r="E54" s="3"/>
      <c r="F54" s="3"/>
      <c r="G54" s="4"/>
      <c r="H54" s="3"/>
      <c r="I54" s="5" t="s">
        <v>24</v>
      </c>
      <c r="J54" s="5" t="s">
        <v>23</v>
      </c>
      <c r="K54" s="5" t="s">
        <v>91</v>
      </c>
      <c r="L54" s="5" t="s">
        <v>16</v>
      </c>
      <c r="M54" s="5" t="s">
        <v>92</v>
      </c>
      <c r="N54" s="3" t="str">
        <f t="shared" si="3"/>
        <v>A9</v>
      </c>
      <c r="O54" s="10" t="str">
        <f t="shared" si="15"/>
        <v>FF01A0030005A9</v>
      </c>
      <c r="P54" s="12" t="s">
        <v>9</v>
      </c>
      <c r="Q54" s="13">
        <f t="shared" si="16"/>
        <v>1</v>
      </c>
      <c r="R54" s="13">
        <f t="shared" si="16"/>
        <v>160</v>
      </c>
      <c r="S54" s="13">
        <f t="shared" si="16"/>
        <v>3</v>
      </c>
      <c r="T54" s="13">
        <f t="shared" si="16"/>
        <v>0</v>
      </c>
      <c r="U54" s="13">
        <f t="shared" si="16"/>
        <v>5</v>
      </c>
      <c r="V54" s="13">
        <f t="shared" si="17"/>
        <v>169</v>
      </c>
      <c r="W54" s="28" t="str">
        <f t="shared" si="18"/>
        <v>A9</v>
      </c>
      <c r="X54" s="2" t="s">
        <v>218</v>
      </c>
    </row>
    <row r="55" spans="2:24" s="2" customFormat="1" ht="16.5" customHeight="1">
      <c r="B55" s="27" t="s">
        <v>93</v>
      </c>
      <c r="C55" s="3"/>
      <c r="D55" s="3"/>
      <c r="E55" s="3"/>
      <c r="F55" s="3"/>
      <c r="G55" s="4"/>
      <c r="H55" s="3"/>
      <c r="I55" s="5" t="s">
        <v>24</v>
      </c>
      <c r="J55" s="5" t="s">
        <v>23</v>
      </c>
      <c r="K55" s="5" t="s">
        <v>67</v>
      </c>
      <c r="L55" s="5" t="s">
        <v>16</v>
      </c>
      <c r="M55" s="5" t="s">
        <v>16</v>
      </c>
      <c r="N55" s="3" t="str">
        <f t="shared" si="3"/>
        <v>A5</v>
      </c>
      <c r="O55" s="10" t="str">
        <f t="shared" si="15"/>
        <v>FF01A0040000A5</v>
      </c>
      <c r="P55" s="12" t="s">
        <v>9</v>
      </c>
      <c r="Q55" s="13">
        <f t="shared" si="16"/>
        <v>1</v>
      </c>
      <c r="R55" s="13">
        <f t="shared" si="16"/>
        <v>160</v>
      </c>
      <c r="S55" s="13">
        <f t="shared" si="16"/>
        <v>4</v>
      </c>
      <c r="T55" s="13">
        <f t="shared" si="16"/>
        <v>0</v>
      </c>
      <c r="U55" s="13">
        <f t="shared" si="16"/>
        <v>0</v>
      </c>
      <c r="V55" s="13">
        <f t="shared" si="17"/>
        <v>165</v>
      </c>
      <c r="W55" s="28" t="str">
        <f t="shared" si="18"/>
        <v>A5</v>
      </c>
      <c r="X55" s="2" t="s">
        <v>219</v>
      </c>
    </row>
    <row r="56" spans="2:24" s="2" customFormat="1" ht="16.5" customHeight="1">
      <c r="B56" s="27" t="s">
        <v>94</v>
      </c>
      <c r="C56" s="3"/>
      <c r="D56" s="3"/>
      <c r="E56" s="3"/>
      <c r="F56" s="3"/>
      <c r="G56" s="4"/>
      <c r="H56" s="3"/>
      <c r="I56" s="5" t="s">
        <v>24</v>
      </c>
      <c r="J56" s="5" t="s">
        <v>23</v>
      </c>
      <c r="K56" s="5" t="s">
        <v>67</v>
      </c>
      <c r="L56" s="5" t="s">
        <v>16</v>
      </c>
      <c r="M56" s="5" t="s">
        <v>24</v>
      </c>
      <c r="N56" s="3" t="str">
        <f t="shared" si="3"/>
        <v>A6</v>
      </c>
      <c r="O56" s="10" t="str">
        <f t="shared" si="15"/>
        <v>FF01A0040001A6</v>
      </c>
      <c r="P56" s="12" t="s">
        <v>9</v>
      </c>
      <c r="Q56" s="13">
        <f t="shared" si="16"/>
        <v>1</v>
      </c>
      <c r="R56" s="13">
        <f t="shared" si="16"/>
        <v>160</v>
      </c>
      <c r="S56" s="13">
        <f t="shared" si="16"/>
        <v>4</v>
      </c>
      <c r="T56" s="13">
        <f t="shared" si="16"/>
        <v>0</v>
      </c>
      <c r="U56" s="13">
        <f t="shared" si="16"/>
        <v>1</v>
      </c>
      <c r="V56" s="13">
        <f t="shared" si="17"/>
        <v>166</v>
      </c>
      <c r="W56" s="28" t="str">
        <f t="shared" si="18"/>
        <v>A6</v>
      </c>
      <c r="X56" s="2" t="s">
        <v>220</v>
      </c>
    </row>
    <row r="57" spans="2:24" s="2" customFormat="1" ht="16.5" customHeight="1">
      <c r="B57" s="27" t="s">
        <v>95</v>
      </c>
      <c r="C57" s="3"/>
      <c r="D57" s="3"/>
      <c r="E57" s="3"/>
      <c r="F57" s="3"/>
      <c r="G57" s="4"/>
      <c r="H57" s="3"/>
      <c r="I57" s="5" t="s">
        <v>24</v>
      </c>
      <c r="J57" s="5" t="s">
        <v>23</v>
      </c>
      <c r="K57" s="5" t="s">
        <v>92</v>
      </c>
      <c r="L57" s="5" t="s">
        <v>16</v>
      </c>
      <c r="M57" s="5" t="s">
        <v>16</v>
      </c>
      <c r="N57" s="3" t="str">
        <f t="shared" si="3"/>
        <v>A6</v>
      </c>
      <c r="O57" s="10" t="str">
        <f t="shared" si="15"/>
        <v>FF01A0050000A6</v>
      </c>
      <c r="P57" s="12" t="s">
        <v>9</v>
      </c>
      <c r="Q57" s="13">
        <f t="shared" si="16"/>
        <v>1</v>
      </c>
      <c r="R57" s="13">
        <f t="shared" si="16"/>
        <v>160</v>
      </c>
      <c r="S57" s="13">
        <f t="shared" si="16"/>
        <v>5</v>
      </c>
      <c r="T57" s="13">
        <f t="shared" si="16"/>
        <v>0</v>
      </c>
      <c r="U57" s="13">
        <f t="shared" si="16"/>
        <v>0</v>
      </c>
      <c r="V57" s="13">
        <f t="shared" si="17"/>
        <v>166</v>
      </c>
      <c r="W57" s="28" t="str">
        <f t="shared" si="18"/>
        <v>A6</v>
      </c>
      <c r="X57" s="2" t="s">
        <v>221</v>
      </c>
    </row>
    <row r="58" spans="2:24" s="2" customFormat="1" ht="16.5" customHeight="1">
      <c r="B58" s="27" t="s">
        <v>96</v>
      </c>
      <c r="C58" s="3"/>
      <c r="D58" s="3"/>
      <c r="E58" s="3"/>
      <c r="F58" s="3"/>
      <c r="G58" s="4"/>
      <c r="H58" s="3"/>
      <c r="I58" s="5" t="s">
        <v>24</v>
      </c>
      <c r="J58" s="5" t="s">
        <v>23</v>
      </c>
      <c r="K58" s="5" t="s">
        <v>92</v>
      </c>
      <c r="L58" s="5" t="s">
        <v>16</v>
      </c>
      <c r="M58" s="5" t="s">
        <v>24</v>
      </c>
      <c r="N58" s="3" t="str">
        <f t="shared" si="3"/>
        <v>A7</v>
      </c>
      <c r="O58" s="10" t="str">
        <f t="shared" si="15"/>
        <v>FF01A0050001A7</v>
      </c>
      <c r="P58" s="12" t="s">
        <v>9</v>
      </c>
      <c r="Q58" s="13">
        <f t="shared" si="16"/>
        <v>1</v>
      </c>
      <c r="R58" s="13">
        <f t="shared" si="16"/>
        <v>160</v>
      </c>
      <c r="S58" s="13">
        <f t="shared" si="16"/>
        <v>5</v>
      </c>
      <c r="T58" s="13">
        <f t="shared" si="16"/>
        <v>0</v>
      </c>
      <c r="U58" s="13">
        <f t="shared" si="16"/>
        <v>1</v>
      </c>
      <c r="V58" s="13">
        <f t="shared" si="17"/>
        <v>167</v>
      </c>
      <c r="W58" s="28" t="str">
        <f t="shared" si="18"/>
        <v>A7</v>
      </c>
      <c r="X58" s="2" t="s">
        <v>222</v>
      </c>
    </row>
    <row r="59" spans="2:24" s="2" customFormat="1" ht="15.75" customHeight="1">
      <c r="B59" s="27" t="s">
        <v>97</v>
      </c>
      <c r="C59" s="3"/>
      <c r="D59" s="3"/>
      <c r="E59" s="3"/>
      <c r="F59" s="3"/>
      <c r="G59" s="4"/>
      <c r="H59" s="3"/>
      <c r="I59" s="5" t="s">
        <v>24</v>
      </c>
      <c r="J59" s="5" t="s">
        <v>23</v>
      </c>
      <c r="K59" s="5" t="s">
        <v>100</v>
      </c>
      <c r="L59" s="5" t="s">
        <v>16</v>
      </c>
      <c r="M59" s="5" t="s">
        <v>16</v>
      </c>
      <c r="N59" s="3" t="str">
        <f t="shared" si="3"/>
        <v>A7</v>
      </c>
      <c r="O59" s="10" t="str">
        <f t="shared" si="15"/>
        <v>FF01A0060000A7</v>
      </c>
      <c r="P59" s="12" t="s">
        <v>9</v>
      </c>
      <c r="Q59" s="13">
        <f t="shared" si="16"/>
        <v>1</v>
      </c>
      <c r="R59" s="13">
        <f t="shared" si="16"/>
        <v>160</v>
      </c>
      <c r="S59" s="13">
        <f t="shared" si="16"/>
        <v>6</v>
      </c>
      <c r="T59" s="13">
        <f t="shared" si="16"/>
        <v>0</v>
      </c>
      <c r="U59" s="13">
        <f t="shared" si="16"/>
        <v>0</v>
      </c>
      <c r="V59" s="13">
        <f t="shared" si="17"/>
        <v>167</v>
      </c>
      <c r="W59" s="28" t="str">
        <f t="shared" si="18"/>
        <v>A7</v>
      </c>
      <c r="X59" s="2" t="s">
        <v>223</v>
      </c>
    </row>
    <row r="60" spans="2:24" s="2" customFormat="1" ht="15.75" customHeight="1">
      <c r="B60" s="27" t="s">
        <v>98</v>
      </c>
      <c r="C60" s="3"/>
      <c r="D60" s="3"/>
      <c r="E60" s="3"/>
      <c r="F60" s="3"/>
      <c r="G60" s="4"/>
      <c r="H60" s="3"/>
      <c r="I60" s="5" t="s">
        <v>24</v>
      </c>
      <c r="J60" s="5" t="s">
        <v>23</v>
      </c>
      <c r="K60" s="5" t="s">
        <v>100</v>
      </c>
      <c r="L60" s="5" t="s">
        <v>16</v>
      </c>
      <c r="M60" s="5" t="s">
        <v>24</v>
      </c>
      <c r="N60" s="3" t="str">
        <f t="shared" si="3"/>
        <v>A8</v>
      </c>
      <c r="O60" s="10" t="str">
        <f t="shared" si="15"/>
        <v>FF01A0060001A8</v>
      </c>
      <c r="P60" s="12" t="s">
        <v>9</v>
      </c>
      <c r="Q60" s="13">
        <f t="shared" si="16"/>
        <v>1</v>
      </c>
      <c r="R60" s="13">
        <f t="shared" si="16"/>
        <v>160</v>
      </c>
      <c r="S60" s="13">
        <f t="shared" si="16"/>
        <v>6</v>
      </c>
      <c r="T60" s="13">
        <f t="shared" si="16"/>
        <v>0</v>
      </c>
      <c r="U60" s="13">
        <f t="shared" si="16"/>
        <v>1</v>
      </c>
      <c r="V60" s="13">
        <f t="shared" si="17"/>
        <v>168</v>
      </c>
      <c r="W60" s="28" t="str">
        <f t="shared" si="18"/>
        <v>A8</v>
      </c>
      <c r="X60" s="2" t="s">
        <v>224</v>
      </c>
    </row>
    <row r="61" spans="2:24" s="2" customFormat="1" ht="15.75" customHeight="1">
      <c r="B61" s="27" t="s">
        <v>99</v>
      </c>
      <c r="C61" s="3"/>
      <c r="D61" s="3"/>
      <c r="E61" s="3"/>
      <c r="F61" s="3"/>
      <c r="G61" s="4"/>
      <c r="H61" s="3"/>
      <c r="I61" s="5" t="s">
        <v>24</v>
      </c>
      <c r="J61" s="5" t="s">
        <v>23</v>
      </c>
      <c r="K61" s="5" t="s">
        <v>100</v>
      </c>
      <c r="L61" s="5" t="s">
        <v>16</v>
      </c>
      <c r="M61" s="5" t="s">
        <v>17</v>
      </c>
      <c r="N61" s="3" t="str">
        <f t="shared" si="3"/>
        <v>A9</v>
      </c>
      <c r="O61" s="10" t="str">
        <f t="shared" si="15"/>
        <v>FF01A0060002A9</v>
      </c>
      <c r="P61" s="12" t="s">
        <v>9</v>
      </c>
      <c r="Q61" s="13">
        <f t="shared" ref="Q61:U62" si="19">HEX2DEC(I61)</f>
        <v>1</v>
      </c>
      <c r="R61" s="13">
        <f t="shared" si="19"/>
        <v>160</v>
      </c>
      <c r="S61" s="13">
        <f t="shared" si="19"/>
        <v>6</v>
      </c>
      <c r="T61" s="13">
        <f t="shared" si="19"/>
        <v>0</v>
      </c>
      <c r="U61" s="13">
        <f t="shared" si="19"/>
        <v>2</v>
      </c>
      <c r="V61" s="13">
        <f t="shared" si="17"/>
        <v>169</v>
      </c>
      <c r="W61" s="28" t="str">
        <f t="shared" si="18"/>
        <v>A9</v>
      </c>
      <c r="X61" s="2" t="s">
        <v>225</v>
      </c>
    </row>
    <row r="62" spans="2:24" s="2" customFormat="1" ht="15.75" customHeight="1" thickBot="1">
      <c r="B62" s="29" t="s">
        <v>107</v>
      </c>
      <c r="C62" s="30"/>
      <c r="D62" s="30"/>
      <c r="E62" s="30"/>
      <c r="F62" s="30"/>
      <c r="G62" s="31"/>
      <c r="H62" s="30"/>
      <c r="I62" s="32" t="s">
        <v>24</v>
      </c>
      <c r="J62" s="32" t="s">
        <v>23</v>
      </c>
      <c r="K62" s="32" t="s">
        <v>101</v>
      </c>
      <c r="L62" s="32" t="s">
        <v>16</v>
      </c>
      <c r="M62" s="32" t="s">
        <v>67</v>
      </c>
      <c r="N62" s="30" t="str">
        <f t="shared" si="3"/>
        <v>AC</v>
      </c>
      <c r="O62" s="33" t="str">
        <f t="shared" si="15"/>
        <v>FF01A0070004AC</v>
      </c>
      <c r="P62" s="34" t="s">
        <v>9</v>
      </c>
      <c r="Q62" s="35">
        <f t="shared" si="19"/>
        <v>1</v>
      </c>
      <c r="R62" s="35">
        <f t="shared" si="19"/>
        <v>160</v>
      </c>
      <c r="S62" s="35">
        <f t="shared" si="19"/>
        <v>7</v>
      </c>
      <c r="T62" s="35">
        <f t="shared" si="19"/>
        <v>0</v>
      </c>
      <c r="U62" s="35">
        <f t="shared" si="19"/>
        <v>4</v>
      </c>
      <c r="V62" s="35">
        <f t="shared" si="17"/>
        <v>172</v>
      </c>
      <c r="W62" s="36" t="str">
        <f t="shared" si="18"/>
        <v>AC</v>
      </c>
      <c r="X62" s="2" t="s">
        <v>226</v>
      </c>
    </row>
    <row r="63" spans="2:24" s="2" customFormat="1" ht="16.5" customHeight="1">
      <c r="B63" s="37" t="s">
        <v>132</v>
      </c>
      <c r="C63" s="20"/>
      <c r="D63" s="20"/>
      <c r="E63" s="20"/>
      <c r="F63" s="20"/>
      <c r="G63" s="21"/>
      <c r="H63" s="20"/>
      <c r="I63" s="22" t="s">
        <v>24</v>
      </c>
      <c r="J63" s="22" t="s">
        <v>80</v>
      </c>
      <c r="K63" s="22" t="s">
        <v>133</v>
      </c>
      <c r="L63" s="22" t="s">
        <v>16</v>
      </c>
      <c r="M63" s="22" t="s">
        <v>16</v>
      </c>
      <c r="N63" s="20" t="str">
        <f>W63</f>
        <v>C2</v>
      </c>
      <c r="O63" s="23" t="str">
        <f>"FF01"&amp;J63&amp;""&amp;K63&amp;L63&amp;M63&amp;N63</f>
        <v>FF01A1200000C2</v>
      </c>
      <c r="P63" s="24" t="s">
        <v>9</v>
      </c>
      <c r="Q63" s="25">
        <f>HEX2DEC(I63)</f>
        <v>1</v>
      </c>
      <c r="R63" s="25">
        <f>HEX2DEC(J63)</f>
        <v>161</v>
      </c>
      <c r="S63" s="25">
        <f>HEX2DEC(K63)</f>
        <v>32</v>
      </c>
      <c r="T63" s="25">
        <f>HEX2DEC(L63)</f>
        <v>0</v>
      </c>
      <c r="U63" s="25">
        <f>HEX2DEC(M63)</f>
        <v>0</v>
      </c>
      <c r="V63" s="25">
        <f>SUM(Q63:U63)</f>
        <v>194</v>
      </c>
      <c r="W63" s="26" t="str">
        <f>REPT("0",2-LEN(RIGHT(DEC2HEX(V63), 2)))&amp;RIGHT(DEC2HEX(V63), 2)</f>
        <v>C2</v>
      </c>
      <c r="X63" s="2" t="s">
        <v>227</v>
      </c>
    </row>
    <row r="64" spans="2:24" s="2" customFormat="1" ht="15.75" customHeight="1">
      <c r="B64" s="27" t="s">
        <v>45</v>
      </c>
      <c r="C64" s="3"/>
      <c r="D64" s="3"/>
      <c r="E64" s="3"/>
      <c r="F64" s="3"/>
      <c r="G64" s="4"/>
      <c r="H64" s="3"/>
      <c r="I64" s="5" t="s">
        <v>24</v>
      </c>
      <c r="J64" s="5" t="s">
        <v>23</v>
      </c>
      <c r="K64" s="5" t="s">
        <v>18</v>
      </c>
      <c r="L64" s="5" t="s">
        <v>16</v>
      </c>
      <c r="M64" s="5" t="s">
        <v>16</v>
      </c>
      <c r="N64" s="3" t="str">
        <f t="shared" ref="N64:N67" si="20">W64</f>
        <v>C2</v>
      </c>
      <c r="O64" s="10" t="str">
        <f t="shared" ref="O64:O67" si="21">"FF01"&amp;J64&amp;""&amp;K64&amp;L64&amp;M64&amp;N64</f>
        <v>FF01A0210000C2</v>
      </c>
      <c r="P64" s="12" t="s">
        <v>9</v>
      </c>
      <c r="Q64" s="13">
        <f t="shared" ref="Q64:U79" si="22">HEX2DEC(I64)</f>
        <v>1</v>
      </c>
      <c r="R64" s="13">
        <f t="shared" si="22"/>
        <v>160</v>
      </c>
      <c r="S64" s="13">
        <f t="shared" si="22"/>
        <v>33</v>
      </c>
      <c r="T64" s="13">
        <f t="shared" si="22"/>
        <v>0</v>
      </c>
      <c r="U64" s="13">
        <f t="shared" si="22"/>
        <v>0</v>
      </c>
      <c r="V64" s="13">
        <f t="shared" si="2"/>
        <v>194</v>
      </c>
      <c r="W64" s="28" t="str">
        <f t="shared" si="4"/>
        <v>C2</v>
      </c>
      <c r="X64" s="2" t="s">
        <v>228</v>
      </c>
    </row>
    <row r="65" spans="2:24" s="2" customFormat="1" ht="16.5" customHeight="1">
      <c r="B65" s="27" t="s">
        <v>46</v>
      </c>
      <c r="C65" s="3"/>
      <c r="D65" s="3"/>
      <c r="E65" s="3"/>
      <c r="F65" s="3"/>
      <c r="G65" s="4"/>
      <c r="H65" s="3"/>
      <c r="I65" s="5" t="s">
        <v>24</v>
      </c>
      <c r="J65" s="5" t="s">
        <v>23</v>
      </c>
      <c r="K65" s="5" t="s">
        <v>18</v>
      </c>
      <c r="L65" s="5" t="s">
        <v>16</v>
      </c>
      <c r="M65" s="5" t="s">
        <v>24</v>
      </c>
      <c r="N65" s="3" t="str">
        <f t="shared" si="20"/>
        <v>C3</v>
      </c>
      <c r="O65" s="10" t="str">
        <f t="shared" si="21"/>
        <v>FF01A0210001C3</v>
      </c>
      <c r="P65" s="12" t="s">
        <v>9</v>
      </c>
      <c r="Q65" s="13">
        <f t="shared" si="22"/>
        <v>1</v>
      </c>
      <c r="R65" s="13">
        <f t="shared" si="22"/>
        <v>160</v>
      </c>
      <c r="S65" s="13">
        <f t="shared" si="22"/>
        <v>33</v>
      </c>
      <c r="T65" s="13">
        <f t="shared" si="22"/>
        <v>0</v>
      </c>
      <c r="U65" s="13">
        <f t="shared" si="22"/>
        <v>1</v>
      </c>
      <c r="V65" s="13">
        <f t="shared" si="2"/>
        <v>195</v>
      </c>
      <c r="W65" s="28" t="str">
        <f t="shared" si="4"/>
        <v>C3</v>
      </c>
      <c r="X65" s="2" t="s">
        <v>229</v>
      </c>
    </row>
    <row r="66" spans="2:24" s="2" customFormat="1" ht="16.5" customHeight="1">
      <c r="B66" s="27" t="s">
        <v>48</v>
      </c>
      <c r="C66" s="3"/>
      <c r="D66" s="3"/>
      <c r="E66" s="3"/>
      <c r="F66" s="3"/>
      <c r="G66" s="4"/>
      <c r="H66" s="3"/>
      <c r="I66" s="5" t="s">
        <v>24</v>
      </c>
      <c r="J66" s="5" t="s">
        <v>23</v>
      </c>
      <c r="K66" s="5" t="s">
        <v>49</v>
      </c>
      <c r="L66" s="5" t="s">
        <v>16</v>
      </c>
      <c r="M66" s="5" t="s">
        <v>16</v>
      </c>
      <c r="N66" s="3" t="str">
        <f t="shared" si="20"/>
        <v>C3</v>
      </c>
      <c r="O66" s="10" t="str">
        <f t="shared" si="21"/>
        <v>FF01A0220000C3</v>
      </c>
      <c r="P66" s="12" t="s">
        <v>9</v>
      </c>
      <c r="Q66" s="13">
        <f t="shared" si="22"/>
        <v>1</v>
      </c>
      <c r="R66" s="13">
        <f t="shared" si="22"/>
        <v>160</v>
      </c>
      <c r="S66" s="13">
        <f t="shared" si="22"/>
        <v>34</v>
      </c>
      <c r="T66" s="13">
        <f t="shared" si="22"/>
        <v>0</v>
      </c>
      <c r="U66" s="13">
        <f t="shared" si="22"/>
        <v>0</v>
      </c>
      <c r="V66" s="13">
        <f t="shared" si="2"/>
        <v>195</v>
      </c>
      <c r="W66" s="28" t="str">
        <f t="shared" si="4"/>
        <v>C3</v>
      </c>
      <c r="X66" s="2" t="s">
        <v>230</v>
      </c>
    </row>
    <row r="67" spans="2:24" s="2" customFormat="1" ht="16.5" customHeight="1">
      <c r="B67" s="27" t="s">
        <v>47</v>
      </c>
      <c r="C67" s="3"/>
      <c r="D67" s="3"/>
      <c r="E67" s="3"/>
      <c r="F67" s="3"/>
      <c r="G67" s="4"/>
      <c r="H67" s="3"/>
      <c r="I67" s="5" t="s">
        <v>24</v>
      </c>
      <c r="J67" s="5" t="s">
        <v>23</v>
      </c>
      <c r="K67" s="5" t="s">
        <v>49</v>
      </c>
      <c r="L67" s="5" t="s">
        <v>16</v>
      </c>
      <c r="M67" s="5" t="s">
        <v>24</v>
      </c>
      <c r="N67" s="3" t="str">
        <f t="shared" si="20"/>
        <v>C4</v>
      </c>
      <c r="O67" s="10" t="str">
        <f t="shared" si="21"/>
        <v>FF01A0220001C4</v>
      </c>
      <c r="P67" s="12" t="s">
        <v>9</v>
      </c>
      <c r="Q67" s="13">
        <f t="shared" si="22"/>
        <v>1</v>
      </c>
      <c r="R67" s="13">
        <f t="shared" si="22"/>
        <v>160</v>
      </c>
      <c r="S67" s="13">
        <f t="shared" si="22"/>
        <v>34</v>
      </c>
      <c r="T67" s="13">
        <f t="shared" si="22"/>
        <v>0</v>
      </c>
      <c r="U67" s="13">
        <f t="shared" si="22"/>
        <v>1</v>
      </c>
      <c r="V67" s="13">
        <f t="shared" ref="V67:V102" si="23">SUM(Q67:U67)</f>
        <v>196</v>
      </c>
      <c r="W67" s="28" t="str">
        <f t="shared" si="4"/>
        <v>C4</v>
      </c>
      <c r="X67" s="2" t="s">
        <v>231</v>
      </c>
    </row>
    <row r="68" spans="2:24" s="2" customFormat="1" ht="16.5" customHeight="1">
      <c r="B68" s="27" t="s">
        <v>19</v>
      </c>
      <c r="C68" s="3"/>
      <c r="D68" s="3"/>
      <c r="E68" s="3"/>
      <c r="F68" s="3"/>
      <c r="G68" s="4"/>
      <c r="H68" s="3"/>
      <c r="I68" s="5" t="s">
        <v>24</v>
      </c>
      <c r="J68" s="3" t="s">
        <v>23</v>
      </c>
      <c r="K68" s="3">
        <v>23</v>
      </c>
      <c r="L68" s="5" t="s">
        <v>16</v>
      </c>
      <c r="M68" s="5" t="s">
        <v>24</v>
      </c>
      <c r="N68" s="3" t="str">
        <f>W68</f>
        <v>C5</v>
      </c>
      <c r="O68" s="10" t="str">
        <f>"FF01"&amp;J68&amp;""&amp;K68&amp;L68&amp;M68&amp;N68</f>
        <v>FF01A0230001C5</v>
      </c>
      <c r="P68" s="12" t="s">
        <v>9</v>
      </c>
      <c r="Q68" s="13">
        <f t="shared" si="22"/>
        <v>1</v>
      </c>
      <c r="R68" s="13">
        <f t="shared" si="22"/>
        <v>160</v>
      </c>
      <c r="S68" s="13">
        <f t="shared" si="22"/>
        <v>35</v>
      </c>
      <c r="T68" s="13">
        <f t="shared" si="22"/>
        <v>0</v>
      </c>
      <c r="U68" s="13">
        <f t="shared" si="22"/>
        <v>1</v>
      </c>
      <c r="V68" s="13">
        <f>SUM(Q68:U68)</f>
        <v>197</v>
      </c>
      <c r="W68" s="28" t="str">
        <f>REPT("0",2-LEN(RIGHT(DEC2HEX(V68), 2)))&amp;RIGHT(DEC2HEX(V68), 2)</f>
        <v>C5</v>
      </c>
      <c r="X68" s="2" t="s">
        <v>232</v>
      </c>
    </row>
    <row r="69" spans="2:24" s="2" customFormat="1" ht="16.5" customHeight="1">
      <c r="B69" s="27" t="s">
        <v>20</v>
      </c>
      <c r="C69" s="3"/>
      <c r="D69" s="3"/>
      <c r="E69" s="3"/>
      <c r="F69" s="3"/>
      <c r="G69" s="4"/>
      <c r="H69" s="3"/>
      <c r="I69" s="5" t="s">
        <v>24</v>
      </c>
      <c r="J69" s="3" t="s">
        <v>23</v>
      </c>
      <c r="K69" s="3">
        <v>23</v>
      </c>
      <c r="L69" s="5" t="s">
        <v>16</v>
      </c>
      <c r="M69" s="5" t="s">
        <v>16</v>
      </c>
      <c r="N69" s="3" t="str">
        <f>W69</f>
        <v>C4</v>
      </c>
      <c r="O69" s="10" t="str">
        <f>"FF01"&amp;J69&amp;""&amp;K69&amp;L69&amp;M69&amp;N69</f>
        <v>FF01A0230000C4</v>
      </c>
      <c r="P69" s="12" t="s">
        <v>9</v>
      </c>
      <c r="Q69" s="13">
        <f t="shared" si="22"/>
        <v>1</v>
      </c>
      <c r="R69" s="13">
        <f t="shared" si="22"/>
        <v>160</v>
      </c>
      <c r="S69" s="13">
        <f t="shared" si="22"/>
        <v>35</v>
      </c>
      <c r="T69" s="13">
        <f t="shared" si="22"/>
        <v>0</v>
      </c>
      <c r="U69" s="13">
        <f t="shared" si="22"/>
        <v>0</v>
      </c>
      <c r="V69" s="13">
        <f>SUM(Q69:U69)</f>
        <v>196</v>
      </c>
      <c r="W69" s="28" t="str">
        <f>REPT("0",2-LEN(RIGHT(DEC2HEX(V69), 2)))&amp;RIGHT(DEC2HEX(V69), 2)</f>
        <v>C4</v>
      </c>
      <c r="X69" s="2" t="s">
        <v>233</v>
      </c>
    </row>
    <row r="70" spans="2:24" s="2" customFormat="1" ht="16.5" customHeight="1">
      <c r="B70" s="27" t="s">
        <v>21</v>
      </c>
      <c r="C70" s="3"/>
      <c r="D70" s="3"/>
      <c r="E70" s="3"/>
      <c r="F70" s="3"/>
      <c r="G70" s="4"/>
      <c r="H70" s="3"/>
      <c r="I70" s="5" t="s">
        <v>24</v>
      </c>
      <c r="J70" s="3" t="s">
        <v>23</v>
      </c>
      <c r="K70" s="3">
        <v>24</v>
      </c>
      <c r="L70" s="5" t="s">
        <v>16</v>
      </c>
      <c r="M70" s="5" t="s">
        <v>24</v>
      </c>
      <c r="N70" s="3" t="str">
        <f>W70</f>
        <v>C6</v>
      </c>
      <c r="O70" s="10" t="str">
        <f t="shared" ref="O70:O102" si="24">"FF01"&amp;J70&amp;""&amp;K70&amp;L70&amp;M70&amp;N70</f>
        <v>FF01A0240001C6</v>
      </c>
      <c r="P70" s="12" t="s">
        <v>9</v>
      </c>
      <c r="Q70" s="13">
        <f t="shared" si="22"/>
        <v>1</v>
      </c>
      <c r="R70" s="13">
        <f t="shared" si="22"/>
        <v>160</v>
      </c>
      <c r="S70" s="13">
        <f t="shared" si="22"/>
        <v>36</v>
      </c>
      <c r="T70" s="13">
        <f t="shared" si="22"/>
        <v>0</v>
      </c>
      <c r="U70" s="13">
        <f t="shared" si="22"/>
        <v>1</v>
      </c>
      <c r="V70" s="13">
        <f>SUM(Q70:U70)</f>
        <v>198</v>
      </c>
      <c r="W70" s="28" t="str">
        <f>REPT("0",2-LEN(RIGHT(DEC2HEX(V70), 2)))&amp;RIGHT(DEC2HEX(V70), 2)</f>
        <v>C6</v>
      </c>
      <c r="X70" s="2" t="s">
        <v>234</v>
      </c>
    </row>
    <row r="71" spans="2:24" s="2" customFormat="1" ht="16.5" customHeight="1">
      <c r="B71" s="27" t="s">
        <v>22</v>
      </c>
      <c r="C71" s="3"/>
      <c r="D71" s="3"/>
      <c r="E71" s="3"/>
      <c r="F71" s="3"/>
      <c r="G71" s="4"/>
      <c r="H71" s="3"/>
      <c r="I71" s="5" t="s">
        <v>24</v>
      </c>
      <c r="J71" s="3" t="s">
        <v>23</v>
      </c>
      <c r="K71" s="3">
        <v>24</v>
      </c>
      <c r="L71" s="5" t="s">
        <v>16</v>
      </c>
      <c r="M71" s="5" t="s">
        <v>16</v>
      </c>
      <c r="N71" s="3" t="str">
        <f>W71</f>
        <v>C5</v>
      </c>
      <c r="O71" s="10" t="str">
        <f t="shared" si="24"/>
        <v>FF01A0240000C5</v>
      </c>
      <c r="P71" s="12" t="s">
        <v>9</v>
      </c>
      <c r="Q71" s="13">
        <f t="shared" si="22"/>
        <v>1</v>
      </c>
      <c r="R71" s="13">
        <f t="shared" si="22"/>
        <v>160</v>
      </c>
      <c r="S71" s="13">
        <f t="shared" si="22"/>
        <v>36</v>
      </c>
      <c r="T71" s="13">
        <f t="shared" si="22"/>
        <v>0</v>
      </c>
      <c r="U71" s="13">
        <f t="shared" si="22"/>
        <v>0</v>
      </c>
      <c r="V71" s="13">
        <f>SUM(Q71:U71)</f>
        <v>197</v>
      </c>
      <c r="W71" s="28" t="str">
        <f>REPT("0",2-LEN(RIGHT(DEC2HEX(V71), 2)))&amp;RIGHT(DEC2HEX(V71), 2)</f>
        <v>C5</v>
      </c>
      <c r="X71" s="2" t="s">
        <v>235</v>
      </c>
    </row>
    <row r="72" spans="2:24" s="2" customFormat="1" ht="16.5" customHeight="1">
      <c r="B72" s="27" t="s">
        <v>50</v>
      </c>
      <c r="C72" s="3"/>
      <c r="D72" s="3"/>
      <c r="E72" s="3"/>
      <c r="F72" s="3"/>
      <c r="G72" s="4"/>
      <c r="H72" s="3"/>
      <c r="I72" s="5" t="s">
        <v>24</v>
      </c>
      <c r="J72" s="5" t="s">
        <v>23</v>
      </c>
      <c r="K72" s="5" t="s">
        <v>51</v>
      </c>
      <c r="L72" s="5" t="s">
        <v>16</v>
      </c>
      <c r="M72" s="5" t="s">
        <v>16</v>
      </c>
      <c r="N72" s="3" t="str">
        <f t="shared" ref="N72:N102" si="25">W72</f>
        <v>C6</v>
      </c>
      <c r="O72" s="10" t="str">
        <f t="shared" si="24"/>
        <v>FF01A0250000C6</v>
      </c>
      <c r="P72" s="12" t="s">
        <v>9</v>
      </c>
      <c r="Q72" s="13">
        <f t="shared" si="22"/>
        <v>1</v>
      </c>
      <c r="R72" s="13">
        <f t="shared" si="22"/>
        <v>160</v>
      </c>
      <c r="S72" s="13">
        <f t="shared" si="22"/>
        <v>37</v>
      </c>
      <c r="T72" s="13">
        <f t="shared" si="22"/>
        <v>0</v>
      </c>
      <c r="U72" s="13">
        <f t="shared" si="22"/>
        <v>0</v>
      </c>
      <c r="V72" s="13">
        <f t="shared" si="23"/>
        <v>198</v>
      </c>
      <c r="W72" s="28" t="str">
        <f t="shared" si="4"/>
        <v>C6</v>
      </c>
      <c r="X72" s="2" t="s">
        <v>236</v>
      </c>
    </row>
    <row r="73" spans="2:24" s="2" customFormat="1" ht="16.5" customHeight="1">
      <c r="B73" s="27" t="s">
        <v>52</v>
      </c>
      <c r="C73" s="3"/>
      <c r="D73" s="3"/>
      <c r="E73" s="3"/>
      <c r="F73" s="3"/>
      <c r="G73" s="4"/>
      <c r="H73" s="3"/>
      <c r="I73" s="5" t="s">
        <v>24</v>
      </c>
      <c r="J73" s="5" t="s">
        <v>23</v>
      </c>
      <c r="K73" s="5" t="s">
        <v>51</v>
      </c>
      <c r="L73" s="5" t="s">
        <v>16</v>
      </c>
      <c r="M73" s="5" t="s">
        <v>24</v>
      </c>
      <c r="N73" s="3" t="str">
        <f t="shared" si="25"/>
        <v>C7</v>
      </c>
      <c r="O73" s="10" t="str">
        <f t="shared" si="24"/>
        <v>FF01A0250001C7</v>
      </c>
      <c r="P73" s="12" t="s">
        <v>9</v>
      </c>
      <c r="Q73" s="13">
        <f t="shared" si="22"/>
        <v>1</v>
      </c>
      <c r="R73" s="13">
        <f t="shared" si="22"/>
        <v>160</v>
      </c>
      <c r="S73" s="13">
        <f t="shared" si="22"/>
        <v>37</v>
      </c>
      <c r="T73" s="13">
        <f t="shared" si="22"/>
        <v>0</v>
      </c>
      <c r="U73" s="13">
        <f t="shared" si="22"/>
        <v>1</v>
      </c>
      <c r="V73" s="13">
        <f t="shared" si="23"/>
        <v>199</v>
      </c>
      <c r="W73" s="28" t="str">
        <f t="shared" si="4"/>
        <v>C7</v>
      </c>
      <c r="X73" s="2" t="s">
        <v>237</v>
      </c>
    </row>
    <row r="74" spans="2:24" s="2" customFormat="1" ht="16.5" customHeight="1">
      <c r="B74" s="27" t="s">
        <v>53</v>
      </c>
      <c r="C74" s="3"/>
      <c r="D74" s="3"/>
      <c r="E74" s="3"/>
      <c r="F74" s="3"/>
      <c r="G74" s="4"/>
      <c r="H74" s="3"/>
      <c r="I74" s="5" t="s">
        <v>24</v>
      </c>
      <c r="J74" s="5" t="s">
        <v>23</v>
      </c>
      <c r="K74" s="5" t="s">
        <v>55</v>
      </c>
      <c r="L74" s="5" t="s">
        <v>16</v>
      </c>
      <c r="M74" s="5" t="s">
        <v>16</v>
      </c>
      <c r="N74" s="3" t="str">
        <f t="shared" si="25"/>
        <v>C7</v>
      </c>
      <c r="O74" s="10" t="str">
        <f t="shared" si="24"/>
        <v>FF01A0260000C7</v>
      </c>
      <c r="P74" s="12" t="s">
        <v>9</v>
      </c>
      <c r="Q74" s="13">
        <f t="shared" si="22"/>
        <v>1</v>
      </c>
      <c r="R74" s="13">
        <f t="shared" si="22"/>
        <v>160</v>
      </c>
      <c r="S74" s="13">
        <f t="shared" si="22"/>
        <v>38</v>
      </c>
      <c r="T74" s="13">
        <f t="shared" si="22"/>
        <v>0</v>
      </c>
      <c r="U74" s="13">
        <f t="shared" si="22"/>
        <v>0</v>
      </c>
      <c r="V74" s="13">
        <f t="shared" si="23"/>
        <v>199</v>
      </c>
      <c r="W74" s="28" t="str">
        <f t="shared" si="4"/>
        <v>C7</v>
      </c>
      <c r="X74" s="2" t="s">
        <v>238</v>
      </c>
    </row>
    <row r="75" spans="2:24" s="2" customFormat="1" ht="16.5" customHeight="1">
      <c r="B75" s="27" t="s">
        <v>54</v>
      </c>
      <c r="C75" s="3"/>
      <c r="D75" s="3"/>
      <c r="E75" s="3"/>
      <c r="F75" s="3"/>
      <c r="G75" s="4"/>
      <c r="H75" s="3"/>
      <c r="I75" s="5" t="s">
        <v>24</v>
      </c>
      <c r="J75" s="5" t="s">
        <v>23</v>
      </c>
      <c r="K75" s="5" t="s">
        <v>55</v>
      </c>
      <c r="L75" s="5" t="s">
        <v>16</v>
      </c>
      <c r="M75" s="5" t="s">
        <v>24</v>
      </c>
      <c r="N75" s="3" t="str">
        <f t="shared" si="25"/>
        <v>C8</v>
      </c>
      <c r="O75" s="10" t="str">
        <f t="shared" si="24"/>
        <v>FF01A0260001C8</v>
      </c>
      <c r="P75" s="12" t="s">
        <v>9</v>
      </c>
      <c r="Q75" s="13">
        <f t="shared" si="22"/>
        <v>1</v>
      </c>
      <c r="R75" s="13">
        <f t="shared" si="22"/>
        <v>160</v>
      </c>
      <c r="S75" s="13">
        <f t="shared" si="22"/>
        <v>38</v>
      </c>
      <c r="T75" s="13">
        <f t="shared" si="22"/>
        <v>0</v>
      </c>
      <c r="U75" s="13">
        <f t="shared" si="22"/>
        <v>1</v>
      </c>
      <c r="V75" s="13">
        <f t="shared" si="23"/>
        <v>200</v>
      </c>
      <c r="W75" s="28" t="str">
        <f t="shared" si="4"/>
        <v>C8</v>
      </c>
      <c r="X75" s="2" t="s">
        <v>239</v>
      </c>
    </row>
    <row r="76" spans="2:24" s="2" customFormat="1" ht="16.5" customHeight="1">
      <c r="B76" s="27" t="s">
        <v>56</v>
      </c>
      <c r="C76" s="3"/>
      <c r="D76" s="3"/>
      <c r="E76" s="3"/>
      <c r="F76" s="3"/>
      <c r="G76" s="4"/>
      <c r="H76" s="3"/>
      <c r="I76" s="5" t="s">
        <v>24</v>
      </c>
      <c r="J76" s="5" t="s">
        <v>23</v>
      </c>
      <c r="K76" s="5" t="s">
        <v>60</v>
      </c>
      <c r="L76" s="5" t="s">
        <v>16</v>
      </c>
      <c r="M76" s="5" t="s">
        <v>16</v>
      </c>
      <c r="N76" s="3" t="str">
        <f t="shared" si="25"/>
        <v>C8</v>
      </c>
      <c r="O76" s="10" t="str">
        <f t="shared" si="24"/>
        <v>FF01A0270000C8</v>
      </c>
      <c r="P76" s="12" t="s">
        <v>9</v>
      </c>
      <c r="Q76" s="13">
        <f t="shared" si="22"/>
        <v>1</v>
      </c>
      <c r="R76" s="13">
        <f t="shared" si="22"/>
        <v>160</v>
      </c>
      <c r="S76" s="13">
        <f t="shared" si="22"/>
        <v>39</v>
      </c>
      <c r="T76" s="13">
        <f t="shared" si="22"/>
        <v>0</v>
      </c>
      <c r="U76" s="13">
        <f t="shared" si="22"/>
        <v>0</v>
      </c>
      <c r="V76" s="13">
        <f t="shared" si="23"/>
        <v>200</v>
      </c>
      <c r="W76" s="28" t="str">
        <f t="shared" si="4"/>
        <v>C8</v>
      </c>
      <c r="X76" s="2" t="s">
        <v>240</v>
      </c>
    </row>
    <row r="77" spans="2:24" s="2" customFormat="1" ht="16.5" customHeight="1">
      <c r="B77" s="27" t="s">
        <v>57</v>
      </c>
      <c r="C77" s="3"/>
      <c r="D77" s="3"/>
      <c r="E77" s="3"/>
      <c r="F77" s="3"/>
      <c r="G77" s="4"/>
      <c r="H77" s="3"/>
      <c r="I77" s="5" t="s">
        <v>24</v>
      </c>
      <c r="J77" s="5" t="s">
        <v>23</v>
      </c>
      <c r="K77" s="5" t="s">
        <v>60</v>
      </c>
      <c r="L77" s="5" t="s">
        <v>16</v>
      </c>
      <c r="M77" s="5" t="s">
        <v>61</v>
      </c>
      <c r="N77" s="3" t="str">
        <f t="shared" si="25"/>
        <v>D2</v>
      </c>
      <c r="O77" s="10" t="str">
        <f t="shared" si="24"/>
        <v>FF01A027000AD2</v>
      </c>
      <c r="P77" s="12" t="s">
        <v>9</v>
      </c>
      <c r="Q77" s="13">
        <f t="shared" si="22"/>
        <v>1</v>
      </c>
      <c r="R77" s="13">
        <f t="shared" si="22"/>
        <v>160</v>
      </c>
      <c r="S77" s="13">
        <f t="shared" si="22"/>
        <v>39</v>
      </c>
      <c r="T77" s="13">
        <f t="shared" si="22"/>
        <v>0</v>
      </c>
      <c r="U77" s="13">
        <f t="shared" si="22"/>
        <v>10</v>
      </c>
      <c r="V77" s="13">
        <f t="shared" si="23"/>
        <v>210</v>
      </c>
      <c r="W77" s="28" t="str">
        <f t="shared" si="4"/>
        <v>D2</v>
      </c>
      <c r="X77" s="2" t="s">
        <v>241</v>
      </c>
    </row>
    <row r="78" spans="2:24" s="2" customFormat="1" ht="16.5" customHeight="1">
      <c r="B78" s="27" t="s">
        <v>58</v>
      </c>
      <c r="C78" s="3"/>
      <c r="D78" s="3"/>
      <c r="E78" s="3"/>
      <c r="F78" s="3"/>
      <c r="G78" s="4"/>
      <c r="H78" s="3"/>
      <c r="I78" s="5" t="s">
        <v>24</v>
      </c>
      <c r="J78" s="5" t="s">
        <v>23</v>
      </c>
      <c r="K78" s="5" t="s">
        <v>60</v>
      </c>
      <c r="L78" s="5" t="s">
        <v>16</v>
      </c>
      <c r="M78" s="5" t="s">
        <v>62</v>
      </c>
      <c r="N78" s="3" t="str">
        <f t="shared" si="25"/>
        <v>DC</v>
      </c>
      <c r="O78" s="10" t="str">
        <f t="shared" si="24"/>
        <v>FF01A0270014DC</v>
      </c>
      <c r="P78" s="12" t="s">
        <v>9</v>
      </c>
      <c r="Q78" s="13">
        <f t="shared" si="22"/>
        <v>1</v>
      </c>
      <c r="R78" s="13">
        <f t="shared" si="22"/>
        <v>160</v>
      </c>
      <c r="S78" s="13">
        <f t="shared" si="22"/>
        <v>39</v>
      </c>
      <c r="T78" s="13">
        <f t="shared" si="22"/>
        <v>0</v>
      </c>
      <c r="U78" s="13">
        <f t="shared" si="22"/>
        <v>20</v>
      </c>
      <c r="V78" s="13">
        <f t="shared" si="23"/>
        <v>220</v>
      </c>
      <c r="W78" s="28" t="str">
        <f t="shared" si="4"/>
        <v>DC</v>
      </c>
      <c r="X78" s="2" t="s">
        <v>242</v>
      </c>
    </row>
    <row r="79" spans="2:24" s="2" customFormat="1" ht="16.5" customHeight="1" thickBot="1">
      <c r="B79" s="29" t="s">
        <v>59</v>
      </c>
      <c r="C79" s="30"/>
      <c r="D79" s="30"/>
      <c r="E79" s="30"/>
      <c r="F79" s="30"/>
      <c r="G79" s="31"/>
      <c r="H79" s="30"/>
      <c r="I79" s="32" t="s">
        <v>24</v>
      </c>
      <c r="J79" s="32" t="s">
        <v>23</v>
      </c>
      <c r="K79" s="32" t="s">
        <v>60</v>
      </c>
      <c r="L79" s="32" t="s">
        <v>16</v>
      </c>
      <c r="M79" s="32" t="s">
        <v>63</v>
      </c>
      <c r="N79" s="30" t="str">
        <f t="shared" si="25"/>
        <v>E6</v>
      </c>
      <c r="O79" s="33" t="str">
        <f t="shared" si="24"/>
        <v>FF01A027001EE6</v>
      </c>
      <c r="P79" s="34" t="s">
        <v>9</v>
      </c>
      <c r="Q79" s="35">
        <f t="shared" si="22"/>
        <v>1</v>
      </c>
      <c r="R79" s="35">
        <f t="shared" si="22"/>
        <v>160</v>
      </c>
      <c r="S79" s="35">
        <f t="shared" si="22"/>
        <v>39</v>
      </c>
      <c r="T79" s="35">
        <f t="shared" si="22"/>
        <v>0</v>
      </c>
      <c r="U79" s="35">
        <f t="shared" si="22"/>
        <v>30</v>
      </c>
      <c r="V79" s="35">
        <f t="shared" si="23"/>
        <v>230</v>
      </c>
      <c r="W79" s="36" t="str">
        <f t="shared" si="4"/>
        <v>E6</v>
      </c>
      <c r="X79" s="2" t="s">
        <v>243</v>
      </c>
    </row>
    <row r="80" spans="2:24" s="2" customFormat="1" ht="16.5" customHeight="1">
      <c r="B80" s="38" t="s">
        <v>135</v>
      </c>
      <c r="C80" s="3"/>
      <c r="D80" s="3"/>
      <c r="E80" s="3"/>
      <c r="F80" s="3"/>
      <c r="G80" s="4"/>
      <c r="H80" s="3"/>
      <c r="I80" s="5" t="s">
        <v>24</v>
      </c>
      <c r="J80" s="3" t="s">
        <v>80</v>
      </c>
      <c r="K80" s="3">
        <v>30</v>
      </c>
      <c r="L80" s="5" t="s">
        <v>16</v>
      </c>
      <c r="M80" s="5" t="s">
        <v>16</v>
      </c>
      <c r="N80" s="3" t="str">
        <f t="shared" si="25"/>
        <v>D2</v>
      </c>
      <c r="O80" s="10" t="str">
        <f t="shared" si="24"/>
        <v>FF01A1300000D2</v>
      </c>
      <c r="P80" s="12" t="s">
        <v>9</v>
      </c>
      <c r="Q80" s="13">
        <f t="shared" ref="Q80:U95" si="26">HEX2DEC(I80)</f>
        <v>1</v>
      </c>
      <c r="R80" s="13">
        <f t="shared" si="26"/>
        <v>161</v>
      </c>
      <c r="S80" s="13">
        <f t="shared" si="26"/>
        <v>48</v>
      </c>
      <c r="T80" s="13">
        <f t="shared" si="26"/>
        <v>0</v>
      </c>
      <c r="U80" s="13">
        <f t="shared" si="26"/>
        <v>0</v>
      </c>
      <c r="V80" s="13">
        <f t="shared" si="23"/>
        <v>210</v>
      </c>
      <c r="W80" s="13" t="str">
        <f t="shared" ref="W80:W102" si="27">REPT("0",2-LEN(RIGHT(DEC2HEX(V80), 2)))&amp;RIGHT(DEC2HEX(V80), 2)</f>
        <v>D2</v>
      </c>
      <c r="X80" s="2" t="s">
        <v>244</v>
      </c>
    </row>
    <row r="81" spans="2:24" s="2" customFormat="1" ht="16.5" customHeight="1">
      <c r="B81" s="3" t="s">
        <v>136</v>
      </c>
      <c r="C81" s="3"/>
      <c r="D81" s="3"/>
      <c r="E81" s="3"/>
      <c r="F81" s="3"/>
      <c r="G81" s="4"/>
      <c r="H81" s="3"/>
      <c r="I81" s="5" t="s">
        <v>24</v>
      </c>
      <c r="J81" s="3" t="s">
        <v>23</v>
      </c>
      <c r="K81" s="3">
        <v>31</v>
      </c>
      <c r="L81" s="5" t="s">
        <v>16</v>
      </c>
      <c r="M81" s="5" t="s">
        <v>16</v>
      </c>
      <c r="N81" s="3" t="str">
        <f t="shared" si="25"/>
        <v>D2</v>
      </c>
      <c r="O81" s="10" t="str">
        <f t="shared" si="24"/>
        <v>FF01A0310000D2</v>
      </c>
      <c r="P81" s="12" t="s">
        <v>9</v>
      </c>
      <c r="Q81" s="13">
        <f t="shared" si="26"/>
        <v>1</v>
      </c>
      <c r="R81" s="13">
        <f t="shared" si="26"/>
        <v>160</v>
      </c>
      <c r="S81" s="13">
        <f t="shared" si="26"/>
        <v>49</v>
      </c>
      <c r="T81" s="13">
        <f t="shared" si="26"/>
        <v>0</v>
      </c>
      <c r="U81" s="13">
        <f t="shared" si="26"/>
        <v>0</v>
      </c>
      <c r="V81" s="13">
        <f t="shared" si="23"/>
        <v>210</v>
      </c>
      <c r="W81" s="13" t="str">
        <f t="shared" si="27"/>
        <v>D2</v>
      </c>
      <c r="X81" s="2" t="s">
        <v>245</v>
      </c>
    </row>
    <row r="82" spans="2:24" s="2" customFormat="1" ht="16.5" customHeight="1">
      <c r="B82" s="3" t="s">
        <v>137</v>
      </c>
      <c r="C82" s="3"/>
      <c r="D82" s="3"/>
      <c r="E82" s="3"/>
      <c r="F82" s="3"/>
      <c r="G82" s="4"/>
      <c r="H82" s="3"/>
      <c r="I82" s="5" t="s">
        <v>24</v>
      </c>
      <c r="J82" s="3" t="s">
        <v>23</v>
      </c>
      <c r="K82" s="3">
        <v>31</v>
      </c>
      <c r="L82" s="5" t="s">
        <v>16</v>
      </c>
      <c r="M82" s="5" t="s">
        <v>24</v>
      </c>
      <c r="N82" s="3" t="str">
        <f t="shared" si="25"/>
        <v>D3</v>
      </c>
      <c r="O82" s="10" t="str">
        <f t="shared" si="24"/>
        <v>FF01A0310001D3</v>
      </c>
      <c r="P82" s="12" t="s">
        <v>9</v>
      </c>
      <c r="Q82" s="13">
        <f t="shared" si="26"/>
        <v>1</v>
      </c>
      <c r="R82" s="13">
        <f t="shared" si="26"/>
        <v>160</v>
      </c>
      <c r="S82" s="13">
        <f t="shared" si="26"/>
        <v>49</v>
      </c>
      <c r="T82" s="13">
        <f t="shared" si="26"/>
        <v>0</v>
      </c>
      <c r="U82" s="13">
        <f t="shared" si="26"/>
        <v>1</v>
      </c>
      <c r="V82" s="13">
        <f t="shared" si="23"/>
        <v>211</v>
      </c>
      <c r="W82" s="13" t="str">
        <f t="shared" si="27"/>
        <v>D3</v>
      </c>
      <c r="X82" s="2" t="s">
        <v>246</v>
      </c>
    </row>
    <row r="83" spans="2:24" s="2" customFormat="1" ht="16.5" customHeight="1">
      <c r="B83" s="3" t="s">
        <v>138</v>
      </c>
      <c r="C83" s="3"/>
      <c r="D83" s="3"/>
      <c r="E83" s="3"/>
      <c r="F83" s="3"/>
      <c r="G83" s="4"/>
      <c r="H83" s="3"/>
      <c r="I83" s="5" t="s">
        <v>24</v>
      </c>
      <c r="J83" s="3" t="s">
        <v>23</v>
      </c>
      <c r="K83" s="3">
        <v>32</v>
      </c>
      <c r="L83" s="5" t="s">
        <v>16</v>
      </c>
      <c r="M83" s="5" t="s">
        <v>16</v>
      </c>
      <c r="N83" s="3" t="str">
        <f t="shared" si="25"/>
        <v>D3</v>
      </c>
      <c r="O83" s="10" t="str">
        <f t="shared" si="24"/>
        <v>FF01A0320000D3</v>
      </c>
      <c r="P83" s="12" t="s">
        <v>9</v>
      </c>
      <c r="Q83" s="13">
        <f t="shared" si="26"/>
        <v>1</v>
      </c>
      <c r="R83" s="13">
        <f t="shared" si="26"/>
        <v>160</v>
      </c>
      <c r="S83" s="13">
        <f t="shared" si="26"/>
        <v>50</v>
      </c>
      <c r="T83" s="13">
        <f t="shared" si="26"/>
        <v>0</v>
      </c>
      <c r="U83" s="13">
        <f t="shared" si="26"/>
        <v>0</v>
      </c>
      <c r="V83" s="13">
        <f t="shared" si="23"/>
        <v>211</v>
      </c>
      <c r="W83" s="13" t="str">
        <f t="shared" si="27"/>
        <v>D3</v>
      </c>
      <c r="X83" s="2" t="s">
        <v>247</v>
      </c>
    </row>
    <row r="84" spans="2:24" s="2" customFormat="1" ht="16.5" customHeight="1">
      <c r="B84" s="3" t="s">
        <v>139</v>
      </c>
      <c r="C84" s="3"/>
      <c r="D84" s="3"/>
      <c r="E84" s="3"/>
      <c r="F84" s="3"/>
      <c r="G84" s="4"/>
      <c r="H84" s="3"/>
      <c r="I84" s="5" t="s">
        <v>24</v>
      </c>
      <c r="J84" s="3" t="s">
        <v>23</v>
      </c>
      <c r="K84" s="3">
        <v>32</v>
      </c>
      <c r="L84" s="5" t="s">
        <v>16</v>
      </c>
      <c r="M84" s="5" t="s">
        <v>140</v>
      </c>
      <c r="N84" s="3" t="str">
        <f t="shared" si="25"/>
        <v>FB</v>
      </c>
      <c r="O84" s="10" t="str">
        <f t="shared" si="24"/>
        <v>FF01A0320028FB</v>
      </c>
      <c r="P84" s="12" t="s">
        <v>9</v>
      </c>
      <c r="Q84" s="13">
        <f t="shared" si="26"/>
        <v>1</v>
      </c>
      <c r="R84" s="13">
        <f t="shared" si="26"/>
        <v>160</v>
      </c>
      <c r="S84" s="13">
        <f t="shared" si="26"/>
        <v>50</v>
      </c>
      <c r="T84" s="13">
        <f t="shared" si="26"/>
        <v>0</v>
      </c>
      <c r="U84" s="13">
        <f t="shared" si="26"/>
        <v>40</v>
      </c>
      <c r="V84" s="13">
        <f t="shared" si="23"/>
        <v>251</v>
      </c>
      <c r="W84" s="13" t="str">
        <f t="shared" si="27"/>
        <v>FB</v>
      </c>
      <c r="X84" s="2" t="s">
        <v>248</v>
      </c>
    </row>
    <row r="85" spans="2:24" s="2" customFormat="1" ht="16.5" customHeight="1">
      <c r="B85" s="3" t="s">
        <v>141</v>
      </c>
      <c r="C85" s="3"/>
      <c r="D85" s="3"/>
      <c r="E85" s="3"/>
      <c r="F85" s="3"/>
      <c r="G85" s="4"/>
      <c r="H85" s="3"/>
      <c r="I85" s="5" t="s">
        <v>24</v>
      </c>
      <c r="J85" s="3" t="s">
        <v>23</v>
      </c>
      <c r="K85" s="3">
        <v>33</v>
      </c>
      <c r="L85" s="5" t="s">
        <v>16</v>
      </c>
      <c r="M85" s="5" t="s">
        <v>16</v>
      </c>
      <c r="N85" s="3" t="str">
        <f t="shared" si="25"/>
        <v>D4</v>
      </c>
      <c r="O85" s="10" t="str">
        <f t="shared" si="24"/>
        <v>FF01A0330000D4</v>
      </c>
      <c r="P85" s="12" t="s">
        <v>9</v>
      </c>
      <c r="Q85" s="13">
        <f t="shared" si="26"/>
        <v>1</v>
      </c>
      <c r="R85" s="13">
        <f t="shared" si="26"/>
        <v>160</v>
      </c>
      <c r="S85" s="13">
        <f t="shared" si="26"/>
        <v>51</v>
      </c>
      <c r="T85" s="13">
        <f t="shared" si="26"/>
        <v>0</v>
      </c>
      <c r="U85" s="13">
        <f t="shared" si="26"/>
        <v>0</v>
      </c>
      <c r="V85" s="13">
        <f t="shared" si="23"/>
        <v>212</v>
      </c>
      <c r="W85" s="13" t="str">
        <f t="shared" si="27"/>
        <v>D4</v>
      </c>
      <c r="X85" s="2" t="s">
        <v>249</v>
      </c>
    </row>
    <row r="86" spans="2:24" s="2" customFormat="1" ht="16.5" customHeight="1">
      <c r="B86" s="3" t="s">
        <v>142</v>
      </c>
      <c r="C86" s="3"/>
      <c r="D86" s="3"/>
      <c r="E86" s="3"/>
      <c r="F86" s="3"/>
      <c r="G86" s="4"/>
      <c r="H86" s="3"/>
      <c r="I86" s="5" t="s">
        <v>24</v>
      </c>
      <c r="J86" s="3" t="s">
        <v>23</v>
      </c>
      <c r="K86" s="3">
        <v>33</v>
      </c>
      <c r="L86" s="5" t="s">
        <v>16</v>
      </c>
      <c r="M86" s="5" t="s">
        <v>140</v>
      </c>
      <c r="N86" s="3" t="str">
        <f t="shared" si="25"/>
        <v>FC</v>
      </c>
      <c r="O86" s="10" t="str">
        <f t="shared" si="24"/>
        <v>FF01A0330028FC</v>
      </c>
      <c r="P86" s="12" t="s">
        <v>9</v>
      </c>
      <c r="Q86" s="13">
        <f t="shared" si="26"/>
        <v>1</v>
      </c>
      <c r="R86" s="13">
        <f t="shared" si="26"/>
        <v>160</v>
      </c>
      <c r="S86" s="13">
        <f t="shared" si="26"/>
        <v>51</v>
      </c>
      <c r="T86" s="13">
        <f t="shared" si="26"/>
        <v>0</v>
      </c>
      <c r="U86" s="13">
        <f t="shared" si="26"/>
        <v>40</v>
      </c>
      <c r="V86" s="13">
        <f t="shared" si="23"/>
        <v>252</v>
      </c>
      <c r="W86" s="13" t="str">
        <f t="shared" si="27"/>
        <v>FC</v>
      </c>
      <c r="X86" s="2" t="s">
        <v>250</v>
      </c>
    </row>
    <row r="87" spans="2:24" s="2" customFormat="1" ht="16.5" customHeight="1">
      <c r="B87" s="3" t="s">
        <v>143</v>
      </c>
      <c r="C87" s="3"/>
      <c r="D87" s="3"/>
      <c r="E87" s="3"/>
      <c r="F87" s="3"/>
      <c r="G87" s="4"/>
      <c r="H87" s="3"/>
      <c r="I87" s="5" t="s">
        <v>24</v>
      </c>
      <c r="J87" s="3" t="s">
        <v>23</v>
      </c>
      <c r="K87" s="3">
        <v>34</v>
      </c>
      <c r="L87" s="5" t="s">
        <v>16</v>
      </c>
      <c r="M87" s="5" t="s">
        <v>16</v>
      </c>
      <c r="N87" s="3" t="str">
        <f t="shared" si="25"/>
        <v>D5</v>
      </c>
      <c r="O87" s="10" t="str">
        <f t="shared" si="24"/>
        <v>FF01A0340000D5</v>
      </c>
      <c r="P87" s="12" t="s">
        <v>9</v>
      </c>
      <c r="Q87" s="13">
        <f t="shared" si="26"/>
        <v>1</v>
      </c>
      <c r="R87" s="13">
        <f t="shared" si="26"/>
        <v>160</v>
      </c>
      <c r="S87" s="13">
        <f t="shared" si="26"/>
        <v>52</v>
      </c>
      <c r="T87" s="13">
        <f t="shared" si="26"/>
        <v>0</v>
      </c>
      <c r="U87" s="13">
        <f t="shared" si="26"/>
        <v>0</v>
      </c>
      <c r="V87" s="13">
        <f t="shared" si="23"/>
        <v>213</v>
      </c>
      <c r="W87" s="13" t="str">
        <f t="shared" si="27"/>
        <v>D5</v>
      </c>
      <c r="X87" s="2" t="s">
        <v>251</v>
      </c>
    </row>
    <row r="88" spans="2:24" s="2" customFormat="1" ht="16.5" customHeight="1">
      <c r="B88" s="3" t="s">
        <v>144</v>
      </c>
      <c r="C88" s="3"/>
      <c r="D88" s="3"/>
      <c r="E88" s="3"/>
      <c r="F88" s="3"/>
      <c r="G88" s="4"/>
      <c r="H88" s="3"/>
      <c r="I88" s="5" t="s">
        <v>24</v>
      </c>
      <c r="J88" s="3" t="s">
        <v>23</v>
      </c>
      <c r="K88" s="3">
        <v>34</v>
      </c>
      <c r="L88" s="5" t="s">
        <v>16</v>
      </c>
      <c r="M88" s="5" t="s">
        <v>24</v>
      </c>
      <c r="N88" s="3" t="str">
        <f t="shared" si="25"/>
        <v>D6</v>
      </c>
      <c r="O88" s="10" t="str">
        <f t="shared" si="24"/>
        <v>FF01A0340001D6</v>
      </c>
      <c r="P88" s="12" t="s">
        <v>9</v>
      </c>
      <c r="Q88" s="13">
        <f t="shared" si="26"/>
        <v>1</v>
      </c>
      <c r="R88" s="13">
        <f t="shared" si="26"/>
        <v>160</v>
      </c>
      <c r="S88" s="13">
        <f t="shared" si="26"/>
        <v>52</v>
      </c>
      <c r="T88" s="13">
        <f t="shared" si="26"/>
        <v>0</v>
      </c>
      <c r="U88" s="13">
        <f t="shared" si="26"/>
        <v>1</v>
      </c>
      <c r="V88" s="13">
        <f t="shared" si="23"/>
        <v>214</v>
      </c>
      <c r="W88" s="13" t="str">
        <f t="shared" si="27"/>
        <v>D6</v>
      </c>
      <c r="X88" s="2" t="s">
        <v>252</v>
      </c>
    </row>
    <row r="89" spans="2:24" s="2" customFormat="1" ht="16.5" customHeight="1">
      <c r="B89" s="3" t="s">
        <v>25</v>
      </c>
      <c r="C89" s="3"/>
      <c r="D89" s="3"/>
      <c r="E89" s="3"/>
      <c r="F89" s="3"/>
      <c r="G89" s="4"/>
      <c r="H89" s="3"/>
      <c r="I89" s="5" t="s">
        <v>24</v>
      </c>
      <c r="J89" s="3" t="s">
        <v>23</v>
      </c>
      <c r="K89" s="3">
        <v>35</v>
      </c>
      <c r="L89" s="5" t="s">
        <v>16</v>
      </c>
      <c r="M89" s="5" t="s">
        <v>16</v>
      </c>
      <c r="N89" s="3" t="str">
        <f t="shared" si="25"/>
        <v>D6</v>
      </c>
      <c r="O89" s="10" t="str">
        <f t="shared" si="24"/>
        <v>FF01A0350000D6</v>
      </c>
      <c r="P89" s="12" t="s">
        <v>9</v>
      </c>
      <c r="Q89" s="13">
        <f t="shared" si="26"/>
        <v>1</v>
      </c>
      <c r="R89" s="13">
        <f t="shared" si="26"/>
        <v>160</v>
      </c>
      <c r="S89" s="13">
        <f t="shared" si="26"/>
        <v>53</v>
      </c>
      <c r="T89" s="13">
        <f t="shared" si="26"/>
        <v>0</v>
      </c>
      <c r="U89" s="13">
        <f t="shared" si="26"/>
        <v>0</v>
      </c>
      <c r="V89" s="13">
        <f t="shared" si="23"/>
        <v>214</v>
      </c>
      <c r="W89" s="13" t="str">
        <f t="shared" si="27"/>
        <v>D6</v>
      </c>
      <c r="X89" s="2" t="s">
        <v>253</v>
      </c>
    </row>
    <row r="90" spans="2:24" s="2" customFormat="1" ht="16.5" customHeight="1">
      <c r="B90" s="3" t="s">
        <v>26</v>
      </c>
      <c r="C90" s="3"/>
      <c r="D90" s="3"/>
      <c r="E90" s="3"/>
      <c r="F90" s="3"/>
      <c r="G90" s="4"/>
      <c r="H90" s="3"/>
      <c r="I90" s="5" t="s">
        <v>24</v>
      </c>
      <c r="J90" s="3" t="s">
        <v>23</v>
      </c>
      <c r="K90" s="3">
        <v>35</v>
      </c>
      <c r="L90" s="5" t="s">
        <v>16</v>
      </c>
      <c r="M90" s="5" t="s">
        <v>24</v>
      </c>
      <c r="N90" s="3" t="str">
        <f t="shared" si="25"/>
        <v>D7</v>
      </c>
      <c r="O90" s="10" t="str">
        <f t="shared" si="24"/>
        <v>FF01A0350001D7</v>
      </c>
      <c r="P90" s="12" t="s">
        <v>9</v>
      </c>
      <c r="Q90" s="13">
        <f t="shared" si="26"/>
        <v>1</v>
      </c>
      <c r="R90" s="13">
        <f t="shared" si="26"/>
        <v>160</v>
      </c>
      <c r="S90" s="13">
        <f t="shared" si="26"/>
        <v>53</v>
      </c>
      <c r="T90" s="13">
        <f t="shared" si="26"/>
        <v>0</v>
      </c>
      <c r="U90" s="13">
        <f t="shared" si="26"/>
        <v>1</v>
      </c>
      <c r="V90" s="13">
        <f t="shared" si="23"/>
        <v>215</v>
      </c>
      <c r="W90" s="13" t="str">
        <f t="shared" si="27"/>
        <v>D7</v>
      </c>
      <c r="X90" s="2" t="s">
        <v>254</v>
      </c>
    </row>
    <row r="91" spans="2:24" s="2" customFormat="1" ht="16.5" customHeight="1">
      <c r="B91" s="14" t="s">
        <v>27</v>
      </c>
      <c r="C91" s="14"/>
      <c r="D91" s="14"/>
      <c r="E91" s="14"/>
      <c r="F91" s="14"/>
      <c r="G91" s="15"/>
      <c r="H91" s="14"/>
      <c r="I91" s="16" t="s">
        <v>24</v>
      </c>
      <c r="J91" s="14" t="s">
        <v>23</v>
      </c>
      <c r="K91" s="14">
        <v>35</v>
      </c>
      <c r="L91" s="16" t="s">
        <v>16</v>
      </c>
      <c r="M91" s="16" t="s">
        <v>17</v>
      </c>
      <c r="N91" s="14" t="str">
        <f t="shared" si="25"/>
        <v>D8</v>
      </c>
      <c r="O91" s="17" t="str">
        <f t="shared" si="24"/>
        <v>FF01A0350002D8</v>
      </c>
      <c r="P91" s="18" t="s">
        <v>9</v>
      </c>
      <c r="Q91" s="19">
        <f t="shared" si="26"/>
        <v>1</v>
      </c>
      <c r="R91" s="19">
        <f t="shared" si="26"/>
        <v>160</v>
      </c>
      <c r="S91" s="19">
        <f t="shared" si="26"/>
        <v>53</v>
      </c>
      <c r="T91" s="19">
        <f t="shared" si="26"/>
        <v>0</v>
      </c>
      <c r="U91" s="19">
        <f t="shared" si="26"/>
        <v>2</v>
      </c>
      <c r="V91" s="19">
        <f t="shared" si="23"/>
        <v>216</v>
      </c>
      <c r="W91" s="19" t="str">
        <f t="shared" si="27"/>
        <v>D8</v>
      </c>
      <c r="X91" s="2" t="s">
        <v>255</v>
      </c>
    </row>
    <row r="92" spans="2:24" s="2" customFormat="1" ht="16.5" customHeight="1">
      <c r="B92" s="14" t="s">
        <v>145</v>
      </c>
      <c r="C92" s="14"/>
      <c r="D92" s="14"/>
      <c r="E92" s="14"/>
      <c r="F92" s="14"/>
      <c r="G92" s="15"/>
      <c r="H92" s="14"/>
      <c r="I92" s="16" t="s">
        <v>24</v>
      </c>
      <c r="J92" s="14" t="s">
        <v>23</v>
      </c>
      <c r="K92" s="14">
        <v>36</v>
      </c>
      <c r="L92" s="16" t="s">
        <v>16</v>
      </c>
      <c r="M92" s="16" t="s">
        <v>16</v>
      </c>
      <c r="N92" s="14" t="str">
        <f t="shared" si="25"/>
        <v>D7</v>
      </c>
      <c r="O92" s="17" t="str">
        <f t="shared" si="24"/>
        <v>FF01A0360000D7</v>
      </c>
      <c r="P92" s="18" t="s">
        <v>9</v>
      </c>
      <c r="Q92" s="19">
        <f t="shared" si="26"/>
        <v>1</v>
      </c>
      <c r="R92" s="19">
        <f t="shared" si="26"/>
        <v>160</v>
      </c>
      <c r="S92" s="19">
        <f t="shared" si="26"/>
        <v>54</v>
      </c>
      <c r="T92" s="19">
        <f t="shared" si="26"/>
        <v>0</v>
      </c>
      <c r="U92" s="19">
        <f t="shared" si="26"/>
        <v>0</v>
      </c>
      <c r="V92" s="19">
        <f t="shared" si="23"/>
        <v>215</v>
      </c>
      <c r="W92" s="19" t="str">
        <f t="shared" si="27"/>
        <v>D7</v>
      </c>
      <c r="X92" s="2" t="s">
        <v>256</v>
      </c>
    </row>
    <row r="93" spans="2:24" s="2" customFormat="1" ht="16.5" customHeight="1">
      <c r="B93" s="14" t="s">
        <v>146</v>
      </c>
      <c r="C93" s="14"/>
      <c r="D93" s="14"/>
      <c r="E93" s="14"/>
      <c r="F93" s="14"/>
      <c r="G93" s="15"/>
      <c r="H93" s="14"/>
      <c r="I93" s="16" t="s">
        <v>24</v>
      </c>
      <c r="J93" s="14" t="s">
        <v>23</v>
      </c>
      <c r="K93" s="14">
        <v>36</v>
      </c>
      <c r="L93" s="16" t="s">
        <v>16</v>
      </c>
      <c r="M93" s="16" t="s">
        <v>24</v>
      </c>
      <c r="N93" s="14" t="str">
        <f t="shared" si="25"/>
        <v>D8</v>
      </c>
      <c r="O93" s="17" t="str">
        <f t="shared" si="24"/>
        <v>FF01A0360001D8</v>
      </c>
      <c r="P93" s="18" t="s">
        <v>9</v>
      </c>
      <c r="Q93" s="19">
        <f t="shared" si="26"/>
        <v>1</v>
      </c>
      <c r="R93" s="19">
        <f t="shared" si="26"/>
        <v>160</v>
      </c>
      <c r="S93" s="19">
        <f t="shared" si="26"/>
        <v>54</v>
      </c>
      <c r="T93" s="19">
        <f t="shared" si="26"/>
        <v>0</v>
      </c>
      <c r="U93" s="19">
        <f t="shared" si="26"/>
        <v>1</v>
      </c>
      <c r="V93" s="19">
        <f t="shared" si="23"/>
        <v>216</v>
      </c>
      <c r="W93" s="19" t="str">
        <f t="shared" si="27"/>
        <v>D8</v>
      </c>
      <c r="X93" s="2" t="s">
        <v>257</v>
      </c>
    </row>
    <row r="94" spans="2:24" s="2" customFormat="1" ht="16.5" customHeight="1">
      <c r="B94" s="14" t="s">
        <v>147</v>
      </c>
      <c r="C94" s="14"/>
      <c r="D94" s="14"/>
      <c r="E94" s="14"/>
      <c r="F94" s="14"/>
      <c r="G94" s="15"/>
      <c r="H94" s="14"/>
      <c r="I94" s="16" t="s">
        <v>24</v>
      </c>
      <c r="J94" s="14" t="s">
        <v>23</v>
      </c>
      <c r="K94" s="14">
        <v>36</v>
      </c>
      <c r="L94" s="16" t="s">
        <v>16</v>
      </c>
      <c r="M94" s="16" t="s">
        <v>17</v>
      </c>
      <c r="N94" s="14" t="str">
        <f t="shared" si="25"/>
        <v>D9</v>
      </c>
      <c r="O94" s="17" t="str">
        <f t="shared" si="24"/>
        <v>FF01A0360002D9</v>
      </c>
      <c r="P94" s="18" t="s">
        <v>9</v>
      </c>
      <c r="Q94" s="19">
        <f t="shared" si="26"/>
        <v>1</v>
      </c>
      <c r="R94" s="19">
        <f t="shared" si="26"/>
        <v>160</v>
      </c>
      <c r="S94" s="19">
        <f t="shared" si="26"/>
        <v>54</v>
      </c>
      <c r="T94" s="19">
        <f t="shared" si="26"/>
        <v>0</v>
      </c>
      <c r="U94" s="19">
        <f t="shared" si="26"/>
        <v>2</v>
      </c>
      <c r="V94" s="19">
        <f t="shared" si="23"/>
        <v>217</v>
      </c>
      <c r="W94" s="19" t="str">
        <f t="shared" si="27"/>
        <v>D9</v>
      </c>
      <c r="X94" s="2" t="s">
        <v>258</v>
      </c>
    </row>
    <row r="95" spans="2:24" s="2" customFormat="1" ht="16.5" customHeight="1">
      <c r="B95" s="14" t="s">
        <v>148</v>
      </c>
      <c r="C95" s="14"/>
      <c r="D95" s="14"/>
      <c r="E95" s="14"/>
      <c r="F95" s="14"/>
      <c r="G95" s="15"/>
      <c r="H95" s="14"/>
      <c r="I95" s="16" t="s">
        <v>24</v>
      </c>
      <c r="J95" s="14" t="s">
        <v>23</v>
      </c>
      <c r="K95" s="14">
        <v>36</v>
      </c>
      <c r="L95" s="16" t="s">
        <v>16</v>
      </c>
      <c r="M95" s="16" t="s">
        <v>91</v>
      </c>
      <c r="N95" s="14" t="str">
        <f t="shared" si="25"/>
        <v>DA</v>
      </c>
      <c r="O95" s="17" t="str">
        <f t="shared" si="24"/>
        <v>FF01A0360003DA</v>
      </c>
      <c r="P95" s="18" t="s">
        <v>9</v>
      </c>
      <c r="Q95" s="19">
        <f t="shared" si="26"/>
        <v>1</v>
      </c>
      <c r="R95" s="19">
        <f t="shared" si="26"/>
        <v>160</v>
      </c>
      <c r="S95" s="19">
        <f t="shared" si="26"/>
        <v>54</v>
      </c>
      <c r="T95" s="19">
        <f t="shared" si="26"/>
        <v>0</v>
      </c>
      <c r="U95" s="19">
        <f t="shared" si="26"/>
        <v>3</v>
      </c>
      <c r="V95" s="19">
        <f t="shared" si="23"/>
        <v>218</v>
      </c>
      <c r="W95" s="19" t="str">
        <f t="shared" si="27"/>
        <v>DA</v>
      </c>
      <c r="X95" s="2" t="s">
        <v>259</v>
      </c>
    </row>
    <row r="96" spans="2:24" s="2" customFormat="1" ht="16.5" customHeight="1">
      <c r="B96" s="14" t="s">
        <v>149</v>
      </c>
      <c r="C96" s="14"/>
      <c r="D96" s="14"/>
      <c r="E96" s="14"/>
      <c r="F96" s="14"/>
      <c r="G96" s="15"/>
      <c r="H96" s="14"/>
      <c r="I96" s="16" t="s">
        <v>24</v>
      </c>
      <c r="J96" s="14" t="s">
        <v>80</v>
      </c>
      <c r="K96" s="14">
        <v>40</v>
      </c>
      <c r="L96" s="16" t="s">
        <v>16</v>
      </c>
      <c r="M96" s="16" t="s">
        <v>16</v>
      </c>
      <c r="N96" s="14" t="str">
        <f t="shared" si="25"/>
        <v>E2</v>
      </c>
      <c r="O96" s="17" t="str">
        <f t="shared" si="24"/>
        <v>FF01A1400000E2</v>
      </c>
      <c r="P96" s="18" t="s">
        <v>9</v>
      </c>
      <c r="Q96" s="19">
        <f t="shared" ref="Q96:U102" si="28">HEX2DEC(I96)</f>
        <v>1</v>
      </c>
      <c r="R96" s="19">
        <f t="shared" si="28"/>
        <v>161</v>
      </c>
      <c r="S96" s="19">
        <f t="shared" si="28"/>
        <v>64</v>
      </c>
      <c r="T96" s="19">
        <f t="shared" si="28"/>
        <v>0</v>
      </c>
      <c r="U96" s="19">
        <f t="shared" si="28"/>
        <v>0</v>
      </c>
      <c r="V96" s="19">
        <f t="shared" si="23"/>
        <v>226</v>
      </c>
      <c r="W96" s="19" t="str">
        <f t="shared" si="27"/>
        <v>E2</v>
      </c>
      <c r="X96" s="2" t="s">
        <v>260</v>
      </c>
    </row>
    <row r="97" spans="2:24" s="2" customFormat="1" ht="16.5" customHeight="1">
      <c r="B97" s="14" t="s">
        <v>150</v>
      </c>
      <c r="C97" s="14"/>
      <c r="D97" s="14"/>
      <c r="E97" s="14"/>
      <c r="F97" s="14"/>
      <c r="G97" s="15"/>
      <c r="H97" s="14"/>
      <c r="I97" s="16" t="s">
        <v>24</v>
      </c>
      <c r="J97" s="14" t="s">
        <v>23</v>
      </c>
      <c r="K97" s="14">
        <v>41</v>
      </c>
      <c r="L97" s="16" t="s">
        <v>16</v>
      </c>
      <c r="M97" s="16" t="s">
        <v>16</v>
      </c>
      <c r="N97" s="14" t="str">
        <f t="shared" si="25"/>
        <v>E2</v>
      </c>
      <c r="O97" s="17" t="str">
        <f t="shared" si="24"/>
        <v>FF01A0410000E2</v>
      </c>
      <c r="P97" s="18" t="s">
        <v>9</v>
      </c>
      <c r="Q97" s="19">
        <f t="shared" si="28"/>
        <v>1</v>
      </c>
      <c r="R97" s="19">
        <f t="shared" si="28"/>
        <v>160</v>
      </c>
      <c r="S97" s="19">
        <f t="shared" si="28"/>
        <v>65</v>
      </c>
      <c r="T97" s="19">
        <f t="shared" si="28"/>
        <v>0</v>
      </c>
      <c r="U97" s="19">
        <f t="shared" si="28"/>
        <v>0</v>
      </c>
      <c r="V97" s="19">
        <f t="shared" si="23"/>
        <v>226</v>
      </c>
      <c r="W97" s="19" t="str">
        <f t="shared" si="27"/>
        <v>E2</v>
      </c>
      <c r="X97" s="2" t="s">
        <v>261</v>
      </c>
    </row>
    <row r="98" spans="2:24" s="2" customFormat="1" ht="16.5" customHeight="1">
      <c r="B98" s="14" t="s">
        <v>151</v>
      </c>
      <c r="C98" s="14"/>
      <c r="D98" s="14"/>
      <c r="E98" s="14"/>
      <c r="F98" s="14"/>
      <c r="G98" s="15"/>
      <c r="H98" s="14"/>
      <c r="I98" s="16" t="s">
        <v>24</v>
      </c>
      <c r="J98" s="14" t="s">
        <v>23</v>
      </c>
      <c r="K98" s="14">
        <v>42</v>
      </c>
      <c r="L98" s="16" t="s">
        <v>16</v>
      </c>
      <c r="M98" s="16" t="s">
        <v>16</v>
      </c>
      <c r="N98" s="14" t="str">
        <f t="shared" si="25"/>
        <v>E3</v>
      </c>
      <c r="O98" s="17" t="str">
        <f t="shared" si="24"/>
        <v>FF01A0420000E3</v>
      </c>
      <c r="P98" s="18" t="s">
        <v>9</v>
      </c>
      <c r="Q98" s="19">
        <f t="shared" si="28"/>
        <v>1</v>
      </c>
      <c r="R98" s="19">
        <f t="shared" si="28"/>
        <v>160</v>
      </c>
      <c r="S98" s="19">
        <f t="shared" si="28"/>
        <v>66</v>
      </c>
      <c r="T98" s="19">
        <f t="shared" si="28"/>
        <v>0</v>
      </c>
      <c r="U98" s="19">
        <f t="shared" si="28"/>
        <v>0</v>
      </c>
      <c r="V98" s="19">
        <f t="shared" si="23"/>
        <v>227</v>
      </c>
      <c r="W98" s="19" t="str">
        <f t="shared" si="27"/>
        <v>E3</v>
      </c>
      <c r="X98" s="2" t="s">
        <v>262</v>
      </c>
    </row>
    <row r="99" spans="2:24" s="2" customFormat="1" ht="16.5" customHeight="1">
      <c r="B99" s="14" t="s">
        <v>152</v>
      </c>
      <c r="C99" s="14"/>
      <c r="D99" s="14"/>
      <c r="E99" s="14"/>
      <c r="F99" s="14"/>
      <c r="G99" s="15"/>
      <c r="H99" s="14"/>
      <c r="I99" s="16" t="s">
        <v>24</v>
      </c>
      <c r="J99" s="14" t="s">
        <v>23</v>
      </c>
      <c r="K99" s="14">
        <v>42</v>
      </c>
      <c r="L99" s="16" t="s">
        <v>16</v>
      </c>
      <c r="M99" s="16" t="s">
        <v>24</v>
      </c>
      <c r="N99" s="14" t="str">
        <f t="shared" si="25"/>
        <v>E4</v>
      </c>
      <c r="O99" s="17" t="str">
        <f t="shared" si="24"/>
        <v>FF01A0420001E4</v>
      </c>
      <c r="P99" s="18" t="s">
        <v>9</v>
      </c>
      <c r="Q99" s="19">
        <f t="shared" si="28"/>
        <v>1</v>
      </c>
      <c r="R99" s="19">
        <f t="shared" si="28"/>
        <v>160</v>
      </c>
      <c r="S99" s="19">
        <f t="shared" si="28"/>
        <v>66</v>
      </c>
      <c r="T99" s="19">
        <f t="shared" si="28"/>
        <v>0</v>
      </c>
      <c r="U99" s="19">
        <f t="shared" si="28"/>
        <v>1</v>
      </c>
      <c r="V99" s="19">
        <f t="shared" si="23"/>
        <v>228</v>
      </c>
      <c r="W99" s="19" t="str">
        <f t="shared" si="27"/>
        <v>E4</v>
      </c>
      <c r="X99" s="2" t="s">
        <v>263</v>
      </c>
    </row>
    <row r="100" spans="2:24" s="2" customFormat="1" ht="16.5" customHeight="1">
      <c r="B100" s="14" t="s">
        <v>153</v>
      </c>
      <c r="C100" s="14"/>
      <c r="D100" s="14"/>
      <c r="E100" s="14"/>
      <c r="F100" s="14"/>
      <c r="G100" s="15"/>
      <c r="H100" s="14"/>
      <c r="I100" s="16" t="s">
        <v>24</v>
      </c>
      <c r="J100" s="14" t="s">
        <v>23</v>
      </c>
      <c r="K100" s="14">
        <v>42</v>
      </c>
      <c r="L100" s="16" t="s">
        <v>16</v>
      </c>
      <c r="M100" s="16" t="s">
        <v>17</v>
      </c>
      <c r="N100" s="14" t="str">
        <f t="shared" si="25"/>
        <v>E5</v>
      </c>
      <c r="O100" s="17" t="str">
        <f t="shared" si="24"/>
        <v>FF01A0420002E5</v>
      </c>
      <c r="P100" s="18" t="s">
        <v>9</v>
      </c>
      <c r="Q100" s="19">
        <f t="shared" si="28"/>
        <v>1</v>
      </c>
      <c r="R100" s="19">
        <f t="shared" si="28"/>
        <v>160</v>
      </c>
      <c r="S100" s="19">
        <f t="shared" si="28"/>
        <v>66</v>
      </c>
      <c r="T100" s="19">
        <f t="shared" si="28"/>
        <v>0</v>
      </c>
      <c r="U100" s="19">
        <f t="shared" si="28"/>
        <v>2</v>
      </c>
      <c r="V100" s="19">
        <f t="shared" si="23"/>
        <v>229</v>
      </c>
      <c r="W100" s="19" t="str">
        <f t="shared" si="27"/>
        <v>E5</v>
      </c>
      <c r="X100" s="2" t="s">
        <v>264</v>
      </c>
    </row>
    <row r="101" spans="2:24" s="2" customFormat="1" ht="16.5" customHeight="1">
      <c r="B101" s="14" t="s">
        <v>154</v>
      </c>
      <c r="C101" s="14"/>
      <c r="D101" s="14"/>
      <c r="E101" s="14"/>
      <c r="F101" s="14"/>
      <c r="G101" s="15"/>
      <c r="H101" s="14"/>
      <c r="I101" s="16" t="s">
        <v>24</v>
      </c>
      <c r="J101" s="14" t="s">
        <v>23</v>
      </c>
      <c r="K101" s="14">
        <v>43</v>
      </c>
      <c r="L101" s="16" t="s">
        <v>16</v>
      </c>
      <c r="M101" s="16" t="s">
        <v>24</v>
      </c>
      <c r="N101" s="14" t="str">
        <f t="shared" si="25"/>
        <v>E5</v>
      </c>
      <c r="O101" s="17" t="str">
        <f t="shared" si="24"/>
        <v>FF01A0430001E5</v>
      </c>
      <c r="P101" s="18" t="s">
        <v>9</v>
      </c>
      <c r="Q101" s="19">
        <f t="shared" si="28"/>
        <v>1</v>
      </c>
      <c r="R101" s="19">
        <f t="shared" si="28"/>
        <v>160</v>
      </c>
      <c r="S101" s="19">
        <f t="shared" si="28"/>
        <v>67</v>
      </c>
      <c r="T101" s="19">
        <f t="shared" si="28"/>
        <v>0</v>
      </c>
      <c r="U101" s="19">
        <f t="shared" si="28"/>
        <v>1</v>
      </c>
      <c r="V101" s="19">
        <f t="shared" si="23"/>
        <v>229</v>
      </c>
      <c r="W101" s="19" t="str">
        <f t="shared" si="27"/>
        <v>E5</v>
      </c>
      <c r="X101" s="2" t="s">
        <v>265</v>
      </c>
    </row>
    <row r="102" spans="2:24" s="2" customFormat="1" ht="16.5" customHeight="1">
      <c r="B102" s="14" t="s">
        <v>155</v>
      </c>
      <c r="C102" s="14"/>
      <c r="D102" s="14"/>
      <c r="E102" s="14"/>
      <c r="F102" s="14"/>
      <c r="G102" s="15"/>
      <c r="H102" s="14"/>
      <c r="I102" s="16" t="s">
        <v>24</v>
      </c>
      <c r="J102" s="14" t="s">
        <v>23</v>
      </c>
      <c r="K102" s="14">
        <v>43</v>
      </c>
      <c r="L102" s="16" t="s">
        <v>16</v>
      </c>
      <c r="M102" s="16" t="s">
        <v>124</v>
      </c>
      <c r="N102" s="14" t="str">
        <f t="shared" si="25"/>
        <v>98</v>
      </c>
      <c r="O102" s="17" t="str">
        <f t="shared" si="24"/>
        <v>FF01A04300B498</v>
      </c>
      <c r="P102" s="18" t="s">
        <v>9</v>
      </c>
      <c r="Q102" s="19">
        <f t="shared" si="28"/>
        <v>1</v>
      </c>
      <c r="R102" s="19">
        <f t="shared" si="28"/>
        <v>160</v>
      </c>
      <c r="S102" s="19">
        <f t="shared" si="28"/>
        <v>67</v>
      </c>
      <c r="T102" s="19">
        <f t="shared" si="28"/>
        <v>0</v>
      </c>
      <c r="U102" s="19">
        <f t="shared" si="28"/>
        <v>180</v>
      </c>
      <c r="V102" s="19">
        <f t="shared" si="23"/>
        <v>408</v>
      </c>
      <c r="W102" s="19" t="str">
        <f t="shared" si="27"/>
        <v>98</v>
      </c>
      <c r="X102" s="2" t="s">
        <v>266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CE7D-D20F-41DE-9075-E508ED12C670}">
  <dimension ref="B1:H66"/>
  <sheetViews>
    <sheetView topLeftCell="A35" zoomScaleNormal="100" workbookViewId="0">
      <selection activeCell="B64" sqref="B64"/>
    </sheetView>
  </sheetViews>
  <sheetFormatPr defaultColWidth="11.5546875" defaultRowHeight="17.25"/>
  <cols>
    <col min="1" max="1" width="0.88671875" customWidth="1"/>
    <col min="2" max="2" width="13.109375" customWidth="1"/>
    <col min="3" max="3" width="26.44140625" customWidth="1"/>
    <col min="4" max="4" width="19.33203125" customWidth="1"/>
    <col min="5" max="5" width="16.6640625" customWidth="1"/>
    <col min="6" max="6" width="27.109375" customWidth="1"/>
    <col min="7" max="7" width="4.6640625" style="70" bestFit="1" customWidth="1"/>
  </cols>
  <sheetData>
    <row r="1" spans="2:8">
      <c r="B1" s="69"/>
      <c r="C1" s="69"/>
      <c r="D1" s="69"/>
      <c r="H1" s="70" t="s">
        <v>1107</v>
      </c>
    </row>
    <row r="2" spans="2:8" s="2" customFormat="1">
      <c r="B2" s="76" t="s">
        <v>701</v>
      </c>
      <c r="C2" s="76" t="s">
        <v>7</v>
      </c>
      <c r="D2" s="76" t="s">
        <v>1108</v>
      </c>
      <c r="E2" s="76" t="s">
        <v>1109</v>
      </c>
      <c r="F2" s="76" t="s">
        <v>1112</v>
      </c>
      <c r="G2" s="76" t="s">
        <v>307</v>
      </c>
      <c r="H2" s="76" t="s">
        <v>320</v>
      </c>
    </row>
    <row r="3" spans="2:8">
      <c r="B3" s="78" t="s">
        <v>1137</v>
      </c>
      <c r="C3" s="78" t="str">
        <f t="shared" ref="C3:C19" si="0">IF(G3="get", D3, D3&amp;"="&amp;E3)</f>
        <v>preset=1</v>
      </c>
      <c r="D3" s="78" t="s">
        <v>1136</v>
      </c>
      <c r="E3" s="78">
        <v>1</v>
      </c>
      <c r="F3" s="78" t="s">
        <v>1152</v>
      </c>
      <c r="G3" s="78" t="s">
        <v>1113</v>
      </c>
      <c r="H3" s="78"/>
    </row>
    <row r="4" spans="2:8">
      <c r="B4" s="78" t="s">
        <v>1143</v>
      </c>
      <c r="C4" s="78" t="str">
        <f t="shared" si="0"/>
        <v>preset=8</v>
      </c>
      <c r="D4" s="78" t="s">
        <v>1136</v>
      </c>
      <c r="E4" s="78">
        <v>8</v>
      </c>
      <c r="F4" s="78" t="s">
        <v>1152</v>
      </c>
      <c r="G4" s="78" t="s">
        <v>1113</v>
      </c>
      <c r="H4" s="78"/>
    </row>
    <row r="5" spans="2:8">
      <c r="B5" s="78" t="s">
        <v>1138</v>
      </c>
      <c r="C5" s="78" t="str">
        <f t="shared" si="0"/>
        <v>preset=71</v>
      </c>
      <c r="D5" s="78" t="s">
        <v>1136</v>
      </c>
      <c r="E5" s="78">
        <v>71</v>
      </c>
      <c r="F5" s="78" t="s">
        <v>1152</v>
      </c>
      <c r="G5" s="78" t="s">
        <v>1113</v>
      </c>
      <c r="H5" s="78"/>
    </row>
    <row r="6" spans="2:8">
      <c r="B6" s="78" t="s">
        <v>1140</v>
      </c>
      <c r="C6" s="78" t="str">
        <f t="shared" si="0"/>
        <v>preset=76</v>
      </c>
      <c r="D6" s="78" t="s">
        <v>1136</v>
      </c>
      <c r="E6" s="78">
        <v>76</v>
      </c>
      <c r="F6" s="78" t="s">
        <v>1152</v>
      </c>
      <c r="G6" s="78" t="s">
        <v>1113</v>
      </c>
      <c r="H6" s="78"/>
    </row>
    <row r="7" spans="2:8">
      <c r="B7" s="78" t="s">
        <v>1139</v>
      </c>
      <c r="C7" s="78" t="str">
        <f t="shared" si="0"/>
        <v>preset=77</v>
      </c>
      <c r="D7" s="78" t="s">
        <v>1136</v>
      </c>
      <c r="E7" s="78">
        <v>77</v>
      </c>
      <c r="F7" s="78" t="s">
        <v>1152</v>
      </c>
      <c r="G7" s="78" t="s">
        <v>1113</v>
      </c>
      <c r="H7" s="78"/>
    </row>
    <row r="8" spans="2:8">
      <c r="B8" s="78" t="s">
        <v>1141</v>
      </c>
      <c r="C8" s="78" t="str">
        <f t="shared" si="0"/>
        <v>preset=87</v>
      </c>
      <c r="D8" s="78" t="s">
        <v>1136</v>
      </c>
      <c r="E8" s="78">
        <v>87</v>
      </c>
      <c r="F8" s="78" t="s">
        <v>1152</v>
      </c>
      <c r="G8" s="78" t="s">
        <v>1113</v>
      </c>
      <c r="H8" s="78"/>
    </row>
    <row r="9" spans="2:8">
      <c r="B9" s="78" t="s">
        <v>1142</v>
      </c>
      <c r="C9" s="78" t="str">
        <f t="shared" si="0"/>
        <v>preset=88</v>
      </c>
      <c r="D9" s="78" t="s">
        <v>1136</v>
      </c>
      <c r="E9" s="78">
        <v>88</v>
      </c>
      <c r="F9" s="78" t="s">
        <v>1152</v>
      </c>
      <c r="G9" s="78" t="s">
        <v>1113</v>
      </c>
      <c r="H9" s="78"/>
    </row>
    <row r="10" spans="2:8">
      <c r="B10" s="78" t="s">
        <v>1154</v>
      </c>
      <c r="C10" s="78" t="str">
        <f t="shared" si="0"/>
        <v>app,video_mode=set,NTSC</v>
      </c>
      <c r="D10" s="78" t="s">
        <v>1155</v>
      </c>
      <c r="E10" s="78" t="s">
        <v>1156</v>
      </c>
      <c r="F10" s="78" t="s">
        <v>1159</v>
      </c>
      <c r="G10" s="78" t="s">
        <v>1113</v>
      </c>
      <c r="H10" s="78"/>
    </row>
    <row r="11" spans="2:8">
      <c r="B11" s="78" t="s">
        <v>1157</v>
      </c>
      <c r="C11" s="78" t="str">
        <f t="shared" si="0"/>
        <v>app,video_mode=set,PAL</v>
      </c>
      <c r="D11" s="78" t="s">
        <v>1155</v>
      </c>
      <c r="E11" s="78" t="s">
        <v>1158</v>
      </c>
      <c r="F11" s="78" t="s">
        <v>1159</v>
      </c>
      <c r="G11" s="78" t="s">
        <v>1113</v>
      </c>
      <c r="H11" s="78"/>
    </row>
    <row r="12" spans="2:8" ht="27">
      <c r="B12" s="78" t="s">
        <v>1162</v>
      </c>
      <c r="C12" s="78" t="str">
        <f t="shared" si="0"/>
        <v>app,video_src=set,1920x1080_30fps</v>
      </c>
      <c r="D12" s="78" t="s">
        <v>1164</v>
      </c>
      <c r="E12" s="78" t="s">
        <v>1160</v>
      </c>
      <c r="F12" s="78" t="s">
        <v>1159</v>
      </c>
      <c r="G12" s="78" t="s">
        <v>1113</v>
      </c>
      <c r="H12" s="78"/>
    </row>
    <row r="13" spans="2:8" ht="27">
      <c r="B13" s="78" t="s">
        <v>1163</v>
      </c>
      <c r="C13" s="78" t="str">
        <f t="shared" si="0"/>
        <v>app,video_src=set,1920x1080_60fps</v>
      </c>
      <c r="D13" s="78" t="s">
        <v>1164</v>
      </c>
      <c r="E13" s="78" t="s">
        <v>1161</v>
      </c>
      <c r="F13" s="78" t="s">
        <v>1159</v>
      </c>
      <c r="G13" s="78" t="s">
        <v>1113</v>
      </c>
      <c r="H13" s="78"/>
    </row>
    <row r="14" spans="2:8">
      <c r="B14" s="78" t="s">
        <v>1167</v>
      </c>
      <c r="C14" s="78" t="str">
        <f t="shared" si="0"/>
        <v>app,video_enc#_codec=set,H265MP</v>
      </c>
      <c r="D14" s="78" t="s">
        <v>1170</v>
      </c>
      <c r="E14" s="78" t="s">
        <v>1166</v>
      </c>
      <c r="F14" s="78" t="s">
        <v>1165</v>
      </c>
      <c r="G14" s="78" t="s">
        <v>1113</v>
      </c>
      <c r="H14" s="78"/>
    </row>
    <row r="15" spans="2:8">
      <c r="B15" s="78" t="s">
        <v>1168</v>
      </c>
      <c r="C15" s="78" t="str">
        <f t="shared" si="0"/>
        <v>app,video_enc#_codec=set,H264MP</v>
      </c>
      <c r="D15" s="78" t="s">
        <v>1170</v>
      </c>
      <c r="E15" s="78" t="s">
        <v>1169</v>
      </c>
      <c r="F15" s="78" t="s">
        <v>1165</v>
      </c>
      <c r="G15" s="78" t="s">
        <v>1113</v>
      </c>
      <c r="H15" s="78"/>
    </row>
    <row r="16" spans="2:8">
      <c r="B16" s="78" t="s">
        <v>1171</v>
      </c>
      <c r="C16" s="78" t="str">
        <f t="shared" si="0"/>
        <v>app,video_enc#_codec=set,MJPEG</v>
      </c>
      <c r="D16" s="78" t="s">
        <v>1170</v>
      </c>
      <c r="E16" s="78" t="s">
        <v>1172</v>
      </c>
      <c r="F16" s="78" t="s">
        <v>1165</v>
      </c>
      <c r="G16" s="78" t="s">
        <v>1113</v>
      </c>
      <c r="H16" s="78"/>
    </row>
    <row r="17" spans="2:8">
      <c r="B17" s="78" t="s">
        <v>1177</v>
      </c>
      <c r="C17" s="78" t="str">
        <f t="shared" si="0"/>
        <v>app,video_enc#_fps=set,1</v>
      </c>
      <c r="D17" s="78" t="s">
        <v>1173</v>
      </c>
      <c r="E17" s="78" t="s">
        <v>1174</v>
      </c>
      <c r="F17" s="78" t="s">
        <v>1165</v>
      </c>
      <c r="G17" s="78" t="s">
        <v>1113</v>
      </c>
      <c r="H17" s="78"/>
    </row>
    <row r="18" spans="2:8">
      <c r="B18" s="78" t="s">
        <v>1178</v>
      </c>
      <c r="C18" s="78" t="str">
        <f t="shared" si="0"/>
        <v>app,video_enc#_fps=set,30</v>
      </c>
      <c r="D18" s="78" t="s">
        <v>1173</v>
      </c>
      <c r="E18" s="78" t="s">
        <v>1175</v>
      </c>
      <c r="F18" s="78" t="s">
        <v>1165</v>
      </c>
      <c r="G18" s="78" t="s">
        <v>1113</v>
      </c>
      <c r="H18" s="78"/>
    </row>
    <row r="19" spans="2:8">
      <c r="B19" s="78" t="s">
        <v>1179</v>
      </c>
      <c r="C19" s="78" t="str">
        <f t="shared" si="0"/>
        <v>app,video_enc#_fps=set,60</v>
      </c>
      <c r="D19" s="78" t="s">
        <v>1173</v>
      </c>
      <c r="E19" s="78" t="s">
        <v>1176</v>
      </c>
      <c r="F19" s="78" t="s">
        <v>1165</v>
      </c>
      <c r="G19" s="78" t="s">
        <v>1113</v>
      </c>
      <c r="H19" s="78"/>
    </row>
    <row r="20" spans="2:8">
      <c r="B20" s="78" t="s">
        <v>19</v>
      </c>
      <c r="C20" s="78" t="str">
        <f>IF(G20="get", D20, D20&amp;"="&amp;E20)</f>
        <v>group,app,flip=basic,set,enable</v>
      </c>
      <c r="D20" s="78" t="s">
        <v>1146</v>
      </c>
      <c r="E20" s="78" t="s">
        <v>1147</v>
      </c>
      <c r="F20" s="78" t="s">
        <v>1153</v>
      </c>
      <c r="G20" s="78" t="s">
        <v>1113</v>
      </c>
      <c r="H20" s="78"/>
    </row>
    <row r="21" spans="2:8">
      <c r="B21" s="78" t="s">
        <v>20</v>
      </c>
      <c r="C21" s="78" t="str">
        <f t="shared" ref="C21:C66" si="1">IF(G21="get", D21, D21&amp;"="&amp;E21)</f>
        <v>group,app,flip=basic,set,1</v>
      </c>
      <c r="D21" s="78" t="s">
        <v>1146</v>
      </c>
      <c r="E21" s="78" t="s">
        <v>1148</v>
      </c>
      <c r="F21" s="78" t="s">
        <v>1153</v>
      </c>
      <c r="G21" s="78" t="s">
        <v>1113</v>
      </c>
      <c r="H21" s="78"/>
    </row>
    <row r="22" spans="2:8">
      <c r="B22" s="78" t="s">
        <v>21</v>
      </c>
      <c r="C22" s="78" t="str">
        <f t="shared" si="1"/>
        <v>group,app,mirror=basic,set,enable</v>
      </c>
      <c r="D22" s="78" t="s">
        <v>1151</v>
      </c>
      <c r="E22" s="78" t="s">
        <v>1147</v>
      </c>
      <c r="F22" s="78" t="s">
        <v>1153</v>
      </c>
      <c r="G22" s="78" t="s">
        <v>1113</v>
      </c>
      <c r="H22" s="78"/>
    </row>
    <row r="23" spans="2:8">
      <c r="B23" s="78" t="s">
        <v>22</v>
      </c>
      <c r="C23" s="78" t="str">
        <f t="shared" si="1"/>
        <v>group,app,mirror=basic,set,1</v>
      </c>
      <c r="D23" s="78" t="s">
        <v>1151</v>
      </c>
      <c r="E23" s="78" t="s">
        <v>1148</v>
      </c>
      <c r="F23" s="78" t="s">
        <v>1153</v>
      </c>
      <c r="G23" s="78" t="s">
        <v>1113</v>
      </c>
      <c r="H23" s="78"/>
    </row>
    <row r="24" spans="2:8">
      <c r="B24" s="78" t="s">
        <v>1144</v>
      </c>
      <c r="C24" s="78" t="str">
        <f t="shared" si="1"/>
        <v>group,app,focus_mode=af,set,auto</v>
      </c>
      <c r="D24" s="78" t="s">
        <v>1182</v>
      </c>
      <c r="E24" s="78" t="s">
        <v>1149</v>
      </c>
      <c r="F24" s="78" t="s">
        <v>1153</v>
      </c>
      <c r="G24" s="78" t="s">
        <v>1113</v>
      </c>
      <c r="H24" s="78"/>
    </row>
    <row r="25" spans="2:8">
      <c r="B25" s="78" t="s">
        <v>1145</v>
      </c>
      <c r="C25" s="78" t="str">
        <f t="shared" si="1"/>
        <v>group,app,focus_mode=af,set,manual</v>
      </c>
      <c r="D25" s="78" t="s">
        <v>1182</v>
      </c>
      <c r="E25" s="78" t="s">
        <v>1150</v>
      </c>
      <c r="F25" s="78" t="s">
        <v>1153</v>
      </c>
      <c r="G25" s="78" t="s">
        <v>1113</v>
      </c>
      <c r="H25" s="78"/>
    </row>
    <row r="26" spans="2:8">
      <c r="B26" s="78" t="s">
        <v>1180</v>
      </c>
      <c r="C26" s="78" t="str">
        <f t="shared" si="1"/>
        <v>group,app,focus_mode=af,set,pushaf</v>
      </c>
      <c r="D26" s="78" t="s">
        <v>1182</v>
      </c>
      <c r="E26" s="78" t="s">
        <v>1181</v>
      </c>
      <c r="F26" s="78" t="s">
        <v>1153</v>
      </c>
      <c r="G26" s="78" t="s">
        <v>1113</v>
      </c>
      <c r="H26" s="78"/>
    </row>
    <row r="27" spans="2:8">
      <c r="B27" s="78" t="s">
        <v>1186</v>
      </c>
      <c r="C27" s="78" t="str">
        <f t="shared" si="1"/>
        <v>group,app,focus_speed=af,set,1</v>
      </c>
      <c r="D27" s="78" t="s">
        <v>1183</v>
      </c>
      <c r="E27" s="78" t="s">
        <v>1184</v>
      </c>
      <c r="F27" s="78" t="s">
        <v>1153</v>
      </c>
      <c r="G27" s="78" t="s">
        <v>1113</v>
      </c>
      <c r="H27" s="78"/>
    </row>
    <row r="28" spans="2:8">
      <c r="B28" s="78" t="s">
        <v>1187</v>
      </c>
      <c r="C28" s="78" t="str">
        <f t="shared" si="1"/>
        <v>group,app,focus_speed=af,set,8</v>
      </c>
      <c r="D28" s="78" t="s">
        <v>1183</v>
      </c>
      <c r="E28" s="78" t="s">
        <v>1185</v>
      </c>
      <c r="F28" s="78" t="s">
        <v>1153</v>
      </c>
      <c r="G28" s="78" t="s">
        <v>1113</v>
      </c>
      <c r="H28" s="78"/>
    </row>
    <row r="29" spans="2:8">
      <c r="B29" s="78" t="s">
        <v>1190</v>
      </c>
      <c r="C29" s="78" t="str">
        <f t="shared" si="1"/>
        <v>group,app,dnn_mode=dnn,set,auto</v>
      </c>
      <c r="D29" s="78" t="s">
        <v>1188</v>
      </c>
      <c r="E29" s="78" t="s">
        <v>1189</v>
      </c>
      <c r="F29" s="78" t="s">
        <v>1153</v>
      </c>
      <c r="G29" s="78" t="s">
        <v>1113</v>
      </c>
      <c r="H29" s="78"/>
    </row>
    <row r="30" spans="2:8">
      <c r="B30" s="78" t="s">
        <v>1191</v>
      </c>
      <c r="C30" s="78" t="str">
        <f t="shared" si="1"/>
        <v>group,app,dnn_mode=dnn,set,day</v>
      </c>
      <c r="D30" s="78" t="s">
        <v>1188</v>
      </c>
      <c r="E30" s="78" t="s">
        <v>1194</v>
      </c>
      <c r="F30" s="78" t="s">
        <v>1153</v>
      </c>
      <c r="G30" s="78" t="s">
        <v>1113</v>
      </c>
      <c r="H30" s="78"/>
    </row>
    <row r="31" spans="2:8">
      <c r="B31" s="78" t="s">
        <v>1192</v>
      </c>
      <c r="C31" s="78" t="str">
        <f t="shared" si="1"/>
        <v>group,app,dnn_mode=dnn,set,night</v>
      </c>
      <c r="D31" s="78" t="s">
        <v>1188</v>
      </c>
      <c r="E31" s="78" t="s">
        <v>1195</v>
      </c>
      <c r="F31" s="78" t="s">
        <v>1153</v>
      </c>
      <c r="G31" s="78" t="s">
        <v>1113</v>
      </c>
      <c r="H31" s="78"/>
    </row>
    <row r="32" spans="2:8">
      <c r="B32" s="78" t="s">
        <v>1193</v>
      </c>
      <c r="C32" s="78" t="str">
        <f t="shared" si="1"/>
        <v>group,app,dnn_mode=dnn,set,ext</v>
      </c>
      <c r="D32" s="78" t="s">
        <v>1188</v>
      </c>
      <c r="E32" s="78" t="s">
        <v>1196</v>
      </c>
      <c r="F32" s="78" t="s">
        <v>1153</v>
      </c>
      <c r="G32" s="78" t="s">
        <v>1113</v>
      </c>
      <c r="H32" s="78"/>
    </row>
    <row r="33" spans="2:8">
      <c r="B33" s="78" t="s">
        <v>1197</v>
      </c>
      <c r="C33" s="78" t="str">
        <f t="shared" si="1"/>
        <v>group,app,wdr_mode=wdr,set,on</v>
      </c>
      <c r="D33" s="78" t="s">
        <v>1201</v>
      </c>
      <c r="E33" s="78" t="s">
        <v>1202</v>
      </c>
      <c r="F33" s="78" t="s">
        <v>1153</v>
      </c>
      <c r="G33" s="78" t="s">
        <v>1113</v>
      </c>
      <c r="H33" s="78"/>
    </row>
    <row r="34" spans="2:8">
      <c r="B34" s="78" t="s">
        <v>1198</v>
      </c>
      <c r="C34" s="78" t="str">
        <f t="shared" si="1"/>
        <v>group,app,wdr_mode=wdr,set,off</v>
      </c>
      <c r="D34" s="78" t="s">
        <v>1201</v>
      </c>
      <c r="E34" s="78" t="s">
        <v>1203</v>
      </c>
      <c r="F34" s="78" t="s">
        <v>1153</v>
      </c>
      <c r="G34" s="78" t="s">
        <v>1113</v>
      </c>
      <c r="H34" s="78"/>
    </row>
    <row r="35" spans="2:8">
      <c r="B35" s="78" t="s">
        <v>1199</v>
      </c>
      <c r="C35" s="78" t="str">
        <f t="shared" si="1"/>
        <v>group,app,defog_mode=wdr,set,on</v>
      </c>
      <c r="D35" s="78" t="s">
        <v>1204</v>
      </c>
      <c r="E35" s="78" t="s">
        <v>1202</v>
      </c>
      <c r="F35" s="78" t="s">
        <v>1153</v>
      </c>
      <c r="G35" s="78" t="s">
        <v>1113</v>
      </c>
      <c r="H35" s="78"/>
    </row>
    <row r="36" spans="2:8">
      <c r="B36" s="78" t="s">
        <v>1200</v>
      </c>
      <c r="C36" s="78" t="str">
        <f t="shared" si="1"/>
        <v>group,app,defog_mode=wdr,set,off</v>
      </c>
      <c r="D36" s="78" t="s">
        <v>1204</v>
      </c>
      <c r="E36" s="78" t="s">
        <v>1203</v>
      </c>
      <c r="F36" s="78" t="s">
        <v>1153</v>
      </c>
      <c r="G36" s="78" t="s">
        <v>1113</v>
      </c>
      <c r="H36" s="78"/>
    </row>
    <row r="37" spans="2:8">
      <c r="B37" s="78" t="s">
        <v>1208</v>
      </c>
      <c r="C37" s="78" t="str">
        <f t="shared" si="1"/>
        <v>group,app,blc_mode=blc,set,on</v>
      </c>
      <c r="D37" s="78" t="s">
        <v>1207</v>
      </c>
      <c r="E37" s="78" t="s">
        <v>1206</v>
      </c>
      <c r="F37" s="78" t="s">
        <v>1153</v>
      </c>
      <c r="G37" s="78" t="s">
        <v>1113</v>
      </c>
      <c r="H37" s="78"/>
    </row>
    <row r="38" spans="2:8">
      <c r="B38" s="78" t="s">
        <v>1209</v>
      </c>
      <c r="C38" s="78" t="str">
        <f t="shared" si="1"/>
        <v>group,app,blc_mode=blc,set,off</v>
      </c>
      <c r="D38" s="78" t="s">
        <v>1207</v>
      </c>
      <c r="E38" s="78" t="s">
        <v>1205</v>
      </c>
      <c r="F38" s="78" t="s">
        <v>1153</v>
      </c>
      <c r="G38" s="78" t="s">
        <v>1113</v>
      </c>
      <c r="H38" s="78"/>
    </row>
    <row r="39" spans="2:8">
      <c r="B39" s="78" t="s">
        <v>1210</v>
      </c>
      <c r="C39" s="78" t="str">
        <f t="shared" si="1"/>
        <v>group,app,hlc_mode=blc,set,on</v>
      </c>
      <c r="D39" s="78" t="s">
        <v>1212</v>
      </c>
      <c r="E39" s="78" t="s">
        <v>1206</v>
      </c>
      <c r="F39" s="78" t="s">
        <v>1153</v>
      </c>
      <c r="G39" s="78" t="s">
        <v>1113</v>
      </c>
      <c r="H39" s="78"/>
    </row>
    <row r="40" spans="2:8">
      <c r="B40" s="78" t="s">
        <v>1211</v>
      </c>
      <c r="C40" s="78" t="str">
        <f t="shared" si="1"/>
        <v>group,app,hlc_mode=blc,set,off</v>
      </c>
      <c r="D40" s="78" t="s">
        <v>1212</v>
      </c>
      <c r="E40" s="78" t="s">
        <v>1205</v>
      </c>
      <c r="F40" s="78" t="s">
        <v>1153</v>
      </c>
      <c r="G40" s="78" t="s">
        <v>1113</v>
      </c>
      <c r="H40" s="78"/>
    </row>
    <row r="41" spans="2:8">
      <c r="B41" s="78" t="s">
        <v>1216</v>
      </c>
      <c r="C41" s="78" t="str">
        <f t="shared" si="1"/>
        <v>app,dz_enable=set,0</v>
      </c>
      <c r="D41" s="78" t="s">
        <v>1215</v>
      </c>
      <c r="E41" s="78" t="s">
        <v>1214</v>
      </c>
      <c r="F41" s="78" t="s">
        <v>1213</v>
      </c>
      <c r="G41" s="78" t="s">
        <v>1113</v>
      </c>
      <c r="H41" s="78"/>
    </row>
    <row r="42" spans="2:8">
      <c r="B42" s="78" t="s">
        <v>1217</v>
      </c>
      <c r="C42" s="78" t="str">
        <f t="shared" si="1"/>
        <v>app,dz_enable=set,1</v>
      </c>
      <c r="D42" s="78" t="s">
        <v>1215</v>
      </c>
      <c r="E42" s="78" t="s">
        <v>1174</v>
      </c>
      <c r="F42" s="78" t="s">
        <v>1213</v>
      </c>
      <c r="G42" s="78" t="s">
        <v>1113</v>
      </c>
      <c r="H42" s="78"/>
    </row>
    <row r="43" spans="2:8">
      <c r="B43" s="78" t="s">
        <v>958</v>
      </c>
      <c r="C43" s="78" t="str">
        <f t="shared" si="1"/>
        <v>app,dz_level=set,100</v>
      </c>
      <c r="D43" s="78" t="s">
        <v>1222</v>
      </c>
      <c r="E43" s="78" t="s">
        <v>1218</v>
      </c>
      <c r="F43" s="78" t="s">
        <v>1213</v>
      </c>
      <c r="G43" s="78" t="s">
        <v>1113</v>
      </c>
      <c r="H43" s="78"/>
    </row>
    <row r="44" spans="2:8">
      <c r="B44" s="78" t="s">
        <v>960</v>
      </c>
      <c r="C44" s="78" t="str">
        <f t="shared" si="1"/>
        <v>app,dz_level=set,200</v>
      </c>
      <c r="D44" s="78" t="s">
        <v>1222</v>
      </c>
      <c r="E44" s="78" t="s">
        <v>1219</v>
      </c>
      <c r="F44" s="78" t="s">
        <v>1213</v>
      </c>
      <c r="G44" s="78" t="s">
        <v>1113</v>
      </c>
      <c r="H44" s="78"/>
    </row>
    <row r="45" spans="2:8">
      <c r="B45" s="78" t="s">
        <v>961</v>
      </c>
      <c r="C45" s="78" t="str">
        <f t="shared" si="1"/>
        <v>app,dz_level=set,400</v>
      </c>
      <c r="D45" s="78" t="s">
        <v>1222</v>
      </c>
      <c r="E45" s="78" t="s">
        <v>1220</v>
      </c>
      <c r="F45" s="78" t="s">
        <v>1213</v>
      </c>
      <c r="G45" s="78" t="s">
        <v>1113</v>
      </c>
      <c r="H45" s="78"/>
    </row>
    <row r="46" spans="2:8">
      <c r="B46" s="78" t="s">
        <v>1095</v>
      </c>
      <c r="C46" s="78" t="str">
        <f t="shared" si="1"/>
        <v>app,dz_level=set,800</v>
      </c>
      <c r="D46" s="78" t="s">
        <v>1222</v>
      </c>
      <c r="E46" s="78" t="s">
        <v>1221</v>
      </c>
      <c r="F46" s="78" t="s">
        <v>1213</v>
      </c>
      <c r="G46" s="78" t="s">
        <v>1113</v>
      </c>
      <c r="H46" s="78"/>
    </row>
    <row r="47" spans="2:8">
      <c r="B47" s="78" t="s">
        <v>1223</v>
      </c>
      <c r="C47" s="78" t="str">
        <f t="shared" si="1"/>
        <v>app=set</v>
      </c>
      <c r="D47" s="78" t="s">
        <v>1225</v>
      </c>
      <c r="E47" s="78" t="s">
        <v>1113</v>
      </c>
      <c r="F47" s="78" t="s">
        <v>1224</v>
      </c>
      <c r="G47" s="78" t="s">
        <v>1113</v>
      </c>
      <c r="H47" s="78"/>
    </row>
    <row r="48" spans="2:8">
      <c r="B48" s="78" t="s">
        <v>1226</v>
      </c>
      <c r="C48" s="78" t="str">
        <f t="shared" si="1"/>
        <v>app=set</v>
      </c>
      <c r="D48" s="78" t="s">
        <v>1225</v>
      </c>
      <c r="E48" s="78" t="s">
        <v>1113</v>
      </c>
      <c r="F48" s="78" t="s">
        <v>1229</v>
      </c>
      <c r="G48" s="78" t="s">
        <v>1113</v>
      </c>
      <c r="H48" s="78" t="s">
        <v>1227</v>
      </c>
    </row>
    <row r="49" spans="2:8">
      <c r="B49" s="78" t="s">
        <v>573</v>
      </c>
      <c r="C49" s="78" t="str">
        <f t="shared" si="1"/>
        <v>=FALSE</v>
      </c>
      <c r="D49" s="78"/>
      <c r="E49" s="78" t="b">
        <f t="shared" ref="E49:E66" si="2">IF(G49="get", "")</f>
        <v>0</v>
      </c>
      <c r="F49" s="78" t="s">
        <v>1230</v>
      </c>
      <c r="G49" s="78" t="s">
        <v>1113</v>
      </c>
      <c r="H49" s="78" t="s">
        <v>1228</v>
      </c>
    </row>
    <row r="50" spans="2:8">
      <c r="B50" s="78" t="s">
        <v>1116</v>
      </c>
      <c r="C50" s="78" t="str">
        <f t="shared" si="1"/>
        <v>pspd=1</v>
      </c>
      <c r="D50" s="78" t="s">
        <v>1115</v>
      </c>
      <c r="E50" s="78">
        <v>1</v>
      </c>
      <c r="F50" s="78" t="s">
        <v>1152</v>
      </c>
      <c r="G50" s="78" t="s">
        <v>1113</v>
      </c>
      <c r="H50" s="78" t="s">
        <v>1122</v>
      </c>
    </row>
    <row r="51" spans="2:8">
      <c r="B51" s="78" t="s">
        <v>1117</v>
      </c>
      <c r="C51" s="78" t="str">
        <f t="shared" si="1"/>
        <v>pspd=63</v>
      </c>
      <c r="D51" s="78" t="s">
        <v>1115</v>
      </c>
      <c r="E51" s="78">
        <v>63</v>
      </c>
      <c r="F51" s="78" t="s">
        <v>1152</v>
      </c>
      <c r="G51" s="78" t="s">
        <v>1113</v>
      </c>
      <c r="H51" s="78"/>
    </row>
    <row r="52" spans="2:8">
      <c r="B52" s="78" t="s">
        <v>1119</v>
      </c>
      <c r="C52" s="78" t="str">
        <f t="shared" si="1"/>
        <v>tspd=1</v>
      </c>
      <c r="D52" s="78" t="s">
        <v>1118</v>
      </c>
      <c r="E52" s="78">
        <v>1</v>
      </c>
      <c r="F52" s="78" t="s">
        <v>1152</v>
      </c>
      <c r="G52" s="78" t="s">
        <v>1113</v>
      </c>
      <c r="H52" s="78" t="s">
        <v>1122</v>
      </c>
    </row>
    <row r="53" spans="2:8">
      <c r="B53" s="78" t="s">
        <v>1120</v>
      </c>
      <c r="C53" s="78" t="str">
        <f t="shared" si="1"/>
        <v>tspd=63</v>
      </c>
      <c r="D53" s="78" t="s">
        <v>1118</v>
      </c>
      <c r="E53" s="78">
        <v>63</v>
      </c>
      <c r="F53" s="78" t="s">
        <v>1152</v>
      </c>
      <c r="G53" s="78" t="s">
        <v>1113</v>
      </c>
      <c r="H53" s="78"/>
    </row>
    <row r="54" spans="2:8">
      <c r="B54" s="78" t="s">
        <v>1124</v>
      </c>
      <c r="C54" s="78" t="str">
        <f t="shared" si="1"/>
        <v>zspd=1</v>
      </c>
      <c r="D54" s="78" t="s">
        <v>1121</v>
      </c>
      <c r="E54" s="78">
        <v>1</v>
      </c>
      <c r="F54" s="78" t="s">
        <v>1152</v>
      </c>
      <c r="G54" s="78" t="s">
        <v>1113</v>
      </c>
      <c r="H54" s="78" t="s">
        <v>1123</v>
      </c>
    </row>
    <row r="55" spans="2:8">
      <c r="B55" s="78" t="s">
        <v>1125</v>
      </c>
      <c r="C55" s="78" t="str">
        <f t="shared" si="1"/>
        <v>zspd=8</v>
      </c>
      <c r="D55" s="78" t="s">
        <v>1121</v>
      </c>
      <c r="E55" s="78">
        <v>8</v>
      </c>
      <c r="F55" s="78" t="s">
        <v>1152</v>
      </c>
      <c r="G55" s="78" t="s">
        <v>1113</v>
      </c>
      <c r="H55" s="78"/>
    </row>
    <row r="56" spans="2:8">
      <c r="B56" s="78" t="s">
        <v>1127</v>
      </c>
      <c r="C56" s="78" t="str">
        <f t="shared" si="1"/>
        <v>zoom=1</v>
      </c>
      <c r="D56" s="78" t="s">
        <v>1126</v>
      </c>
      <c r="E56" s="78">
        <v>1</v>
      </c>
      <c r="F56" s="78" t="s">
        <v>1152</v>
      </c>
      <c r="G56" s="78" t="s">
        <v>1113</v>
      </c>
      <c r="H56" s="78"/>
    </row>
    <row r="57" spans="2:8">
      <c r="B57" s="78" t="s">
        <v>1128</v>
      </c>
      <c r="C57" s="78" t="str">
        <f t="shared" si="1"/>
        <v>zoom=1</v>
      </c>
      <c r="D57" s="78" t="s">
        <v>1126</v>
      </c>
      <c r="E57" s="78">
        <v>1</v>
      </c>
      <c r="F57" s="78" t="s">
        <v>1152</v>
      </c>
      <c r="G57" s="78" t="s">
        <v>1113</v>
      </c>
      <c r="H57" s="78"/>
    </row>
    <row r="58" spans="2:8">
      <c r="B58" s="78" t="s">
        <v>988</v>
      </c>
      <c r="C58" s="78" t="str">
        <f t="shared" si="1"/>
        <v>zoom=stop</v>
      </c>
      <c r="D58" s="78" t="s">
        <v>1126</v>
      </c>
      <c r="E58" s="78" t="s">
        <v>1114</v>
      </c>
      <c r="F58" s="78" t="s">
        <v>1152</v>
      </c>
      <c r="G58" s="78" t="s">
        <v>1113</v>
      </c>
      <c r="H58" s="78"/>
    </row>
    <row r="59" spans="2:8">
      <c r="B59" s="78" t="s">
        <v>1131</v>
      </c>
      <c r="C59" s="78" t="str">
        <f t="shared" ref="C59:C64" si="3">IF(G59="get", D59, D59&amp;"="&amp;E59)</f>
        <v>focus=near</v>
      </c>
      <c r="D59" s="78" t="s">
        <v>1111</v>
      </c>
      <c r="E59" s="78" t="s">
        <v>1129</v>
      </c>
      <c r="F59" s="78" t="s">
        <v>1152</v>
      </c>
      <c r="G59" s="78" t="s">
        <v>1113</v>
      </c>
      <c r="H59" s="78"/>
    </row>
    <row r="60" spans="2:8">
      <c r="B60" s="78" t="s">
        <v>1132</v>
      </c>
      <c r="C60" s="78" t="str">
        <f t="shared" si="3"/>
        <v>focus=far</v>
      </c>
      <c r="D60" s="78" t="s">
        <v>1111</v>
      </c>
      <c r="E60" s="78" t="s">
        <v>1130</v>
      </c>
      <c r="F60" s="78" t="s">
        <v>1152</v>
      </c>
      <c r="G60" s="78" t="s">
        <v>1113</v>
      </c>
      <c r="H60" s="78"/>
    </row>
    <row r="61" spans="2:8">
      <c r="B61" s="78" t="s">
        <v>1133</v>
      </c>
      <c r="C61" s="78" t="str">
        <f t="shared" si="3"/>
        <v>focus=1</v>
      </c>
      <c r="D61" s="78" t="s">
        <v>1111</v>
      </c>
      <c r="E61" s="78">
        <v>1</v>
      </c>
      <c r="F61" s="78" t="s">
        <v>1152</v>
      </c>
      <c r="G61" s="78" t="s">
        <v>1113</v>
      </c>
      <c r="H61" s="78"/>
    </row>
    <row r="62" spans="2:8">
      <c r="B62" s="78" t="s">
        <v>1134</v>
      </c>
      <c r="C62" s="78" t="str">
        <f t="shared" si="3"/>
        <v>focus=1</v>
      </c>
      <c r="D62" s="78" t="s">
        <v>1111</v>
      </c>
      <c r="E62" s="78">
        <v>1</v>
      </c>
      <c r="F62" s="78" t="s">
        <v>1152</v>
      </c>
      <c r="G62" s="78" t="s">
        <v>1113</v>
      </c>
      <c r="H62" s="78"/>
    </row>
    <row r="63" spans="2:8">
      <c r="B63" s="78" t="s">
        <v>993</v>
      </c>
      <c r="C63" s="78" t="str">
        <f t="shared" si="3"/>
        <v>focus=stop</v>
      </c>
      <c r="D63" s="78" t="s">
        <v>1111</v>
      </c>
      <c r="E63" s="78" t="s">
        <v>1114</v>
      </c>
      <c r="F63" s="78" t="s">
        <v>1152</v>
      </c>
      <c r="G63" s="78" t="s">
        <v>1113</v>
      </c>
      <c r="H63" s="78"/>
    </row>
    <row r="64" spans="2:8">
      <c r="B64" s="78" t="s">
        <v>1135</v>
      </c>
      <c r="C64" s="78" t="str">
        <f t="shared" si="3"/>
        <v>move=stop</v>
      </c>
      <c r="D64" s="78" t="s">
        <v>1110</v>
      </c>
      <c r="E64" s="78" t="s">
        <v>1114</v>
      </c>
      <c r="F64" s="78" t="s">
        <v>1152</v>
      </c>
      <c r="G64" s="78" t="s">
        <v>1113</v>
      </c>
      <c r="H64" s="78"/>
    </row>
    <row r="65" spans="2:8">
      <c r="B65" s="78"/>
      <c r="C65" s="78" t="str">
        <f t="shared" si="1"/>
        <v>=FALSE</v>
      </c>
      <c r="D65" s="78"/>
      <c r="E65" s="78" t="b">
        <f t="shared" si="2"/>
        <v>0</v>
      </c>
      <c r="F65" s="78"/>
      <c r="G65" s="78" t="s">
        <v>1113</v>
      </c>
      <c r="H65" s="78"/>
    </row>
    <row r="66" spans="2:8">
      <c r="B66" s="78"/>
      <c r="C66" s="78" t="str">
        <f t="shared" si="1"/>
        <v>=FALSE</v>
      </c>
      <c r="D66" s="78"/>
      <c r="E66" s="78" t="b">
        <f t="shared" si="2"/>
        <v>0</v>
      </c>
      <c r="F66" s="78"/>
      <c r="G66" s="78" t="s">
        <v>1113</v>
      </c>
      <c r="H66" s="7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54ED-6B63-4D9A-B9C5-3B5DBC4F1F01}">
  <dimension ref="B1:Q30"/>
  <sheetViews>
    <sheetView zoomScaleNormal="100" workbookViewId="0">
      <pane xSplit="3" ySplit="2" topLeftCell="D3" activePane="bottomRight" state="frozen"/>
      <selection pane="topRight" activeCell="I1" sqref="I1"/>
      <selection pane="bottomLeft" activeCell="A3" sqref="A3"/>
      <selection pane="bottomRight" activeCell="C3" sqref="C3"/>
    </sheetView>
  </sheetViews>
  <sheetFormatPr defaultColWidth="11.5546875" defaultRowHeight="16.5" customHeight="1"/>
  <cols>
    <col min="1" max="1" width="2.6640625" customWidth="1"/>
    <col min="2" max="2" width="14.5546875" customWidth="1"/>
    <col min="3" max="3" width="16.6640625" customWidth="1"/>
    <col min="4" max="4" width="11.5546875" customWidth="1"/>
    <col min="9" max="9" width="3.109375" style="7" bestFit="1" customWidth="1"/>
    <col min="10" max="10" width="3.109375" style="7" customWidth="1"/>
    <col min="11" max="11" width="3.6640625" style="8" bestFit="1" customWidth="1"/>
    <col min="12" max="13" width="3.109375" style="7" bestFit="1" customWidth="1"/>
    <col min="14" max="15" width="7" style="7" bestFit="1" customWidth="1"/>
    <col min="17" max="17" width="16.5546875" style="7" bestFit="1" customWidth="1"/>
  </cols>
  <sheetData>
    <row r="1" spans="2:17" ht="16.5" customHeight="1">
      <c r="C1" s="7" t="s">
        <v>274</v>
      </c>
      <c r="Q1" s="7" t="s">
        <v>274</v>
      </c>
    </row>
    <row r="2" spans="2:17" s="2" customFormat="1" ht="16.5" customHeight="1">
      <c r="B2" s="11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1271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39</v>
      </c>
      <c r="O2" s="11" t="s">
        <v>40</v>
      </c>
      <c r="Q2" s="64" t="s">
        <v>178</v>
      </c>
    </row>
    <row r="3" spans="2:17" s="2" customFormat="1" ht="16.5" customHeight="1">
      <c r="B3" s="12" t="s">
        <v>13</v>
      </c>
      <c r="C3" s="12" t="str">
        <f>"FF00"&amp;D3&amp;E3&amp;""&amp;F3&amp;G3&amp;H3</f>
        <v>FF00000800FF07</v>
      </c>
      <c r="D3" s="60" t="s">
        <v>16</v>
      </c>
      <c r="E3" s="60" t="s">
        <v>1268</v>
      </c>
      <c r="F3" s="60" t="s">
        <v>16</v>
      </c>
      <c r="G3" s="60" t="s">
        <v>9</v>
      </c>
      <c r="H3" s="12" t="str">
        <f t="shared" ref="H3:H24" si="0">O3</f>
        <v>07</v>
      </c>
      <c r="I3" s="12" t="s">
        <v>9</v>
      </c>
      <c r="J3" s="13">
        <f t="shared" ref="J3:M24" si="1">HEX2DEC(D3)</f>
        <v>0</v>
      </c>
      <c r="K3" s="13">
        <f t="shared" si="1"/>
        <v>8</v>
      </c>
      <c r="L3" s="13">
        <f t="shared" si="1"/>
        <v>0</v>
      </c>
      <c r="M3" s="13">
        <f t="shared" si="1"/>
        <v>255</v>
      </c>
      <c r="N3" s="13">
        <f t="shared" ref="N3:N24" si="2">SUM(J3:M3)</f>
        <v>263</v>
      </c>
      <c r="O3" s="13" t="str">
        <f t="shared" ref="O3:O30" si="3">REPT("0",2-LEN(RIGHT(DEC2HEX(N3), 2)))&amp;RIGHT(DEC2HEX(N3), 2)</f>
        <v>07</v>
      </c>
      <c r="Q3" s="64" t="s">
        <v>1291</v>
      </c>
    </row>
    <row r="4" spans="2:17" s="2" customFormat="1" ht="16.5" customHeight="1">
      <c r="B4" s="12" t="s">
        <v>14</v>
      </c>
      <c r="C4" s="12" t="str">
        <f t="shared" ref="C4:C24" si="4">"FF00"&amp;D4&amp;E4&amp;""&amp;F4&amp;G4&amp;H4</f>
        <v>FF00001000FF0F</v>
      </c>
      <c r="D4" s="60" t="s">
        <v>16</v>
      </c>
      <c r="E4" s="60" t="s">
        <v>109</v>
      </c>
      <c r="F4" s="60" t="s">
        <v>16</v>
      </c>
      <c r="G4" s="60" t="s">
        <v>9</v>
      </c>
      <c r="H4" s="12" t="str">
        <f t="shared" si="0"/>
        <v>0F</v>
      </c>
      <c r="I4" s="12" t="s">
        <v>9</v>
      </c>
      <c r="J4" s="13">
        <f t="shared" si="1"/>
        <v>0</v>
      </c>
      <c r="K4" s="13">
        <f t="shared" si="1"/>
        <v>16</v>
      </c>
      <c r="L4" s="13">
        <f t="shared" si="1"/>
        <v>0</v>
      </c>
      <c r="M4" s="13">
        <f t="shared" si="1"/>
        <v>255</v>
      </c>
      <c r="N4" s="13">
        <f t="shared" si="2"/>
        <v>271</v>
      </c>
      <c r="O4" s="13" t="str">
        <f t="shared" si="3"/>
        <v>0F</v>
      </c>
      <c r="Q4" s="64" t="s">
        <v>1292</v>
      </c>
    </row>
    <row r="5" spans="2:17" s="2" customFormat="1" ht="16.5" customHeight="1">
      <c r="B5" s="12" t="s">
        <v>11</v>
      </c>
      <c r="C5" s="12" t="str">
        <f t="shared" si="4"/>
        <v>FF000004FF0003</v>
      </c>
      <c r="D5" s="60" t="s">
        <v>16</v>
      </c>
      <c r="E5" s="60" t="s">
        <v>67</v>
      </c>
      <c r="F5" s="60" t="s">
        <v>9</v>
      </c>
      <c r="G5" s="60" t="s">
        <v>16</v>
      </c>
      <c r="H5" s="12" t="str">
        <f t="shared" si="0"/>
        <v>03</v>
      </c>
      <c r="I5" s="12" t="s">
        <v>9</v>
      </c>
      <c r="J5" s="13">
        <f t="shared" si="1"/>
        <v>0</v>
      </c>
      <c r="K5" s="13">
        <f t="shared" si="1"/>
        <v>4</v>
      </c>
      <c r="L5" s="13">
        <f t="shared" si="1"/>
        <v>255</v>
      </c>
      <c r="M5" s="13">
        <f t="shared" si="1"/>
        <v>0</v>
      </c>
      <c r="N5" s="13">
        <f t="shared" si="2"/>
        <v>259</v>
      </c>
      <c r="O5" s="13" t="str">
        <f t="shared" si="3"/>
        <v>03</v>
      </c>
      <c r="Q5" s="64" t="s">
        <v>1293</v>
      </c>
    </row>
    <row r="6" spans="2:17" s="2" customFormat="1" ht="16.5" customHeight="1">
      <c r="B6" s="12" t="s">
        <v>12</v>
      </c>
      <c r="C6" s="12" t="str">
        <f t="shared" si="4"/>
        <v>FF000002FF0001</v>
      </c>
      <c r="D6" s="60" t="s">
        <v>16</v>
      </c>
      <c r="E6" s="60" t="s">
        <v>17</v>
      </c>
      <c r="F6" s="60" t="s">
        <v>9</v>
      </c>
      <c r="G6" s="60" t="s">
        <v>16</v>
      </c>
      <c r="H6" s="12" t="str">
        <f t="shared" si="0"/>
        <v>01</v>
      </c>
      <c r="I6" s="12" t="s">
        <v>9</v>
      </c>
      <c r="J6" s="13">
        <f t="shared" si="1"/>
        <v>0</v>
      </c>
      <c r="K6" s="13">
        <f t="shared" si="1"/>
        <v>2</v>
      </c>
      <c r="L6" s="13">
        <f t="shared" si="1"/>
        <v>255</v>
      </c>
      <c r="M6" s="13">
        <f t="shared" si="1"/>
        <v>0</v>
      </c>
      <c r="N6" s="13">
        <f t="shared" si="2"/>
        <v>257</v>
      </c>
      <c r="O6" s="13" t="str">
        <f t="shared" si="3"/>
        <v>01</v>
      </c>
      <c r="Q6" s="64" t="s">
        <v>1294</v>
      </c>
    </row>
    <row r="7" spans="2:17" s="2" customFormat="1" ht="16.5" customHeight="1">
      <c r="B7" s="12" t="s">
        <v>1266</v>
      </c>
      <c r="C7" s="12" t="str">
        <f t="shared" si="4"/>
        <v>FF000000000000</v>
      </c>
      <c r="D7" s="60" t="s">
        <v>16</v>
      </c>
      <c r="E7" s="60" t="s">
        <v>16</v>
      </c>
      <c r="F7" s="60" t="s">
        <v>16</v>
      </c>
      <c r="G7" s="60" t="s">
        <v>16</v>
      </c>
      <c r="H7" s="12" t="str">
        <f t="shared" si="0"/>
        <v>00</v>
      </c>
      <c r="I7" s="12" t="s">
        <v>9</v>
      </c>
      <c r="J7" s="13">
        <f t="shared" si="1"/>
        <v>0</v>
      </c>
      <c r="K7" s="13">
        <f t="shared" si="1"/>
        <v>0</v>
      </c>
      <c r="L7" s="13">
        <f t="shared" si="1"/>
        <v>0</v>
      </c>
      <c r="M7" s="13">
        <f t="shared" si="1"/>
        <v>0</v>
      </c>
      <c r="N7" s="13">
        <f t="shared" si="2"/>
        <v>0</v>
      </c>
      <c r="O7" s="13" t="str">
        <f t="shared" si="3"/>
        <v>00</v>
      </c>
      <c r="Q7" s="64" t="s">
        <v>1295</v>
      </c>
    </row>
    <row r="8" spans="2:17" s="2" customFormat="1" ht="16.5" customHeight="1">
      <c r="B8" s="12" t="s">
        <v>30</v>
      </c>
      <c r="C8" s="12" t="str">
        <f t="shared" si="4"/>
        <v>FF00BA000010CA</v>
      </c>
      <c r="D8" s="60" t="s">
        <v>1273</v>
      </c>
      <c r="E8" s="60" t="s">
        <v>16</v>
      </c>
      <c r="F8" s="60" t="s">
        <v>16</v>
      </c>
      <c r="G8" s="60" t="s">
        <v>109</v>
      </c>
      <c r="H8" s="12" t="str">
        <f t="shared" si="0"/>
        <v>CA</v>
      </c>
      <c r="I8" s="12" t="s">
        <v>9</v>
      </c>
      <c r="J8" s="13">
        <f t="shared" si="1"/>
        <v>186</v>
      </c>
      <c r="K8" s="13">
        <f t="shared" si="1"/>
        <v>0</v>
      </c>
      <c r="L8" s="13">
        <f t="shared" si="1"/>
        <v>0</v>
      </c>
      <c r="M8" s="13">
        <f t="shared" si="1"/>
        <v>16</v>
      </c>
      <c r="N8" s="13">
        <f t="shared" si="2"/>
        <v>202</v>
      </c>
      <c r="O8" s="13" t="str">
        <f t="shared" si="3"/>
        <v>CA</v>
      </c>
      <c r="Q8" s="64" t="s">
        <v>1296</v>
      </c>
    </row>
    <row r="9" spans="2:17" s="2" customFormat="1" ht="16.5" customHeight="1">
      <c r="B9" s="12" t="s">
        <v>31</v>
      </c>
      <c r="C9" s="12" t="str">
        <f t="shared" si="4"/>
        <v>FF00BA000020DA</v>
      </c>
      <c r="D9" s="60" t="s">
        <v>1273</v>
      </c>
      <c r="E9" s="60" t="s">
        <v>16</v>
      </c>
      <c r="F9" s="60" t="s">
        <v>16</v>
      </c>
      <c r="G9" s="60" t="s">
        <v>133</v>
      </c>
      <c r="H9" s="12" t="str">
        <f t="shared" si="0"/>
        <v>DA</v>
      </c>
      <c r="I9" s="12" t="s">
        <v>9</v>
      </c>
      <c r="J9" s="13">
        <f t="shared" si="1"/>
        <v>186</v>
      </c>
      <c r="K9" s="13">
        <f t="shared" si="1"/>
        <v>0</v>
      </c>
      <c r="L9" s="13">
        <f t="shared" si="1"/>
        <v>0</v>
      </c>
      <c r="M9" s="13">
        <f t="shared" si="1"/>
        <v>32</v>
      </c>
      <c r="N9" s="13">
        <f t="shared" si="2"/>
        <v>218</v>
      </c>
      <c r="O9" s="13" t="str">
        <f t="shared" si="3"/>
        <v>DA</v>
      </c>
      <c r="Q9" s="64" t="s">
        <v>1297</v>
      </c>
    </row>
    <row r="10" spans="2:17" s="2" customFormat="1" ht="16.5" customHeight="1">
      <c r="B10" s="12" t="s">
        <v>988</v>
      </c>
      <c r="C10" s="12" t="str">
        <f t="shared" si="4"/>
        <v>FF00BA000000BA</v>
      </c>
      <c r="D10" s="60" t="s">
        <v>1273</v>
      </c>
      <c r="E10" s="60" t="s">
        <v>16</v>
      </c>
      <c r="F10" s="60" t="s">
        <v>16</v>
      </c>
      <c r="G10" s="60" t="s">
        <v>16</v>
      </c>
      <c r="H10" s="12" t="str">
        <f t="shared" si="0"/>
        <v>BA</v>
      </c>
      <c r="I10" s="12" t="s">
        <v>9</v>
      </c>
      <c r="J10" s="13">
        <f t="shared" si="1"/>
        <v>186</v>
      </c>
      <c r="K10" s="13">
        <f t="shared" si="1"/>
        <v>0</v>
      </c>
      <c r="L10" s="13">
        <f t="shared" si="1"/>
        <v>0</v>
      </c>
      <c r="M10" s="13">
        <f t="shared" si="1"/>
        <v>0</v>
      </c>
      <c r="N10" s="13">
        <f t="shared" si="2"/>
        <v>186</v>
      </c>
      <c r="O10" s="13" t="str">
        <f t="shared" si="3"/>
        <v>BA</v>
      </c>
      <c r="Q10" s="64" t="s">
        <v>1298</v>
      </c>
    </row>
    <row r="11" spans="2:17" s="2" customFormat="1" ht="16.5" customHeight="1">
      <c r="B11" s="12" t="s">
        <v>28</v>
      </c>
      <c r="C11" s="12" t="str">
        <f t="shared" si="4"/>
        <v>FF00BF000000BF</v>
      </c>
      <c r="D11" s="60" t="s">
        <v>1272</v>
      </c>
      <c r="E11" s="60" t="s">
        <v>16</v>
      </c>
      <c r="F11" s="60" t="s">
        <v>16</v>
      </c>
      <c r="G11" s="60" t="s">
        <v>16</v>
      </c>
      <c r="H11" s="12" t="str">
        <f t="shared" si="0"/>
        <v>BF</v>
      </c>
      <c r="I11" s="12" t="s">
        <v>9</v>
      </c>
      <c r="J11" s="13">
        <f t="shared" si="1"/>
        <v>191</v>
      </c>
      <c r="K11" s="13">
        <f t="shared" si="1"/>
        <v>0</v>
      </c>
      <c r="L11" s="13">
        <f t="shared" si="1"/>
        <v>0</v>
      </c>
      <c r="M11" s="13">
        <f t="shared" si="1"/>
        <v>0</v>
      </c>
      <c r="N11" s="13">
        <f t="shared" si="2"/>
        <v>191</v>
      </c>
      <c r="O11" s="13" t="str">
        <f t="shared" si="3"/>
        <v>BF</v>
      </c>
      <c r="Q11" s="64" t="s">
        <v>1299</v>
      </c>
    </row>
    <row r="12" spans="2:17" s="2" customFormat="1" ht="16.5" customHeight="1">
      <c r="B12" s="12" t="s">
        <v>44</v>
      </c>
      <c r="C12" s="12" t="str">
        <f>"FF00"&amp;D12&amp;E12&amp;""&amp;F12&amp;G12&amp;H12</f>
        <v>FF00BB000010CB</v>
      </c>
      <c r="D12" s="60" t="s">
        <v>1274</v>
      </c>
      <c r="E12" s="60" t="s">
        <v>16</v>
      </c>
      <c r="F12" s="60" t="s">
        <v>16</v>
      </c>
      <c r="G12" s="60" t="s">
        <v>109</v>
      </c>
      <c r="H12" s="12" t="str">
        <f t="shared" si="0"/>
        <v>CB</v>
      </c>
      <c r="I12" s="12" t="s">
        <v>9</v>
      </c>
      <c r="J12" s="13">
        <f t="shared" si="1"/>
        <v>187</v>
      </c>
      <c r="K12" s="13">
        <f t="shared" si="1"/>
        <v>0</v>
      </c>
      <c r="L12" s="13">
        <f t="shared" si="1"/>
        <v>0</v>
      </c>
      <c r="M12" s="13">
        <f t="shared" si="1"/>
        <v>16</v>
      </c>
      <c r="N12" s="13">
        <f t="shared" si="2"/>
        <v>203</v>
      </c>
      <c r="O12" s="13" t="str">
        <f t="shared" si="3"/>
        <v>CB</v>
      </c>
      <c r="Q12" s="64" t="s">
        <v>1300</v>
      </c>
    </row>
    <row r="13" spans="2:17" s="2" customFormat="1" ht="16.5" customHeight="1">
      <c r="B13" s="12" t="s">
        <v>42</v>
      </c>
      <c r="C13" s="12" t="str">
        <f t="shared" si="4"/>
        <v>FF00BB000020DB</v>
      </c>
      <c r="D13" s="60" t="s">
        <v>1274</v>
      </c>
      <c r="E13" s="60" t="s">
        <v>16</v>
      </c>
      <c r="F13" s="60" t="s">
        <v>16</v>
      </c>
      <c r="G13" s="60" t="s">
        <v>133</v>
      </c>
      <c r="H13" s="12" t="str">
        <f t="shared" si="0"/>
        <v>DB</v>
      </c>
      <c r="I13" s="12" t="s">
        <v>9</v>
      </c>
      <c r="J13" s="13">
        <f t="shared" si="1"/>
        <v>187</v>
      </c>
      <c r="K13" s="13">
        <f t="shared" si="1"/>
        <v>0</v>
      </c>
      <c r="L13" s="13">
        <f t="shared" si="1"/>
        <v>0</v>
      </c>
      <c r="M13" s="13">
        <f t="shared" si="1"/>
        <v>32</v>
      </c>
      <c r="N13" s="13">
        <f t="shared" si="2"/>
        <v>219</v>
      </c>
      <c r="O13" s="13" t="str">
        <f t="shared" si="3"/>
        <v>DB</v>
      </c>
      <c r="Q13" s="64" t="s">
        <v>1301</v>
      </c>
    </row>
    <row r="14" spans="2:17" s="2" customFormat="1" ht="16.5" customHeight="1">
      <c r="B14" s="12" t="s">
        <v>993</v>
      </c>
      <c r="C14" s="12" t="str">
        <f t="shared" si="4"/>
        <v>FF00BB000000BB</v>
      </c>
      <c r="D14" s="60" t="s">
        <v>1274</v>
      </c>
      <c r="E14" s="60" t="s">
        <v>16</v>
      </c>
      <c r="F14" s="60" t="s">
        <v>16</v>
      </c>
      <c r="G14" s="60" t="s">
        <v>16</v>
      </c>
      <c r="H14" s="12" t="str">
        <f t="shared" si="0"/>
        <v>BB</v>
      </c>
      <c r="I14" s="12" t="s">
        <v>9</v>
      </c>
      <c r="J14" s="13">
        <f t="shared" si="1"/>
        <v>187</v>
      </c>
      <c r="K14" s="13">
        <f t="shared" si="1"/>
        <v>0</v>
      </c>
      <c r="L14" s="13">
        <f t="shared" si="1"/>
        <v>0</v>
      </c>
      <c r="M14" s="13">
        <f t="shared" si="1"/>
        <v>0</v>
      </c>
      <c r="N14" s="13">
        <f t="shared" si="2"/>
        <v>187</v>
      </c>
      <c r="O14" s="13" t="str">
        <f t="shared" si="3"/>
        <v>BB</v>
      </c>
      <c r="Q14" s="64" t="s">
        <v>1302</v>
      </c>
    </row>
    <row r="15" spans="2:17" s="2" customFormat="1" ht="16.5" customHeight="1">
      <c r="B15" s="12" t="s">
        <v>1289</v>
      </c>
      <c r="C15" s="12" t="str">
        <f t="shared" si="4"/>
        <v>FF00B0000001B1</v>
      </c>
      <c r="D15" s="60" t="s">
        <v>1275</v>
      </c>
      <c r="E15" s="60" t="s">
        <v>16</v>
      </c>
      <c r="F15" s="60" t="s">
        <v>16</v>
      </c>
      <c r="G15" s="60" t="s">
        <v>24</v>
      </c>
      <c r="H15" s="12" t="str">
        <f t="shared" si="0"/>
        <v>B1</v>
      </c>
      <c r="I15" s="12" t="s">
        <v>9</v>
      </c>
      <c r="J15" s="13">
        <f t="shared" si="1"/>
        <v>176</v>
      </c>
      <c r="K15" s="13">
        <f t="shared" si="1"/>
        <v>0</v>
      </c>
      <c r="L15" s="13">
        <f t="shared" si="1"/>
        <v>0</v>
      </c>
      <c r="M15" s="13">
        <f t="shared" si="1"/>
        <v>1</v>
      </c>
      <c r="N15" s="13">
        <f t="shared" si="2"/>
        <v>177</v>
      </c>
      <c r="O15" s="13" t="str">
        <f t="shared" si="3"/>
        <v>B1</v>
      </c>
      <c r="Q15" s="64" t="s">
        <v>1303</v>
      </c>
    </row>
    <row r="16" spans="2:17" s="2" customFormat="1" ht="16.5" customHeight="1">
      <c r="B16" s="12" t="s">
        <v>1290</v>
      </c>
      <c r="C16" s="12" t="str">
        <f t="shared" si="4"/>
        <v>FF00B0000000B0</v>
      </c>
      <c r="D16" s="60" t="s">
        <v>1275</v>
      </c>
      <c r="E16" s="60" t="s">
        <v>16</v>
      </c>
      <c r="F16" s="60" t="s">
        <v>16</v>
      </c>
      <c r="G16" s="60" t="s">
        <v>16</v>
      </c>
      <c r="H16" s="12" t="str">
        <f t="shared" si="0"/>
        <v>B0</v>
      </c>
      <c r="I16" s="12" t="s">
        <v>9</v>
      </c>
      <c r="J16" s="13">
        <f t="shared" si="1"/>
        <v>176</v>
      </c>
      <c r="K16" s="13">
        <f t="shared" si="1"/>
        <v>0</v>
      </c>
      <c r="L16" s="13">
        <f t="shared" si="1"/>
        <v>0</v>
      </c>
      <c r="M16" s="13">
        <f t="shared" si="1"/>
        <v>0</v>
      </c>
      <c r="N16" s="13">
        <f t="shared" si="2"/>
        <v>176</v>
      </c>
      <c r="O16" s="13" t="str">
        <f t="shared" si="3"/>
        <v>B0</v>
      </c>
      <c r="Q16" s="64" t="s">
        <v>1304</v>
      </c>
    </row>
    <row r="17" spans="2:17" s="2" customFormat="1" ht="16.5" customHeight="1">
      <c r="B17" s="12" t="s">
        <v>1288</v>
      </c>
      <c r="C17" s="12" t="str">
        <f t="shared" si="4"/>
        <v>FF00C0000001C1</v>
      </c>
      <c r="D17" s="60" t="s">
        <v>1276</v>
      </c>
      <c r="E17" s="60" t="s">
        <v>16</v>
      </c>
      <c r="F17" s="60" t="s">
        <v>16</v>
      </c>
      <c r="G17" s="60" t="s">
        <v>24</v>
      </c>
      <c r="H17" s="12" t="str">
        <f t="shared" si="0"/>
        <v>C1</v>
      </c>
      <c r="I17" s="12" t="s">
        <v>9</v>
      </c>
      <c r="J17" s="13">
        <f t="shared" si="1"/>
        <v>192</v>
      </c>
      <c r="K17" s="13">
        <f t="shared" si="1"/>
        <v>0</v>
      </c>
      <c r="L17" s="13">
        <f t="shared" si="1"/>
        <v>0</v>
      </c>
      <c r="M17" s="13">
        <f t="shared" si="1"/>
        <v>1</v>
      </c>
      <c r="N17" s="13">
        <f t="shared" si="2"/>
        <v>193</v>
      </c>
      <c r="O17" s="13" t="str">
        <f t="shared" si="3"/>
        <v>C1</v>
      </c>
      <c r="Q17" s="64" t="s">
        <v>1305</v>
      </c>
    </row>
    <row r="18" spans="2:17" s="2" customFormat="1" ht="16.5" customHeight="1">
      <c r="B18" s="12" t="s">
        <v>1281</v>
      </c>
      <c r="C18" s="12" t="str">
        <f t="shared" si="4"/>
        <v>FF00C0000002C2</v>
      </c>
      <c r="D18" s="60" t="s">
        <v>1276</v>
      </c>
      <c r="E18" s="60" t="s">
        <v>16</v>
      </c>
      <c r="F18" s="60" t="s">
        <v>16</v>
      </c>
      <c r="G18" s="60" t="s">
        <v>1270</v>
      </c>
      <c r="H18" s="12" t="str">
        <f t="shared" si="0"/>
        <v>C2</v>
      </c>
      <c r="I18" s="12" t="s">
        <v>9</v>
      </c>
      <c r="J18" s="13">
        <f t="shared" si="1"/>
        <v>192</v>
      </c>
      <c r="K18" s="13">
        <f t="shared" si="1"/>
        <v>0</v>
      </c>
      <c r="L18" s="13">
        <f t="shared" si="1"/>
        <v>0</v>
      </c>
      <c r="M18" s="13">
        <f t="shared" si="1"/>
        <v>2</v>
      </c>
      <c r="N18" s="13">
        <f t="shared" si="2"/>
        <v>194</v>
      </c>
      <c r="O18" s="13" t="str">
        <f t="shared" si="3"/>
        <v>C2</v>
      </c>
      <c r="Q18" s="64" t="s">
        <v>1306</v>
      </c>
    </row>
    <row r="19" spans="2:17" s="2" customFormat="1" ht="16.5" customHeight="1">
      <c r="B19" s="12" t="s">
        <v>1282</v>
      </c>
      <c r="C19" s="12" t="str">
        <f t="shared" si="4"/>
        <v>FF00C0000003C3</v>
      </c>
      <c r="D19" s="60" t="s">
        <v>1276</v>
      </c>
      <c r="E19" s="60" t="s">
        <v>16</v>
      </c>
      <c r="F19" s="60" t="s">
        <v>16</v>
      </c>
      <c r="G19" s="60" t="s">
        <v>1277</v>
      </c>
      <c r="H19" s="12" t="str">
        <f t="shared" si="0"/>
        <v>C3</v>
      </c>
      <c r="I19" s="12" t="s">
        <v>9</v>
      </c>
      <c r="J19" s="13">
        <f t="shared" si="1"/>
        <v>192</v>
      </c>
      <c r="K19" s="13">
        <f t="shared" si="1"/>
        <v>0</v>
      </c>
      <c r="L19" s="13">
        <f t="shared" si="1"/>
        <v>0</v>
      </c>
      <c r="M19" s="13">
        <f t="shared" si="1"/>
        <v>3</v>
      </c>
      <c r="N19" s="13">
        <f t="shared" si="2"/>
        <v>195</v>
      </c>
      <c r="O19" s="13" t="str">
        <f t="shared" si="3"/>
        <v>C3</v>
      </c>
      <c r="Q19" s="64" t="s">
        <v>1307</v>
      </c>
    </row>
    <row r="20" spans="2:17" s="2" customFormat="1" ht="16.5" customHeight="1">
      <c r="B20" s="12" t="s">
        <v>1283</v>
      </c>
      <c r="C20" s="12" t="str">
        <f t="shared" si="4"/>
        <v>FF00C0000004C4</v>
      </c>
      <c r="D20" s="60" t="s">
        <v>1276</v>
      </c>
      <c r="E20" s="60" t="s">
        <v>16</v>
      </c>
      <c r="F20" s="60" t="s">
        <v>16</v>
      </c>
      <c r="G20" s="60" t="s">
        <v>1269</v>
      </c>
      <c r="H20" s="12" t="str">
        <f t="shared" si="0"/>
        <v>C4</v>
      </c>
      <c r="I20" s="12" t="s">
        <v>9</v>
      </c>
      <c r="J20" s="13">
        <f t="shared" si="1"/>
        <v>192</v>
      </c>
      <c r="K20" s="13">
        <f t="shared" si="1"/>
        <v>0</v>
      </c>
      <c r="L20" s="13">
        <f t="shared" si="1"/>
        <v>0</v>
      </c>
      <c r="M20" s="13">
        <f t="shared" si="1"/>
        <v>4</v>
      </c>
      <c r="N20" s="13">
        <f t="shared" si="2"/>
        <v>196</v>
      </c>
      <c r="O20" s="13" t="str">
        <f t="shared" si="3"/>
        <v>C4</v>
      </c>
      <c r="Q20" s="64" t="s">
        <v>1308</v>
      </c>
    </row>
    <row r="21" spans="2:17" s="2" customFormat="1" ht="16.5" customHeight="1">
      <c r="B21" s="12" t="s">
        <v>1284</v>
      </c>
      <c r="C21" s="12" t="str">
        <f t="shared" si="4"/>
        <v>FF00C0000005C5</v>
      </c>
      <c r="D21" s="60" t="s">
        <v>1276</v>
      </c>
      <c r="E21" s="60" t="s">
        <v>16</v>
      </c>
      <c r="F21" s="60" t="s">
        <v>16</v>
      </c>
      <c r="G21" s="60" t="s">
        <v>1278</v>
      </c>
      <c r="H21" s="12" t="str">
        <f t="shared" si="0"/>
        <v>C5</v>
      </c>
      <c r="I21" s="12" t="s">
        <v>9</v>
      </c>
      <c r="J21" s="13">
        <f t="shared" si="1"/>
        <v>192</v>
      </c>
      <c r="K21" s="13">
        <f t="shared" si="1"/>
        <v>0</v>
      </c>
      <c r="L21" s="13">
        <f t="shared" si="1"/>
        <v>0</v>
      </c>
      <c r="M21" s="13">
        <f t="shared" si="1"/>
        <v>5</v>
      </c>
      <c r="N21" s="13">
        <f t="shared" si="2"/>
        <v>197</v>
      </c>
      <c r="O21" s="13" t="str">
        <f t="shared" si="3"/>
        <v>C5</v>
      </c>
      <c r="Q21" s="64" t="s">
        <v>1309</v>
      </c>
    </row>
    <row r="22" spans="2:17" s="2" customFormat="1" ht="16.5" customHeight="1">
      <c r="B22" s="12" t="s">
        <v>1285</v>
      </c>
      <c r="C22" s="12" t="str">
        <f t="shared" si="4"/>
        <v>FF00C0000006C6</v>
      </c>
      <c r="D22" s="60" t="s">
        <v>1276</v>
      </c>
      <c r="E22" s="60" t="s">
        <v>16</v>
      </c>
      <c r="F22" s="60" t="s">
        <v>16</v>
      </c>
      <c r="G22" s="60" t="s">
        <v>1279</v>
      </c>
      <c r="H22" s="12" t="str">
        <f t="shared" si="0"/>
        <v>C6</v>
      </c>
      <c r="I22" s="12" t="s">
        <v>9</v>
      </c>
      <c r="J22" s="13">
        <f t="shared" si="1"/>
        <v>192</v>
      </c>
      <c r="K22" s="13">
        <f t="shared" si="1"/>
        <v>0</v>
      </c>
      <c r="L22" s="13">
        <f t="shared" si="1"/>
        <v>0</v>
      </c>
      <c r="M22" s="13">
        <f t="shared" si="1"/>
        <v>6</v>
      </c>
      <c r="N22" s="13">
        <f t="shared" si="2"/>
        <v>198</v>
      </c>
      <c r="O22" s="13" t="str">
        <f t="shared" si="3"/>
        <v>C6</v>
      </c>
      <c r="Q22" s="64" t="s">
        <v>1310</v>
      </c>
    </row>
    <row r="23" spans="2:17" s="2" customFormat="1" ht="16.5" customHeight="1">
      <c r="B23" s="12" t="s">
        <v>1286</v>
      </c>
      <c r="C23" s="12" t="str">
        <f t="shared" si="4"/>
        <v>FF00C0000007C7</v>
      </c>
      <c r="D23" s="60" t="s">
        <v>1276</v>
      </c>
      <c r="E23" s="60" t="s">
        <v>16</v>
      </c>
      <c r="F23" s="60" t="s">
        <v>16</v>
      </c>
      <c r="G23" s="60" t="s">
        <v>1280</v>
      </c>
      <c r="H23" s="12" t="str">
        <f t="shared" si="0"/>
        <v>C7</v>
      </c>
      <c r="I23" s="12" t="s">
        <v>9</v>
      </c>
      <c r="J23" s="13">
        <f t="shared" si="1"/>
        <v>192</v>
      </c>
      <c r="K23" s="13">
        <f t="shared" si="1"/>
        <v>0</v>
      </c>
      <c r="L23" s="13">
        <f t="shared" si="1"/>
        <v>0</v>
      </c>
      <c r="M23" s="13">
        <f t="shared" si="1"/>
        <v>7</v>
      </c>
      <c r="N23" s="13">
        <f t="shared" si="2"/>
        <v>199</v>
      </c>
      <c r="O23" s="13" t="str">
        <f t="shared" si="3"/>
        <v>C7</v>
      </c>
      <c r="Q23" s="64" t="s">
        <v>1311</v>
      </c>
    </row>
    <row r="24" spans="2:17" s="2" customFormat="1" ht="16.5" customHeight="1">
      <c r="B24" s="12" t="s">
        <v>1287</v>
      </c>
      <c r="C24" s="12" t="str">
        <f t="shared" si="4"/>
        <v>FF00C0000008C8</v>
      </c>
      <c r="D24" s="60" t="s">
        <v>1276</v>
      </c>
      <c r="E24" s="60" t="s">
        <v>16</v>
      </c>
      <c r="F24" s="60" t="s">
        <v>16</v>
      </c>
      <c r="G24" s="60" t="s">
        <v>1267</v>
      </c>
      <c r="H24" s="12" t="str">
        <f t="shared" si="0"/>
        <v>C8</v>
      </c>
      <c r="I24" s="12" t="s">
        <v>9</v>
      </c>
      <c r="J24" s="13">
        <f t="shared" si="1"/>
        <v>192</v>
      </c>
      <c r="K24" s="13">
        <f t="shared" si="1"/>
        <v>0</v>
      </c>
      <c r="L24" s="13">
        <f t="shared" si="1"/>
        <v>0</v>
      </c>
      <c r="M24" s="13">
        <f t="shared" si="1"/>
        <v>8</v>
      </c>
      <c r="N24" s="13">
        <f t="shared" si="2"/>
        <v>200</v>
      </c>
      <c r="O24" s="13" t="str">
        <f t="shared" si="3"/>
        <v>C8</v>
      </c>
      <c r="Q24" s="64" t="s">
        <v>1312</v>
      </c>
    </row>
    <row r="25" spans="2:17" s="2" customFormat="1" ht="16.5" customHeight="1">
      <c r="B25" s="12" t="s">
        <v>1385</v>
      </c>
      <c r="C25" s="12" t="str">
        <f t="shared" ref="C25" si="5">"FF00"&amp;D25&amp;E25&amp;""&amp;F25&amp;G25&amp;H25</f>
        <v>FF000012BF5425</v>
      </c>
      <c r="D25" s="60" t="s">
        <v>16</v>
      </c>
      <c r="E25" s="60" t="s">
        <v>111</v>
      </c>
      <c r="F25" s="60" t="s">
        <v>1272</v>
      </c>
      <c r="G25" s="60" t="s">
        <v>1386</v>
      </c>
      <c r="H25" s="12" t="str">
        <f t="shared" ref="H25" si="6">O25</f>
        <v>25</v>
      </c>
      <c r="I25" s="12" t="s">
        <v>9</v>
      </c>
      <c r="J25" s="13">
        <f t="shared" ref="J25" si="7">HEX2DEC(D25)</f>
        <v>0</v>
      </c>
      <c r="K25" s="13">
        <f t="shared" ref="K25" si="8">HEX2DEC(E25)</f>
        <v>18</v>
      </c>
      <c r="L25" s="13">
        <f t="shared" ref="L25" si="9">HEX2DEC(F25)</f>
        <v>191</v>
      </c>
      <c r="M25" s="13">
        <f t="shared" ref="M25" si="10">HEX2DEC(G25)</f>
        <v>84</v>
      </c>
      <c r="N25" s="13">
        <f t="shared" ref="N25" si="11">SUM(J25:M25)</f>
        <v>293</v>
      </c>
      <c r="O25" s="13" t="str">
        <f t="shared" si="3"/>
        <v>25</v>
      </c>
      <c r="Q25" s="64" t="s">
        <v>1395</v>
      </c>
    </row>
    <row r="26" spans="2:17" s="2" customFormat="1" ht="16.5" customHeight="1">
      <c r="B26" s="12" t="s">
        <v>1387</v>
      </c>
      <c r="C26" s="12" t="str">
        <f t="shared" ref="C26" si="12">"FF00"&amp;D26&amp;E26&amp;""&amp;F26&amp;G26&amp;H26</f>
        <v>FF0000127F3FD0</v>
      </c>
      <c r="D26" s="60" t="s">
        <v>16</v>
      </c>
      <c r="E26" s="60" t="s">
        <v>111</v>
      </c>
      <c r="F26" s="60" t="s">
        <v>1388</v>
      </c>
      <c r="G26" s="60" t="s">
        <v>1389</v>
      </c>
      <c r="H26" s="12" t="str">
        <f t="shared" ref="H26:H30" si="13">O26</f>
        <v>D0</v>
      </c>
      <c r="I26" s="12" t="s">
        <v>9</v>
      </c>
      <c r="J26" s="13">
        <f t="shared" ref="J26:J30" si="14">HEX2DEC(D26)</f>
        <v>0</v>
      </c>
      <c r="K26" s="13">
        <f t="shared" ref="K26:K30" si="15">HEX2DEC(E26)</f>
        <v>18</v>
      </c>
      <c r="L26" s="13">
        <f t="shared" ref="L26:L30" si="16">HEX2DEC(F26)</f>
        <v>127</v>
      </c>
      <c r="M26" s="13">
        <f t="shared" ref="M26:M30" si="17">HEX2DEC(G26)</f>
        <v>63</v>
      </c>
      <c r="N26" s="13">
        <f t="shared" ref="N26:N30" si="18">SUM(J26:M26)</f>
        <v>208</v>
      </c>
      <c r="O26" s="13" t="str">
        <f t="shared" si="3"/>
        <v>D0</v>
      </c>
      <c r="Q26" s="64" t="s">
        <v>1396</v>
      </c>
    </row>
    <row r="27" spans="2:17" s="2" customFormat="1" ht="16.5" customHeight="1">
      <c r="B27" s="12" t="s">
        <v>1390</v>
      </c>
      <c r="C27" s="12" t="str">
        <f>"FF00"&amp;D27&amp;E27&amp;""&amp;F27&amp;G27&amp;H27</f>
        <v>FF00000C7F3FCA</v>
      </c>
      <c r="D27" s="60" t="s">
        <v>16</v>
      </c>
      <c r="E27" s="60" t="s">
        <v>1394</v>
      </c>
      <c r="F27" s="60" t="s">
        <v>1388</v>
      </c>
      <c r="G27" s="60" t="s">
        <v>1389</v>
      </c>
      <c r="H27" s="12" t="str">
        <f t="shared" si="13"/>
        <v>CA</v>
      </c>
      <c r="I27" s="12" t="s">
        <v>9</v>
      </c>
      <c r="J27" s="13">
        <f t="shared" si="14"/>
        <v>0</v>
      </c>
      <c r="K27" s="13">
        <f t="shared" si="15"/>
        <v>12</v>
      </c>
      <c r="L27" s="13">
        <f t="shared" si="16"/>
        <v>127</v>
      </c>
      <c r="M27" s="13">
        <f t="shared" si="17"/>
        <v>63</v>
      </c>
      <c r="N27" s="13">
        <f t="shared" si="18"/>
        <v>202</v>
      </c>
      <c r="O27" s="13" t="str">
        <f t="shared" si="3"/>
        <v>CA</v>
      </c>
      <c r="Q27" s="64" t="s">
        <v>1397</v>
      </c>
    </row>
    <row r="28" spans="2:17" s="2" customFormat="1" ht="16.5" customHeight="1">
      <c r="B28" s="12" t="s">
        <v>1391</v>
      </c>
      <c r="C28" s="12" t="str">
        <f t="shared" ref="C28:C30" si="19">"FF00"&amp;D28&amp;E28&amp;""&amp;F28&amp;G28&amp;H28</f>
        <v>FF00000A7F3FC8</v>
      </c>
      <c r="D28" s="60" t="s">
        <v>16</v>
      </c>
      <c r="E28" s="60" t="s">
        <v>61</v>
      </c>
      <c r="F28" s="60" t="s">
        <v>1388</v>
      </c>
      <c r="G28" s="60" t="s">
        <v>1389</v>
      </c>
      <c r="H28" s="12" t="str">
        <f t="shared" si="13"/>
        <v>C8</v>
      </c>
      <c r="I28" s="12" t="s">
        <v>9</v>
      </c>
      <c r="J28" s="13">
        <f t="shared" si="14"/>
        <v>0</v>
      </c>
      <c r="K28" s="13">
        <f t="shared" si="15"/>
        <v>10</v>
      </c>
      <c r="L28" s="13">
        <f t="shared" si="16"/>
        <v>127</v>
      </c>
      <c r="M28" s="13">
        <f t="shared" si="17"/>
        <v>63</v>
      </c>
      <c r="N28" s="13">
        <f t="shared" si="18"/>
        <v>200</v>
      </c>
      <c r="O28" s="13" t="str">
        <f t="shared" si="3"/>
        <v>C8</v>
      </c>
      <c r="Q28" s="64" t="s">
        <v>1398</v>
      </c>
    </row>
    <row r="29" spans="2:17" s="2" customFormat="1" ht="16.5" customHeight="1">
      <c r="B29" s="12" t="s">
        <v>1392</v>
      </c>
      <c r="C29" s="12" t="str">
        <f t="shared" si="19"/>
        <v>FF0000147F3FD2</v>
      </c>
      <c r="D29" s="60" t="s">
        <v>16</v>
      </c>
      <c r="E29" s="60" t="s">
        <v>62</v>
      </c>
      <c r="F29" s="60" t="s">
        <v>1388</v>
      </c>
      <c r="G29" s="60" t="s">
        <v>1389</v>
      </c>
      <c r="H29" s="12" t="str">
        <f t="shared" si="13"/>
        <v>D2</v>
      </c>
      <c r="I29" s="12" t="s">
        <v>9</v>
      </c>
      <c r="J29" s="13">
        <f t="shared" si="14"/>
        <v>0</v>
      </c>
      <c r="K29" s="13">
        <f t="shared" si="15"/>
        <v>20</v>
      </c>
      <c r="L29" s="13">
        <f t="shared" si="16"/>
        <v>127</v>
      </c>
      <c r="M29" s="13">
        <f t="shared" si="17"/>
        <v>63</v>
      </c>
      <c r="N29" s="13">
        <f t="shared" si="18"/>
        <v>210</v>
      </c>
      <c r="O29" s="13" t="str">
        <f t="shared" si="3"/>
        <v>D2</v>
      </c>
      <c r="Q29" s="64" t="s">
        <v>1399</v>
      </c>
    </row>
    <row r="30" spans="2:17" s="2" customFormat="1" ht="16.5" customHeight="1">
      <c r="B30" s="12" t="s">
        <v>1393</v>
      </c>
      <c r="C30" s="12" t="str">
        <f t="shared" si="19"/>
        <v>FF0000127F3FD0</v>
      </c>
      <c r="D30" s="60" t="s">
        <v>16</v>
      </c>
      <c r="E30" s="60" t="s">
        <v>111</v>
      </c>
      <c r="F30" s="60" t="s">
        <v>1388</v>
      </c>
      <c r="G30" s="60" t="s">
        <v>1389</v>
      </c>
      <c r="H30" s="12" t="str">
        <f t="shared" si="13"/>
        <v>D0</v>
      </c>
      <c r="I30" s="12" t="s">
        <v>9</v>
      </c>
      <c r="J30" s="13">
        <f t="shared" si="14"/>
        <v>0</v>
      </c>
      <c r="K30" s="13">
        <f t="shared" si="15"/>
        <v>18</v>
      </c>
      <c r="L30" s="13">
        <f t="shared" si="16"/>
        <v>127</v>
      </c>
      <c r="M30" s="13">
        <f t="shared" si="17"/>
        <v>63</v>
      </c>
      <c r="N30" s="13">
        <f t="shared" si="18"/>
        <v>208</v>
      </c>
      <c r="O30" s="13" t="str">
        <f t="shared" si="3"/>
        <v>D0</v>
      </c>
      <c r="Q30" s="64" t="s">
        <v>1400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016B-DF1A-4DA5-96BB-5FC9772A9D0E}">
  <dimension ref="B1:AK382"/>
  <sheetViews>
    <sheetView zoomScaleNormal="100" workbookViewId="0">
      <pane xSplit="3" ySplit="2" topLeftCell="T365" activePane="bottomRight" state="frozen"/>
      <selection pane="topRight" activeCell="I1" sqref="I1"/>
      <selection pane="bottomLeft" activeCell="A3" sqref="A3"/>
      <selection pane="bottomRight" activeCell="AK342" sqref="AK342:AK344"/>
    </sheetView>
  </sheetViews>
  <sheetFormatPr defaultColWidth="11.5546875" defaultRowHeight="16.5" customHeight="1"/>
  <cols>
    <col min="1" max="1" width="2.6640625" customWidth="1"/>
    <col min="2" max="2" width="20.88671875" customWidth="1"/>
    <col min="3" max="3" width="25.33203125" customWidth="1"/>
    <col min="4" max="5" width="3.109375" bestFit="1" customWidth="1"/>
    <col min="6" max="6" width="3.21875" bestFit="1" customWidth="1"/>
    <col min="7" max="7" width="3.44140625" bestFit="1" customWidth="1"/>
    <col min="8" max="8" width="3.44140625" style="6" bestFit="1" customWidth="1"/>
    <col min="9" max="9" width="5.21875" bestFit="1" customWidth="1"/>
    <col min="10" max="15" width="2.88671875" bestFit="1" customWidth="1"/>
    <col min="16" max="16" width="4.5546875" bestFit="1" customWidth="1"/>
    <col min="17" max="17" width="3.6640625" style="7" bestFit="1" customWidth="1"/>
    <col min="18" max="18" width="3.109375" style="7" customWidth="1"/>
    <col min="19" max="19" width="3.6640625" style="8" bestFit="1" customWidth="1"/>
    <col min="20" max="21" width="3.109375" style="7" bestFit="1" customWidth="1"/>
    <col min="22" max="22" width="7.33203125" style="7" customWidth="1"/>
    <col min="23" max="23" width="8.44140625" style="7" customWidth="1"/>
    <col min="24" max="25" width="7" style="7" bestFit="1" customWidth="1"/>
    <col min="26" max="28" width="3.109375" style="7" bestFit="1" customWidth="1"/>
    <col min="29" max="32" width="3.88671875" style="7" bestFit="1" customWidth="1"/>
    <col min="33" max="33" width="5.77734375" style="7" bestFit="1" customWidth="1"/>
    <col min="34" max="34" width="7" style="7" customWidth="1"/>
    <col min="36" max="37" width="16.5546875" style="7" bestFit="1" customWidth="1"/>
  </cols>
  <sheetData>
    <row r="1" spans="2:37" ht="16.5" customHeight="1">
      <c r="C1" s="7"/>
    </row>
    <row r="2" spans="2:37" s="2" customFormat="1" ht="33.75" customHeight="1">
      <c r="B2" s="11" t="s">
        <v>0</v>
      </c>
      <c r="C2" s="11" t="s">
        <v>7</v>
      </c>
      <c r="D2" s="11" t="s">
        <v>29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1990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 t="s">
        <v>1996</v>
      </c>
      <c r="Q2" s="11" t="s">
        <v>29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39</v>
      </c>
      <c r="W2" s="11" t="s">
        <v>40</v>
      </c>
      <c r="X2" s="11" t="s">
        <v>39</v>
      </c>
      <c r="Y2" s="11" t="s">
        <v>40</v>
      </c>
      <c r="Z2" s="117" t="s">
        <v>1360</v>
      </c>
      <c r="AA2" s="117" t="s">
        <v>1363</v>
      </c>
      <c r="AB2" s="117" t="s">
        <v>1991</v>
      </c>
      <c r="AC2" s="117" t="s">
        <v>1992</v>
      </c>
      <c r="AD2" s="117" t="s">
        <v>1993</v>
      </c>
      <c r="AE2" s="117" t="s">
        <v>1994</v>
      </c>
      <c r="AF2" s="117" t="s">
        <v>1995</v>
      </c>
      <c r="AG2" s="117"/>
      <c r="AH2" s="120" t="s">
        <v>1698</v>
      </c>
      <c r="AI2" s="120" t="s">
        <v>1699</v>
      </c>
      <c r="AJ2" s="64" t="s">
        <v>701</v>
      </c>
      <c r="AK2" s="64" t="s">
        <v>178</v>
      </c>
    </row>
    <row r="3" spans="2:37" s="115" customFormat="1" ht="16.5" customHeight="1">
      <c r="B3" s="112" t="s">
        <v>1686</v>
      </c>
      <c r="C3" s="112" t="s">
        <v>1614</v>
      </c>
      <c r="D3" s="113"/>
      <c r="E3" s="113"/>
      <c r="F3" s="113"/>
      <c r="G3" s="113"/>
      <c r="H3" s="113"/>
      <c r="I3" s="112"/>
      <c r="J3" s="112"/>
      <c r="K3" s="112"/>
      <c r="L3" s="112"/>
      <c r="M3" s="112"/>
      <c r="N3" s="112"/>
      <c r="O3" s="112"/>
      <c r="P3" s="112"/>
      <c r="Q3" s="114"/>
      <c r="R3" s="114"/>
      <c r="S3" s="114"/>
      <c r="T3" s="114"/>
      <c r="U3" s="114"/>
      <c r="V3" s="114"/>
      <c r="W3" s="114"/>
      <c r="X3" s="114"/>
      <c r="Y3" s="114"/>
      <c r="Z3" s="118"/>
      <c r="AA3" s="118"/>
      <c r="AB3" s="118"/>
      <c r="AC3" s="118"/>
      <c r="AD3" s="118"/>
      <c r="AE3" s="118"/>
      <c r="AF3" s="118"/>
      <c r="AG3" s="118"/>
      <c r="AH3" s="118"/>
      <c r="AJ3" s="116" t="s">
        <v>1611</v>
      </c>
      <c r="AK3" s="116" t="s">
        <v>1613</v>
      </c>
    </row>
    <row r="4" spans="2:37" s="2" customFormat="1" ht="16.5" customHeight="1">
      <c r="B4" s="12" t="s">
        <v>1532</v>
      </c>
      <c r="C4" s="12" t="str">
        <f t="shared" ref="C4:C53" si="0">"FF"&amp;D4&amp;E4&amp;""&amp;F4&amp;G4&amp;H4&amp;I4</f>
        <v>FF010000000001</v>
      </c>
      <c r="D4" s="60" t="s">
        <v>24</v>
      </c>
      <c r="E4" s="60" t="s">
        <v>16</v>
      </c>
      <c r="F4" s="60" t="s">
        <v>16</v>
      </c>
      <c r="G4" s="60" t="s">
        <v>16</v>
      </c>
      <c r="H4" s="60" t="s">
        <v>16</v>
      </c>
      <c r="I4" s="12" t="str">
        <f>W4</f>
        <v>01</v>
      </c>
      <c r="J4" s="12"/>
      <c r="K4" s="12"/>
      <c r="L4" s="12"/>
      <c r="M4" s="12"/>
      <c r="N4" s="12"/>
      <c r="O4" s="12"/>
      <c r="P4" s="12"/>
      <c r="Q4" s="13">
        <f t="shared" ref="Q4:U35" si="1">HEX2DEC(D4)</f>
        <v>1</v>
      </c>
      <c r="R4" s="13">
        <f t="shared" si="1"/>
        <v>0</v>
      </c>
      <c r="S4" s="13">
        <f t="shared" si="1"/>
        <v>0</v>
      </c>
      <c r="T4" s="13">
        <f t="shared" si="1"/>
        <v>0</v>
      </c>
      <c r="U4" s="13">
        <f>SUM(Q4:T4)</f>
        <v>1</v>
      </c>
      <c r="V4" s="13">
        <f t="shared" ref="V4" si="2">SUM(R4:U4)</f>
        <v>1</v>
      </c>
      <c r="W4" s="13" t="str">
        <f>REPT("0",2-LEN(RIGHT(DEC2HEX(U4), 2)))&amp;RIGHT(DEC2HEX(U4), 2)</f>
        <v>01</v>
      </c>
      <c r="X4" s="13">
        <f>SUM(R4:W4)</f>
        <v>2</v>
      </c>
      <c r="Y4" s="13" t="str">
        <f>REPT("0",2-LEN(RIGHT(DEC2HEX(X4), 2)))&amp;RIGHT(DEC2HEX(X4), 2)</f>
        <v>02</v>
      </c>
      <c r="Z4" s="119"/>
      <c r="AA4" s="119"/>
      <c r="AB4" s="119"/>
      <c r="AC4" s="119"/>
      <c r="AD4" s="119"/>
      <c r="AE4" s="119"/>
      <c r="AF4" s="119"/>
      <c r="AG4" s="119"/>
      <c r="AH4" s="119"/>
      <c r="AJ4" s="64" t="s">
        <v>1531</v>
      </c>
      <c r="AK4" s="64" t="s">
        <v>541</v>
      </c>
    </row>
    <row r="5" spans="2:37" s="2" customFormat="1" ht="16.5" customHeight="1">
      <c r="B5" s="12" t="s">
        <v>13</v>
      </c>
      <c r="C5" s="12" t="str">
        <f t="shared" si="0"/>
        <v>FF010008404089</v>
      </c>
      <c r="D5" s="60" t="s">
        <v>24</v>
      </c>
      <c r="E5" s="60" t="s">
        <v>16</v>
      </c>
      <c r="F5" s="60" t="s">
        <v>1268</v>
      </c>
      <c r="G5" s="60" t="s">
        <v>1503</v>
      </c>
      <c r="H5" s="60" t="s">
        <v>1503</v>
      </c>
      <c r="I5" s="12" t="str">
        <f>W5</f>
        <v>89</v>
      </c>
      <c r="J5" s="12"/>
      <c r="K5" s="12"/>
      <c r="L5" s="12"/>
      <c r="M5" s="12"/>
      <c r="N5" s="12"/>
      <c r="O5" s="12"/>
      <c r="P5" s="12"/>
      <c r="Q5" s="13">
        <f t="shared" si="1"/>
        <v>1</v>
      </c>
      <c r="R5" s="13">
        <f t="shared" si="1"/>
        <v>0</v>
      </c>
      <c r="S5" s="13">
        <f t="shared" si="1"/>
        <v>8</v>
      </c>
      <c r="T5" s="13">
        <f t="shared" si="1"/>
        <v>64</v>
      </c>
      <c r="U5" s="13">
        <f t="shared" si="1"/>
        <v>64</v>
      </c>
      <c r="V5" s="13">
        <f>SUM(Q5:U5)</f>
        <v>137</v>
      </c>
      <c r="W5" s="13" t="str">
        <f>REPT("0",2-LEN(RIGHT(DEC2HEX(V5), 2)))&amp;RIGHT(DEC2HEX(V5), 2)</f>
        <v>89</v>
      </c>
      <c r="X5" s="13">
        <f>SUM(Q5:W5)</f>
        <v>274</v>
      </c>
      <c r="Y5" s="13" t="str">
        <f t="shared" ref="Y5:Y76" si="3">REPT("0",2-LEN(RIGHT(DEC2HEX(X5), 2)))&amp;RIGHT(DEC2HEX(X5), 2)</f>
        <v>12</v>
      </c>
      <c r="Z5" s="119"/>
      <c r="AA5" s="119"/>
      <c r="AB5" s="119"/>
      <c r="AC5" s="119"/>
      <c r="AD5" s="119"/>
      <c r="AE5" s="119"/>
      <c r="AF5" s="119"/>
      <c r="AG5" s="119"/>
      <c r="AH5" s="119"/>
      <c r="AJ5" s="64" t="s">
        <v>1574</v>
      </c>
      <c r="AK5" s="64" t="s">
        <v>2122</v>
      </c>
    </row>
    <row r="6" spans="2:37" s="2" customFormat="1" ht="16.5" customHeight="1">
      <c r="B6" s="12" t="s">
        <v>14</v>
      </c>
      <c r="C6" s="12" t="str">
        <f t="shared" si="0"/>
        <v>FF010010404091</v>
      </c>
      <c r="D6" s="60" t="s">
        <v>24</v>
      </c>
      <c r="E6" s="60" t="s">
        <v>16</v>
      </c>
      <c r="F6" s="60" t="s">
        <v>109</v>
      </c>
      <c r="G6" s="60" t="s">
        <v>1503</v>
      </c>
      <c r="H6" s="60" t="s">
        <v>1503</v>
      </c>
      <c r="I6" s="12" t="str">
        <f>W6</f>
        <v>91</v>
      </c>
      <c r="J6" s="12"/>
      <c r="K6" s="12"/>
      <c r="L6" s="12"/>
      <c r="M6" s="12"/>
      <c r="N6" s="12"/>
      <c r="O6" s="12"/>
      <c r="P6" s="12"/>
      <c r="Q6" s="13">
        <f t="shared" si="1"/>
        <v>1</v>
      </c>
      <c r="R6" s="13">
        <f t="shared" si="1"/>
        <v>0</v>
      </c>
      <c r="S6" s="13">
        <f t="shared" si="1"/>
        <v>16</v>
      </c>
      <c r="T6" s="13">
        <f t="shared" si="1"/>
        <v>64</v>
      </c>
      <c r="U6" s="13">
        <f t="shared" si="1"/>
        <v>64</v>
      </c>
      <c r="V6" s="13">
        <f t="shared" ref="V6:V8" si="4">SUM(Q6:U6)</f>
        <v>145</v>
      </c>
      <c r="W6" s="13" t="str">
        <f t="shared" ref="W6:W76" si="5">REPT("0",2-LEN(RIGHT(DEC2HEX(V6), 2)))&amp;RIGHT(DEC2HEX(V6), 2)</f>
        <v>91</v>
      </c>
      <c r="X6" s="13">
        <f>SUM(R6:W6)</f>
        <v>289</v>
      </c>
      <c r="Y6" s="13" t="str">
        <f t="shared" si="3"/>
        <v>21</v>
      </c>
      <c r="Z6" s="119"/>
      <c r="AA6" s="119"/>
      <c r="AB6" s="119"/>
      <c r="AC6" s="119"/>
      <c r="AD6" s="119"/>
      <c r="AE6" s="119"/>
      <c r="AF6" s="119"/>
      <c r="AG6" s="119"/>
      <c r="AH6" s="119"/>
      <c r="AJ6" s="64" t="s">
        <v>1575</v>
      </c>
      <c r="AK6" s="64" t="s">
        <v>1535</v>
      </c>
    </row>
    <row r="7" spans="2:37" s="2" customFormat="1" ht="16.5" customHeight="1">
      <c r="B7" s="12" t="s">
        <v>11</v>
      </c>
      <c r="C7" s="12" t="str">
        <f t="shared" si="0"/>
        <v>FF010004404085</v>
      </c>
      <c r="D7" s="60" t="s">
        <v>24</v>
      </c>
      <c r="E7" s="60" t="s">
        <v>16</v>
      </c>
      <c r="F7" s="60" t="s">
        <v>67</v>
      </c>
      <c r="G7" s="60" t="s">
        <v>1503</v>
      </c>
      <c r="H7" s="60" t="s">
        <v>1503</v>
      </c>
      <c r="I7" s="12" t="str">
        <f>W7</f>
        <v>85</v>
      </c>
      <c r="J7" s="12"/>
      <c r="K7" s="12"/>
      <c r="L7" s="12"/>
      <c r="M7" s="12"/>
      <c r="N7" s="12"/>
      <c r="O7" s="12"/>
      <c r="P7" s="12"/>
      <c r="Q7" s="13">
        <f t="shared" si="1"/>
        <v>1</v>
      </c>
      <c r="R7" s="13">
        <f t="shared" si="1"/>
        <v>0</v>
      </c>
      <c r="S7" s="13">
        <f t="shared" si="1"/>
        <v>4</v>
      </c>
      <c r="T7" s="13">
        <f t="shared" si="1"/>
        <v>64</v>
      </c>
      <c r="U7" s="13">
        <f t="shared" si="1"/>
        <v>64</v>
      </c>
      <c r="V7" s="13">
        <f t="shared" si="4"/>
        <v>133</v>
      </c>
      <c r="W7" s="13" t="str">
        <f t="shared" si="5"/>
        <v>85</v>
      </c>
      <c r="X7" s="13">
        <f>SUM(R7:W7)</f>
        <v>265</v>
      </c>
      <c r="Y7" s="13" t="str">
        <f t="shared" si="3"/>
        <v>09</v>
      </c>
      <c r="Z7" s="119"/>
      <c r="AA7" s="119"/>
      <c r="AB7" s="119"/>
      <c r="AC7" s="119"/>
      <c r="AD7" s="119"/>
      <c r="AE7" s="119"/>
      <c r="AF7" s="119"/>
      <c r="AG7" s="119"/>
      <c r="AH7" s="119"/>
      <c r="AJ7" s="64" t="s">
        <v>1576</v>
      </c>
      <c r="AK7" s="64" t="s">
        <v>1536</v>
      </c>
    </row>
    <row r="8" spans="2:37" s="2" customFormat="1" ht="16.5" customHeight="1">
      <c r="B8" s="12" t="s">
        <v>12</v>
      </c>
      <c r="C8" s="12" t="str">
        <f t="shared" si="0"/>
        <v>FF010002404083</v>
      </c>
      <c r="D8" s="60" t="s">
        <v>24</v>
      </c>
      <c r="E8" s="60" t="s">
        <v>16</v>
      </c>
      <c r="F8" s="60" t="s">
        <v>17</v>
      </c>
      <c r="G8" s="60" t="s">
        <v>1503</v>
      </c>
      <c r="H8" s="60" t="s">
        <v>1503</v>
      </c>
      <c r="I8" s="12" t="str">
        <f>W8</f>
        <v>83</v>
      </c>
      <c r="J8" s="12"/>
      <c r="K8" s="12"/>
      <c r="L8" s="12"/>
      <c r="M8" s="12"/>
      <c r="N8" s="12"/>
      <c r="O8" s="12"/>
      <c r="P8" s="12"/>
      <c r="Q8" s="13">
        <f t="shared" si="1"/>
        <v>1</v>
      </c>
      <c r="R8" s="13">
        <f t="shared" si="1"/>
        <v>0</v>
      </c>
      <c r="S8" s="13">
        <f t="shared" si="1"/>
        <v>2</v>
      </c>
      <c r="T8" s="13">
        <f t="shared" si="1"/>
        <v>64</v>
      </c>
      <c r="U8" s="13">
        <f t="shared" si="1"/>
        <v>64</v>
      </c>
      <c r="V8" s="13">
        <f t="shared" si="4"/>
        <v>131</v>
      </c>
      <c r="W8" s="13" t="str">
        <f t="shared" si="5"/>
        <v>83</v>
      </c>
      <c r="X8" s="13">
        <f>SUM(R8:W8)</f>
        <v>261</v>
      </c>
      <c r="Y8" s="13" t="str">
        <f t="shared" si="3"/>
        <v>05</v>
      </c>
      <c r="Z8" s="119"/>
      <c r="AA8" s="119"/>
      <c r="AB8" s="119"/>
      <c r="AC8" s="119"/>
      <c r="AD8" s="119"/>
      <c r="AE8" s="119"/>
      <c r="AF8" s="119"/>
      <c r="AG8" s="119"/>
      <c r="AH8" s="119"/>
      <c r="AJ8" s="64" t="s">
        <v>1577</v>
      </c>
      <c r="AK8" s="64" t="s">
        <v>1537</v>
      </c>
    </row>
    <row r="9" spans="2:37" ht="16.5" customHeight="1">
      <c r="B9" s="12" t="s">
        <v>1499</v>
      </c>
      <c r="C9" s="12" t="str">
        <f t="shared" si="0"/>
        <v>FF01000C40408D</v>
      </c>
      <c r="D9" s="60" t="s">
        <v>24</v>
      </c>
      <c r="E9" s="60" t="s">
        <v>16</v>
      </c>
      <c r="F9" s="60" t="s">
        <v>1394</v>
      </c>
      <c r="G9" s="60" t="s">
        <v>1503</v>
      </c>
      <c r="H9" s="60" t="s">
        <v>1503</v>
      </c>
      <c r="I9" s="12" t="str">
        <f t="shared" ref="I9:I72" si="6">W9</f>
        <v>8D</v>
      </c>
      <c r="J9" s="12"/>
      <c r="K9" s="12"/>
      <c r="L9" s="12"/>
      <c r="M9" s="12"/>
      <c r="N9" s="12"/>
      <c r="O9" s="12"/>
      <c r="P9" s="12"/>
      <c r="Q9" s="13">
        <f t="shared" si="1"/>
        <v>1</v>
      </c>
      <c r="R9" s="13">
        <f t="shared" si="1"/>
        <v>0</v>
      </c>
      <c r="S9" s="13">
        <f t="shared" si="1"/>
        <v>12</v>
      </c>
      <c r="T9" s="13">
        <f t="shared" si="1"/>
        <v>64</v>
      </c>
      <c r="U9" s="13">
        <f t="shared" si="1"/>
        <v>64</v>
      </c>
      <c r="V9" s="13">
        <f t="shared" ref="V9:V56" si="7">SUM(Q9:U9)</f>
        <v>141</v>
      </c>
      <c r="W9" s="13" t="str">
        <f t="shared" si="5"/>
        <v>8D</v>
      </c>
      <c r="X9" s="13">
        <f t="shared" ref="X9:X72" si="8">SUM(R9:W9)</f>
        <v>281</v>
      </c>
      <c r="Y9" s="13" t="str">
        <f t="shared" si="3"/>
        <v>19</v>
      </c>
      <c r="Z9" s="119"/>
      <c r="AA9" s="119"/>
      <c r="AB9" s="119"/>
      <c r="AC9" s="119"/>
      <c r="AD9" s="119"/>
      <c r="AE9" s="119"/>
      <c r="AF9" s="119"/>
      <c r="AG9" s="119"/>
      <c r="AH9" s="119"/>
      <c r="AJ9" s="64" t="s">
        <v>1578</v>
      </c>
      <c r="AK9" s="64" t="s">
        <v>1538</v>
      </c>
    </row>
    <row r="10" spans="2:37" ht="16.5" customHeight="1">
      <c r="B10" s="12" t="s">
        <v>1500</v>
      </c>
      <c r="C10" s="12" t="str">
        <f t="shared" si="0"/>
        <v>FF01000A40408B</v>
      </c>
      <c r="D10" s="60" t="s">
        <v>24</v>
      </c>
      <c r="E10" s="60" t="s">
        <v>16</v>
      </c>
      <c r="F10" s="60" t="s">
        <v>61</v>
      </c>
      <c r="G10" s="60" t="s">
        <v>1503</v>
      </c>
      <c r="H10" s="60" t="s">
        <v>1503</v>
      </c>
      <c r="I10" s="12" t="str">
        <f t="shared" si="6"/>
        <v>8B</v>
      </c>
      <c r="J10" s="12"/>
      <c r="K10" s="12"/>
      <c r="L10" s="12"/>
      <c r="M10" s="12"/>
      <c r="N10" s="12"/>
      <c r="O10" s="12"/>
      <c r="P10" s="12"/>
      <c r="Q10" s="13">
        <f t="shared" si="1"/>
        <v>1</v>
      </c>
      <c r="R10" s="13">
        <f t="shared" si="1"/>
        <v>0</v>
      </c>
      <c r="S10" s="13">
        <f t="shared" si="1"/>
        <v>10</v>
      </c>
      <c r="T10" s="13">
        <f t="shared" si="1"/>
        <v>64</v>
      </c>
      <c r="U10" s="13">
        <f t="shared" si="1"/>
        <v>64</v>
      </c>
      <c r="V10" s="13">
        <f t="shared" si="7"/>
        <v>139</v>
      </c>
      <c r="W10" s="13" t="str">
        <f t="shared" si="5"/>
        <v>8B</v>
      </c>
      <c r="X10" s="13">
        <f t="shared" si="8"/>
        <v>277</v>
      </c>
      <c r="Y10" s="13" t="str">
        <f t="shared" si="3"/>
        <v>15</v>
      </c>
      <c r="Z10" s="119"/>
      <c r="AA10" s="119"/>
      <c r="AB10" s="119"/>
      <c r="AC10" s="119"/>
      <c r="AD10" s="119"/>
      <c r="AE10" s="119"/>
      <c r="AF10" s="119"/>
      <c r="AG10" s="119"/>
      <c r="AH10" s="119"/>
      <c r="AJ10" s="64" t="s">
        <v>1579</v>
      </c>
      <c r="AK10" s="64" t="s">
        <v>1539</v>
      </c>
    </row>
    <row r="11" spans="2:37" ht="16.5" customHeight="1">
      <c r="B11" s="12" t="s">
        <v>1501</v>
      </c>
      <c r="C11" s="12" t="str">
        <f t="shared" si="0"/>
        <v>FF010014404095</v>
      </c>
      <c r="D11" s="60" t="s">
        <v>24</v>
      </c>
      <c r="E11" s="60" t="s">
        <v>16</v>
      </c>
      <c r="F11" s="60">
        <v>14</v>
      </c>
      <c r="G11" s="60" t="s">
        <v>1503</v>
      </c>
      <c r="H11" s="60" t="s">
        <v>1503</v>
      </c>
      <c r="I11" s="12" t="str">
        <f t="shared" si="6"/>
        <v>95</v>
      </c>
      <c r="J11" s="12"/>
      <c r="K11" s="12"/>
      <c r="L11" s="12"/>
      <c r="M11" s="12"/>
      <c r="N11" s="12"/>
      <c r="O11" s="12"/>
      <c r="P11" s="12"/>
      <c r="Q11" s="13">
        <f t="shared" si="1"/>
        <v>1</v>
      </c>
      <c r="R11" s="13">
        <f t="shared" si="1"/>
        <v>0</v>
      </c>
      <c r="S11" s="13">
        <f t="shared" si="1"/>
        <v>20</v>
      </c>
      <c r="T11" s="13">
        <f t="shared" si="1"/>
        <v>64</v>
      </c>
      <c r="U11" s="13">
        <f t="shared" si="1"/>
        <v>64</v>
      </c>
      <c r="V11" s="13">
        <f t="shared" si="7"/>
        <v>149</v>
      </c>
      <c r="W11" s="13" t="str">
        <f t="shared" si="5"/>
        <v>95</v>
      </c>
      <c r="X11" s="13">
        <f t="shared" si="8"/>
        <v>297</v>
      </c>
      <c r="Y11" s="13" t="str">
        <f t="shared" si="3"/>
        <v>29</v>
      </c>
      <c r="Z11" s="119"/>
      <c r="AA11" s="119"/>
      <c r="AB11" s="119"/>
      <c r="AC11" s="119"/>
      <c r="AD11" s="119"/>
      <c r="AE11" s="119"/>
      <c r="AF11" s="119"/>
      <c r="AG11" s="119"/>
      <c r="AH11" s="119"/>
      <c r="AJ11" s="64" t="s">
        <v>1580</v>
      </c>
      <c r="AK11" s="64" t="s">
        <v>1540</v>
      </c>
    </row>
    <row r="12" spans="2:37" ht="16.5" customHeight="1">
      <c r="B12" s="12" t="s">
        <v>1502</v>
      </c>
      <c r="C12" s="12" t="str">
        <f t="shared" si="0"/>
        <v>FF010012404093</v>
      </c>
      <c r="D12" s="60" t="s">
        <v>24</v>
      </c>
      <c r="E12" s="60" t="s">
        <v>16</v>
      </c>
      <c r="F12" s="60">
        <v>12</v>
      </c>
      <c r="G12" s="60" t="s">
        <v>1503</v>
      </c>
      <c r="H12" s="60" t="s">
        <v>1503</v>
      </c>
      <c r="I12" s="12" t="str">
        <f t="shared" si="6"/>
        <v>93</v>
      </c>
      <c r="J12" s="12"/>
      <c r="K12" s="12"/>
      <c r="L12" s="12"/>
      <c r="M12" s="12"/>
      <c r="N12" s="12"/>
      <c r="O12" s="12"/>
      <c r="P12" s="12"/>
      <c r="Q12" s="13">
        <f t="shared" si="1"/>
        <v>1</v>
      </c>
      <c r="R12" s="13">
        <f t="shared" si="1"/>
        <v>0</v>
      </c>
      <c r="S12" s="13">
        <f t="shared" si="1"/>
        <v>18</v>
      </c>
      <c r="T12" s="13">
        <f t="shared" si="1"/>
        <v>64</v>
      </c>
      <c r="U12" s="13">
        <f t="shared" si="1"/>
        <v>64</v>
      </c>
      <c r="V12" s="13">
        <f t="shared" si="7"/>
        <v>147</v>
      </c>
      <c r="W12" s="13" t="str">
        <f t="shared" si="5"/>
        <v>93</v>
      </c>
      <c r="X12" s="13">
        <f t="shared" si="8"/>
        <v>293</v>
      </c>
      <c r="Y12" s="13" t="str">
        <f t="shared" si="3"/>
        <v>25</v>
      </c>
      <c r="Z12" s="119"/>
      <c r="AA12" s="119"/>
      <c r="AB12" s="119"/>
      <c r="AC12" s="119"/>
      <c r="AD12" s="119"/>
      <c r="AE12" s="119"/>
      <c r="AF12" s="119"/>
      <c r="AG12" s="119"/>
      <c r="AH12" s="119"/>
      <c r="AJ12" s="64" t="s">
        <v>1581</v>
      </c>
      <c r="AK12" s="64" t="s">
        <v>1541</v>
      </c>
    </row>
    <row r="13" spans="2:37" ht="16.5" customHeight="1">
      <c r="B13" s="12" t="s">
        <v>30</v>
      </c>
      <c r="C13" s="12" t="str">
        <f t="shared" si="0"/>
        <v>FF010020000021</v>
      </c>
      <c r="D13" s="60" t="s">
        <v>24</v>
      </c>
      <c r="E13" s="60" t="s">
        <v>16</v>
      </c>
      <c r="F13" s="60">
        <v>20</v>
      </c>
      <c r="G13" s="60" t="s">
        <v>16</v>
      </c>
      <c r="H13" s="60" t="s">
        <v>16</v>
      </c>
      <c r="I13" s="12" t="str">
        <f t="shared" si="6"/>
        <v>21</v>
      </c>
      <c r="J13" s="12"/>
      <c r="K13" s="12"/>
      <c r="L13" s="12"/>
      <c r="M13" s="12"/>
      <c r="N13" s="12"/>
      <c r="O13" s="12"/>
      <c r="P13" s="12"/>
      <c r="Q13" s="13">
        <f t="shared" si="1"/>
        <v>1</v>
      </c>
      <c r="R13" s="13">
        <f t="shared" si="1"/>
        <v>0</v>
      </c>
      <c r="S13" s="13">
        <f t="shared" si="1"/>
        <v>32</v>
      </c>
      <c r="T13" s="13">
        <f t="shared" si="1"/>
        <v>0</v>
      </c>
      <c r="U13" s="13">
        <f t="shared" si="1"/>
        <v>0</v>
      </c>
      <c r="V13" s="13">
        <f t="shared" si="7"/>
        <v>33</v>
      </c>
      <c r="W13" s="13" t="str">
        <f t="shared" si="5"/>
        <v>21</v>
      </c>
      <c r="X13" s="13">
        <f t="shared" ref="X13" si="9">SUM(R13:W13)</f>
        <v>65</v>
      </c>
      <c r="Y13" s="13" t="str">
        <f t="shared" si="3"/>
        <v>41</v>
      </c>
      <c r="Z13" s="119"/>
      <c r="AA13" s="119"/>
      <c r="AB13" s="119"/>
      <c r="AC13" s="119"/>
      <c r="AD13" s="119"/>
      <c r="AE13" s="119"/>
      <c r="AF13" s="119"/>
      <c r="AG13" s="119"/>
      <c r="AH13" s="119"/>
      <c r="AJ13" s="64" t="s">
        <v>1582</v>
      </c>
      <c r="AK13" s="64" t="s">
        <v>543</v>
      </c>
    </row>
    <row r="14" spans="2:37" ht="16.5" customHeight="1">
      <c r="B14" s="12" t="s">
        <v>31</v>
      </c>
      <c r="C14" s="12" t="str">
        <f t="shared" si="0"/>
        <v>FF010040000041</v>
      </c>
      <c r="D14" s="60" t="s">
        <v>24</v>
      </c>
      <c r="E14" s="60" t="s">
        <v>16</v>
      </c>
      <c r="F14" s="60" t="s">
        <v>1503</v>
      </c>
      <c r="G14" s="60" t="s">
        <v>16</v>
      </c>
      <c r="H14" s="60" t="s">
        <v>16</v>
      </c>
      <c r="I14" s="12" t="str">
        <f t="shared" si="6"/>
        <v>41</v>
      </c>
      <c r="J14" s="12"/>
      <c r="K14" s="12"/>
      <c r="L14" s="12"/>
      <c r="M14" s="12"/>
      <c r="N14" s="12"/>
      <c r="O14" s="12"/>
      <c r="P14" s="12"/>
      <c r="Q14" s="13">
        <f t="shared" si="1"/>
        <v>1</v>
      </c>
      <c r="R14" s="13">
        <f t="shared" si="1"/>
        <v>0</v>
      </c>
      <c r="S14" s="13">
        <f t="shared" si="1"/>
        <v>64</v>
      </c>
      <c r="T14" s="13">
        <f t="shared" si="1"/>
        <v>0</v>
      </c>
      <c r="U14" s="13">
        <f t="shared" si="1"/>
        <v>0</v>
      </c>
      <c r="V14" s="13">
        <f t="shared" ref="V14:V16" si="10">SUM(Q14:U14)</f>
        <v>65</v>
      </c>
      <c r="W14" s="13" t="str">
        <f t="shared" si="5"/>
        <v>41</v>
      </c>
      <c r="X14" s="13">
        <f t="shared" ref="X14:X16" si="11">SUM(R14:W14)</f>
        <v>129</v>
      </c>
      <c r="Y14" s="13" t="str">
        <f t="shared" si="3"/>
        <v>81</v>
      </c>
      <c r="Z14" s="119"/>
      <c r="AA14" s="119"/>
      <c r="AB14" s="119"/>
      <c r="AC14" s="119"/>
      <c r="AD14" s="119"/>
      <c r="AE14" s="119"/>
      <c r="AF14" s="119"/>
      <c r="AG14" s="119"/>
      <c r="AH14" s="119"/>
      <c r="AJ14" s="64" t="s">
        <v>1583</v>
      </c>
      <c r="AK14" s="64" t="s">
        <v>542</v>
      </c>
    </row>
    <row r="15" spans="2:37" ht="16.5" customHeight="1">
      <c r="B15" s="12" t="s">
        <v>42</v>
      </c>
      <c r="C15" s="12" t="str">
        <f t="shared" si="0"/>
        <v>FF010080000081</v>
      </c>
      <c r="D15" s="60" t="s">
        <v>24</v>
      </c>
      <c r="E15" s="60" t="s">
        <v>16</v>
      </c>
      <c r="F15" s="60" t="s">
        <v>43</v>
      </c>
      <c r="G15" s="60" t="s">
        <v>16</v>
      </c>
      <c r="H15" s="60" t="s">
        <v>16</v>
      </c>
      <c r="I15" s="12" t="str">
        <f t="shared" si="6"/>
        <v>81</v>
      </c>
      <c r="J15" s="12"/>
      <c r="K15" s="12"/>
      <c r="L15" s="12"/>
      <c r="M15" s="12"/>
      <c r="N15" s="12"/>
      <c r="O15" s="12"/>
      <c r="P15" s="12"/>
      <c r="Q15" s="13">
        <f t="shared" si="1"/>
        <v>1</v>
      </c>
      <c r="R15" s="13">
        <f t="shared" si="1"/>
        <v>0</v>
      </c>
      <c r="S15" s="13">
        <f t="shared" si="1"/>
        <v>128</v>
      </c>
      <c r="T15" s="13">
        <f t="shared" si="1"/>
        <v>0</v>
      </c>
      <c r="U15" s="13">
        <f t="shared" si="1"/>
        <v>0</v>
      </c>
      <c r="V15" s="13">
        <f t="shared" si="10"/>
        <v>129</v>
      </c>
      <c r="W15" s="13" t="str">
        <f t="shared" si="5"/>
        <v>81</v>
      </c>
      <c r="X15" s="13">
        <f t="shared" si="11"/>
        <v>257</v>
      </c>
      <c r="Y15" s="13" t="str">
        <f t="shared" si="3"/>
        <v>01</v>
      </c>
      <c r="Z15" s="119"/>
      <c r="AA15" s="119"/>
      <c r="AB15" s="119"/>
      <c r="AC15" s="119"/>
      <c r="AD15" s="119"/>
      <c r="AE15" s="119"/>
      <c r="AF15" s="119"/>
      <c r="AG15" s="119"/>
      <c r="AH15" s="119"/>
      <c r="AJ15" s="64" t="s">
        <v>1584</v>
      </c>
      <c r="AK15" s="64" t="s">
        <v>544</v>
      </c>
    </row>
    <row r="16" spans="2:37" ht="16.5" customHeight="1">
      <c r="B16" s="12" t="s">
        <v>44</v>
      </c>
      <c r="C16" s="12" t="str">
        <f t="shared" si="0"/>
        <v>FF010100000002</v>
      </c>
      <c r="D16" s="60" t="s">
        <v>24</v>
      </c>
      <c r="E16" s="60" t="s">
        <v>24</v>
      </c>
      <c r="F16" s="60" t="s">
        <v>16</v>
      </c>
      <c r="G16" s="60" t="s">
        <v>16</v>
      </c>
      <c r="H16" s="60" t="s">
        <v>16</v>
      </c>
      <c r="I16" s="12" t="str">
        <f t="shared" si="6"/>
        <v>02</v>
      </c>
      <c r="J16" s="12"/>
      <c r="K16" s="12"/>
      <c r="L16" s="12"/>
      <c r="M16" s="12"/>
      <c r="N16" s="12"/>
      <c r="O16" s="12"/>
      <c r="P16" s="12"/>
      <c r="Q16" s="13">
        <f t="shared" si="1"/>
        <v>1</v>
      </c>
      <c r="R16" s="13">
        <f t="shared" si="1"/>
        <v>1</v>
      </c>
      <c r="S16" s="13">
        <f t="shared" si="1"/>
        <v>0</v>
      </c>
      <c r="T16" s="13">
        <f t="shared" si="1"/>
        <v>0</v>
      </c>
      <c r="U16" s="13">
        <f t="shared" si="1"/>
        <v>0</v>
      </c>
      <c r="V16" s="13">
        <f t="shared" si="10"/>
        <v>2</v>
      </c>
      <c r="W16" s="13" t="str">
        <f t="shared" si="5"/>
        <v>02</v>
      </c>
      <c r="X16" s="13">
        <f t="shared" si="11"/>
        <v>3</v>
      </c>
      <c r="Y16" s="13" t="str">
        <f t="shared" si="3"/>
        <v>03</v>
      </c>
      <c r="Z16" s="119"/>
      <c r="AA16" s="119"/>
      <c r="AB16" s="119"/>
      <c r="AC16" s="119"/>
      <c r="AD16" s="119"/>
      <c r="AE16" s="119"/>
      <c r="AF16" s="119"/>
      <c r="AG16" s="119"/>
      <c r="AH16" s="119"/>
      <c r="AJ16" s="64" t="s">
        <v>1585</v>
      </c>
      <c r="AK16" s="64" t="s">
        <v>545</v>
      </c>
    </row>
    <row r="17" spans="2:37" ht="16.5" customHeight="1">
      <c r="B17" s="12" t="s">
        <v>102</v>
      </c>
      <c r="C17" s="12" t="str">
        <f t="shared" si="0"/>
        <v>FF01002B00002C</v>
      </c>
      <c r="D17" s="60" t="s">
        <v>24</v>
      </c>
      <c r="E17" s="60" t="s">
        <v>16</v>
      </c>
      <c r="F17" s="60" t="s">
        <v>104</v>
      </c>
      <c r="G17" s="60" t="s">
        <v>16</v>
      </c>
      <c r="H17" s="60" t="s">
        <v>16</v>
      </c>
      <c r="I17" s="12" t="str">
        <f t="shared" si="6"/>
        <v>2C</v>
      </c>
      <c r="J17" s="12"/>
      <c r="K17" s="12"/>
      <c r="L17" s="12"/>
      <c r="M17" s="12"/>
      <c r="N17" s="12"/>
      <c r="O17" s="12"/>
      <c r="P17" s="12"/>
      <c r="Q17" s="13">
        <f t="shared" si="1"/>
        <v>1</v>
      </c>
      <c r="R17" s="13">
        <f t="shared" si="1"/>
        <v>0</v>
      </c>
      <c r="S17" s="13">
        <f t="shared" si="1"/>
        <v>43</v>
      </c>
      <c r="T17" s="13">
        <f t="shared" si="1"/>
        <v>0</v>
      </c>
      <c r="U17" s="13">
        <f t="shared" si="1"/>
        <v>0</v>
      </c>
      <c r="V17" s="13">
        <f t="shared" ref="V17:V19" si="12">SUM(Q17:U17)</f>
        <v>44</v>
      </c>
      <c r="W17" s="13" t="str">
        <f t="shared" si="5"/>
        <v>2C</v>
      </c>
      <c r="X17" s="13">
        <f t="shared" ref="X17:X53" si="13">SUM(R17:W17)</f>
        <v>87</v>
      </c>
      <c r="Y17" s="13" t="str">
        <f t="shared" si="3"/>
        <v>57</v>
      </c>
      <c r="Z17" s="119"/>
      <c r="AA17" s="119"/>
      <c r="AB17" s="119"/>
      <c r="AC17" s="119"/>
      <c r="AD17" s="119"/>
      <c r="AE17" s="119"/>
      <c r="AF17" s="119"/>
      <c r="AG17" s="119"/>
      <c r="AH17" s="119"/>
      <c r="AJ17" s="64" t="s">
        <v>1633</v>
      </c>
      <c r="AK17" s="64" t="s">
        <v>191</v>
      </c>
    </row>
    <row r="18" spans="2:37" ht="16.5" customHeight="1">
      <c r="B18" s="12" t="s">
        <v>103</v>
      </c>
      <c r="C18" s="12" t="str">
        <f t="shared" si="0"/>
        <v>FF01002B00012D</v>
      </c>
      <c r="D18" s="60" t="s">
        <v>24</v>
      </c>
      <c r="E18" s="60" t="s">
        <v>16</v>
      </c>
      <c r="F18" s="60" t="s">
        <v>104</v>
      </c>
      <c r="G18" s="60" t="s">
        <v>16</v>
      </c>
      <c r="H18" s="60" t="s">
        <v>24</v>
      </c>
      <c r="I18" s="12" t="str">
        <f t="shared" si="6"/>
        <v>2D</v>
      </c>
      <c r="J18" s="12"/>
      <c r="K18" s="12"/>
      <c r="L18" s="12"/>
      <c r="M18" s="12"/>
      <c r="N18" s="12"/>
      <c r="O18" s="12"/>
      <c r="P18" s="12"/>
      <c r="Q18" s="13">
        <f t="shared" si="1"/>
        <v>1</v>
      </c>
      <c r="R18" s="13">
        <f t="shared" si="1"/>
        <v>0</v>
      </c>
      <c r="S18" s="13">
        <f t="shared" si="1"/>
        <v>43</v>
      </c>
      <c r="T18" s="13">
        <f t="shared" si="1"/>
        <v>0</v>
      </c>
      <c r="U18" s="13">
        <f t="shared" si="1"/>
        <v>1</v>
      </c>
      <c r="V18" s="13">
        <f t="shared" si="12"/>
        <v>45</v>
      </c>
      <c r="W18" s="13" t="str">
        <f t="shared" si="5"/>
        <v>2D</v>
      </c>
      <c r="X18" s="13">
        <f t="shared" si="13"/>
        <v>89</v>
      </c>
      <c r="Y18" s="13" t="str">
        <f t="shared" si="3"/>
        <v>59</v>
      </c>
      <c r="Z18" s="119"/>
      <c r="AA18" s="119"/>
      <c r="AB18" s="119"/>
      <c r="AC18" s="119"/>
      <c r="AD18" s="119"/>
      <c r="AE18" s="119"/>
      <c r="AF18" s="119"/>
      <c r="AG18" s="119"/>
      <c r="AH18" s="119"/>
      <c r="AJ18" s="64" t="s">
        <v>1635</v>
      </c>
      <c r="AK18" s="64" t="s">
        <v>192</v>
      </c>
    </row>
    <row r="19" spans="2:37" ht="16.5" customHeight="1">
      <c r="B19" s="12" t="s">
        <v>1965</v>
      </c>
      <c r="C19" s="12" t="str">
        <f t="shared" si="0"/>
        <v>FF01000F000010</v>
      </c>
      <c r="D19" s="60" t="s">
        <v>24</v>
      </c>
      <c r="E19" s="60" t="s">
        <v>16</v>
      </c>
      <c r="F19" s="60" t="s">
        <v>78</v>
      </c>
      <c r="G19" s="60" t="s">
        <v>16</v>
      </c>
      <c r="H19" s="60" t="s">
        <v>16</v>
      </c>
      <c r="I19" s="12" t="str">
        <f t="shared" si="6"/>
        <v>10</v>
      </c>
      <c r="J19" s="12"/>
      <c r="K19" s="12"/>
      <c r="L19" s="12"/>
      <c r="M19" s="12"/>
      <c r="N19" s="12"/>
      <c r="O19" s="12"/>
      <c r="P19" s="12"/>
      <c r="Q19" s="13">
        <f t="shared" si="1"/>
        <v>1</v>
      </c>
      <c r="R19" s="13">
        <f t="shared" si="1"/>
        <v>0</v>
      </c>
      <c r="S19" s="13">
        <f t="shared" si="1"/>
        <v>15</v>
      </c>
      <c r="T19" s="13">
        <f t="shared" si="1"/>
        <v>0</v>
      </c>
      <c r="U19" s="13">
        <f t="shared" si="1"/>
        <v>0</v>
      </c>
      <c r="V19" s="13">
        <f t="shared" si="12"/>
        <v>16</v>
      </c>
      <c r="W19" s="13" t="str">
        <f t="shared" si="5"/>
        <v>10</v>
      </c>
      <c r="X19" s="13">
        <f t="shared" si="13"/>
        <v>31</v>
      </c>
      <c r="Y19" s="13" t="str">
        <f t="shared" si="3"/>
        <v>1F</v>
      </c>
      <c r="Z19" s="119"/>
      <c r="AA19" s="119"/>
      <c r="AB19" s="119"/>
      <c r="AC19" s="119"/>
      <c r="AD19" s="119"/>
      <c r="AE19" s="119"/>
      <c r="AF19" s="119"/>
      <c r="AG19" s="119"/>
      <c r="AH19" s="119"/>
      <c r="AJ19" s="64" t="s">
        <v>1662</v>
      </c>
      <c r="AK19" s="64" t="s">
        <v>179</v>
      </c>
    </row>
    <row r="20" spans="2:37" ht="16.5" customHeight="1">
      <c r="B20" s="12" t="s">
        <v>1708</v>
      </c>
      <c r="C20" s="12" t="str">
        <f t="shared" si="0"/>
        <v>FF01004BB1E0DD</v>
      </c>
      <c r="D20" s="60" t="s">
        <v>24</v>
      </c>
      <c r="E20" s="60" t="s">
        <v>16</v>
      </c>
      <c r="F20" s="60" t="s">
        <v>1511</v>
      </c>
      <c r="G20" s="60" t="s">
        <v>32</v>
      </c>
      <c r="H20" s="60" t="s">
        <v>15</v>
      </c>
      <c r="I20" s="12" t="str">
        <f t="shared" si="6"/>
        <v>DD</v>
      </c>
      <c r="J20" s="12"/>
      <c r="K20" s="12"/>
      <c r="L20" s="12"/>
      <c r="M20" s="12"/>
      <c r="N20" s="12"/>
      <c r="O20" s="12"/>
      <c r="P20" s="12"/>
      <c r="Q20" s="13">
        <f t="shared" si="1"/>
        <v>1</v>
      </c>
      <c r="R20" s="13">
        <f t="shared" si="1"/>
        <v>0</v>
      </c>
      <c r="S20" s="13">
        <f t="shared" si="1"/>
        <v>75</v>
      </c>
      <c r="T20" s="13">
        <f t="shared" si="1"/>
        <v>177</v>
      </c>
      <c r="U20" s="13">
        <f t="shared" si="1"/>
        <v>224</v>
      </c>
      <c r="V20" s="13">
        <f t="shared" ref="V20:V44" si="14">SUM(Q20:U20)</f>
        <v>477</v>
      </c>
      <c r="W20" s="13" t="str">
        <f t="shared" si="5"/>
        <v>DD</v>
      </c>
      <c r="X20" s="13">
        <f t="shared" si="13"/>
        <v>953</v>
      </c>
      <c r="Y20" s="13" t="str">
        <f t="shared" si="3"/>
        <v>B9</v>
      </c>
      <c r="Z20" s="119"/>
      <c r="AA20" s="119"/>
      <c r="AB20" s="119"/>
      <c r="AC20" s="119"/>
      <c r="AD20" s="119"/>
      <c r="AE20" s="119"/>
      <c r="AF20" s="119"/>
      <c r="AG20" s="119">
        <v>-20000</v>
      </c>
      <c r="AH20" s="119"/>
      <c r="AI20" s="119" t="str">
        <f>TEXT(DEC2HEX(65536 + AG20), "0000")</f>
        <v>B1E0</v>
      </c>
      <c r="AJ20" s="64" t="s">
        <v>1597</v>
      </c>
      <c r="AK20" s="64" t="s">
        <v>2123</v>
      </c>
    </row>
    <row r="21" spans="2:37" ht="16.5" customHeight="1">
      <c r="B21" s="12" t="s">
        <v>1687</v>
      </c>
      <c r="C21" s="12" t="str">
        <f t="shared" si="0"/>
        <v>FF01004BB9B0B5</v>
      </c>
      <c r="D21" s="60" t="s">
        <v>24</v>
      </c>
      <c r="E21" s="60" t="s">
        <v>16</v>
      </c>
      <c r="F21" s="60" t="s">
        <v>1511</v>
      </c>
      <c r="G21" s="60" t="s">
        <v>1693</v>
      </c>
      <c r="H21" s="60" t="s">
        <v>1275</v>
      </c>
      <c r="I21" s="12" t="str">
        <f t="shared" si="6"/>
        <v>B5</v>
      </c>
      <c r="J21" s="12"/>
      <c r="K21" s="12"/>
      <c r="L21" s="12"/>
      <c r="M21" s="12"/>
      <c r="N21" s="12"/>
      <c r="O21" s="12"/>
      <c r="P21" s="12"/>
      <c r="Q21" s="13">
        <f t="shared" si="1"/>
        <v>1</v>
      </c>
      <c r="R21" s="13">
        <f t="shared" si="1"/>
        <v>0</v>
      </c>
      <c r="S21" s="13">
        <f t="shared" si="1"/>
        <v>75</v>
      </c>
      <c r="T21" s="13">
        <f t="shared" si="1"/>
        <v>185</v>
      </c>
      <c r="U21" s="13">
        <f t="shared" si="1"/>
        <v>176</v>
      </c>
      <c r="V21" s="13">
        <f t="shared" si="14"/>
        <v>437</v>
      </c>
      <c r="W21" s="13" t="str">
        <f t="shared" si="5"/>
        <v>B5</v>
      </c>
      <c r="X21" s="13">
        <f t="shared" si="13"/>
        <v>873</v>
      </c>
      <c r="Y21" s="13" t="str">
        <f t="shared" si="3"/>
        <v>69</v>
      </c>
      <c r="Z21" s="119"/>
      <c r="AA21" s="119"/>
      <c r="AB21" s="119"/>
      <c r="AC21" s="119"/>
      <c r="AD21" s="119"/>
      <c r="AE21" s="119"/>
      <c r="AF21" s="119"/>
      <c r="AG21" s="119">
        <v>-18000</v>
      </c>
      <c r="AH21" s="119"/>
      <c r="AI21" s="119" t="str">
        <f>TEXT(DEC2HEX(65536 + AG21), "0000")</f>
        <v>B9B0</v>
      </c>
      <c r="AJ21" s="64" t="s">
        <v>1597</v>
      </c>
      <c r="AK21" s="64" t="s">
        <v>2124</v>
      </c>
    </row>
    <row r="22" spans="2:37" ht="16.5" customHeight="1">
      <c r="B22" s="12" t="s">
        <v>1688</v>
      </c>
      <c r="C22" s="12" t="str">
        <f t="shared" si="0"/>
        <v>FF01004B4650E2</v>
      </c>
      <c r="D22" s="60" t="s">
        <v>24</v>
      </c>
      <c r="E22" s="60" t="s">
        <v>16</v>
      </c>
      <c r="F22" s="60" t="s">
        <v>1511</v>
      </c>
      <c r="G22" s="60" t="s">
        <v>1691</v>
      </c>
      <c r="H22" s="60" t="s">
        <v>162</v>
      </c>
      <c r="I22" s="12" t="str">
        <f t="shared" si="6"/>
        <v>E2</v>
      </c>
      <c r="J22" s="12"/>
      <c r="K22" s="12"/>
      <c r="L22" s="12"/>
      <c r="M22" s="12"/>
      <c r="N22" s="12"/>
      <c r="O22" s="12"/>
      <c r="P22" s="12"/>
      <c r="Q22" s="13">
        <f t="shared" si="1"/>
        <v>1</v>
      </c>
      <c r="R22" s="13">
        <f t="shared" si="1"/>
        <v>0</v>
      </c>
      <c r="S22" s="13">
        <f t="shared" si="1"/>
        <v>75</v>
      </c>
      <c r="T22" s="13">
        <f t="shared" si="1"/>
        <v>70</v>
      </c>
      <c r="U22" s="13">
        <f t="shared" si="1"/>
        <v>80</v>
      </c>
      <c r="V22" s="13">
        <f t="shared" si="14"/>
        <v>226</v>
      </c>
      <c r="W22" s="13" t="str">
        <f t="shared" si="5"/>
        <v>E2</v>
      </c>
      <c r="X22" s="13">
        <f t="shared" si="13"/>
        <v>451</v>
      </c>
      <c r="Y22" s="13" t="str">
        <f t="shared" si="3"/>
        <v>C3</v>
      </c>
      <c r="Z22" s="119"/>
      <c r="AA22" s="119"/>
      <c r="AB22" s="119"/>
      <c r="AC22" s="119"/>
      <c r="AD22" s="119"/>
      <c r="AE22" s="119"/>
      <c r="AF22" s="119"/>
      <c r="AG22" s="119"/>
      <c r="AH22" s="119"/>
      <c r="AJ22" s="64" t="s">
        <v>1598</v>
      </c>
      <c r="AK22" s="64" t="s">
        <v>2125</v>
      </c>
    </row>
    <row r="23" spans="2:37" ht="16.5" customHeight="1">
      <c r="B23" s="12" t="s">
        <v>1966</v>
      </c>
      <c r="C23" s="12" t="str">
        <f t="shared" si="0"/>
        <v>FF01004BB9B1B6</v>
      </c>
      <c r="D23" s="60" t="s">
        <v>24</v>
      </c>
      <c r="E23" s="60" t="s">
        <v>16</v>
      </c>
      <c r="F23" s="60" t="s">
        <v>1511</v>
      </c>
      <c r="G23" s="60" t="s">
        <v>1693</v>
      </c>
      <c r="H23" s="60" t="s">
        <v>32</v>
      </c>
      <c r="I23" s="12" t="str">
        <f t="shared" si="6"/>
        <v>B6</v>
      </c>
      <c r="J23" s="12"/>
      <c r="K23" s="12"/>
      <c r="L23" s="12"/>
      <c r="M23" s="12"/>
      <c r="N23" s="12"/>
      <c r="O23" s="12"/>
      <c r="P23" s="12"/>
      <c r="Q23" s="13">
        <f t="shared" si="1"/>
        <v>1</v>
      </c>
      <c r="R23" s="13">
        <f t="shared" si="1"/>
        <v>0</v>
      </c>
      <c r="S23" s="13">
        <f t="shared" si="1"/>
        <v>75</v>
      </c>
      <c r="T23" s="13">
        <f t="shared" si="1"/>
        <v>185</v>
      </c>
      <c r="U23" s="13">
        <f t="shared" si="1"/>
        <v>177</v>
      </c>
      <c r="V23" s="13">
        <f t="shared" ref="V23:V24" si="15">SUM(Q23:U23)</f>
        <v>438</v>
      </c>
      <c r="W23" s="13" t="str">
        <f t="shared" si="5"/>
        <v>B6</v>
      </c>
      <c r="X23" s="13">
        <f t="shared" si="13"/>
        <v>875</v>
      </c>
      <c r="Y23" s="13" t="str">
        <f t="shared" si="3"/>
        <v>6B</v>
      </c>
      <c r="Z23" s="119"/>
      <c r="AA23" s="119"/>
      <c r="AB23" s="119"/>
      <c r="AC23" s="119"/>
      <c r="AD23" s="119"/>
      <c r="AE23" s="119"/>
      <c r="AF23" s="119"/>
      <c r="AG23" s="119">
        <v>-17999</v>
      </c>
      <c r="AH23" s="119"/>
      <c r="AI23" s="119" t="str">
        <f>TEXT(DEC2HEX(65536 + AG23), "0000")</f>
        <v>B9B1</v>
      </c>
      <c r="AJ23" s="64" t="s">
        <v>1597</v>
      </c>
      <c r="AK23" s="64" t="s">
        <v>2126</v>
      </c>
    </row>
    <row r="24" spans="2:37" ht="16.5" customHeight="1">
      <c r="B24" s="12" t="s">
        <v>1967</v>
      </c>
      <c r="C24" s="12" t="str">
        <f t="shared" si="0"/>
        <v>FF01004B464FE1</v>
      </c>
      <c r="D24" s="60" t="s">
        <v>24</v>
      </c>
      <c r="E24" s="60" t="s">
        <v>16</v>
      </c>
      <c r="F24" s="60" t="s">
        <v>1511</v>
      </c>
      <c r="G24" s="60" t="s">
        <v>1691</v>
      </c>
      <c r="H24" s="60" t="s">
        <v>70</v>
      </c>
      <c r="I24" s="12" t="str">
        <f t="shared" si="6"/>
        <v>E1</v>
      </c>
      <c r="J24" s="12"/>
      <c r="K24" s="12"/>
      <c r="L24" s="12"/>
      <c r="M24" s="12"/>
      <c r="N24" s="12"/>
      <c r="O24" s="12"/>
      <c r="P24" s="12"/>
      <c r="Q24" s="13">
        <f t="shared" si="1"/>
        <v>1</v>
      </c>
      <c r="R24" s="13">
        <f t="shared" si="1"/>
        <v>0</v>
      </c>
      <c r="S24" s="13">
        <f t="shared" si="1"/>
        <v>75</v>
      </c>
      <c r="T24" s="13">
        <f t="shared" si="1"/>
        <v>70</v>
      </c>
      <c r="U24" s="13">
        <f t="shared" si="1"/>
        <v>79</v>
      </c>
      <c r="V24" s="13">
        <f t="shared" si="15"/>
        <v>225</v>
      </c>
      <c r="W24" s="13" t="str">
        <f t="shared" si="5"/>
        <v>E1</v>
      </c>
      <c r="X24" s="13">
        <f t="shared" si="13"/>
        <v>449</v>
      </c>
      <c r="Y24" s="13" t="str">
        <f t="shared" si="3"/>
        <v>C1</v>
      </c>
      <c r="Z24" s="119"/>
      <c r="AA24" s="119"/>
      <c r="AB24" s="119"/>
      <c r="AC24" s="119"/>
      <c r="AD24" s="119"/>
      <c r="AE24" s="119"/>
      <c r="AF24" s="119"/>
      <c r="AG24" s="121">
        <v>17999</v>
      </c>
      <c r="AH24" s="119" t="str">
        <f>DEC2HEX(AG24)</f>
        <v>464F</v>
      </c>
      <c r="AJ24" s="64" t="s">
        <v>1598</v>
      </c>
      <c r="AK24" s="64" t="s">
        <v>2127</v>
      </c>
    </row>
    <row r="25" spans="2:37" ht="16.5" customHeight="1">
      <c r="B25" s="12" t="s">
        <v>1696</v>
      </c>
      <c r="C25" s="12" t="str">
        <f t="shared" si="0"/>
        <v>FF01004B0FA0FB</v>
      </c>
      <c r="D25" s="60" t="s">
        <v>24</v>
      </c>
      <c r="E25" s="60" t="s">
        <v>16</v>
      </c>
      <c r="F25" s="60" t="s">
        <v>1511</v>
      </c>
      <c r="G25" s="60" t="s">
        <v>78</v>
      </c>
      <c r="H25" s="60" t="s">
        <v>23</v>
      </c>
      <c r="I25" s="12" t="str">
        <f t="shared" si="6"/>
        <v>FB</v>
      </c>
      <c r="J25" s="12"/>
      <c r="K25" s="12"/>
      <c r="L25" s="12"/>
      <c r="M25" s="12"/>
      <c r="N25" s="12"/>
      <c r="O25" s="12"/>
      <c r="P25" s="12"/>
      <c r="Q25" s="13">
        <f t="shared" si="1"/>
        <v>1</v>
      </c>
      <c r="R25" s="13">
        <f t="shared" si="1"/>
        <v>0</v>
      </c>
      <c r="S25" s="13">
        <f t="shared" si="1"/>
        <v>75</v>
      </c>
      <c r="T25" s="13">
        <f t="shared" si="1"/>
        <v>15</v>
      </c>
      <c r="U25" s="13">
        <f t="shared" si="1"/>
        <v>160</v>
      </c>
      <c r="V25" s="13">
        <f t="shared" si="14"/>
        <v>251</v>
      </c>
      <c r="W25" s="13" t="str">
        <f t="shared" si="5"/>
        <v>FB</v>
      </c>
      <c r="X25" s="13">
        <f t="shared" si="13"/>
        <v>501</v>
      </c>
      <c r="Y25" s="13" t="str">
        <f t="shared" si="3"/>
        <v>F5</v>
      </c>
      <c r="Z25" s="119"/>
      <c r="AA25" s="119"/>
      <c r="AB25" s="119"/>
      <c r="AC25" s="119"/>
      <c r="AD25" s="119"/>
      <c r="AE25" s="119"/>
      <c r="AF25" s="119"/>
      <c r="AG25" s="121">
        <v>4000</v>
      </c>
      <c r="AH25" s="119" t="str">
        <f>DEC2HEX(AG25)</f>
        <v>FA0</v>
      </c>
      <c r="AJ25" s="64" t="s">
        <v>1597</v>
      </c>
      <c r="AK25" s="64" t="s">
        <v>2128</v>
      </c>
    </row>
    <row r="26" spans="2:37" ht="16.5" customHeight="1">
      <c r="B26" s="12" t="s">
        <v>1697</v>
      </c>
      <c r="C26" s="12" t="str">
        <f t="shared" si="0"/>
        <v>FF01004BF0609C</v>
      </c>
      <c r="D26" s="60" t="s">
        <v>24</v>
      </c>
      <c r="E26" s="60" t="s">
        <v>16</v>
      </c>
      <c r="F26" s="60" t="s">
        <v>1511</v>
      </c>
      <c r="G26" s="60" t="s">
        <v>1700</v>
      </c>
      <c r="H26" s="60" t="s">
        <v>1701</v>
      </c>
      <c r="I26" s="12" t="str">
        <f t="shared" si="6"/>
        <v>9C</v>
      </c>
      <c r="J26" s="12"/>
      <c r="K26" s="12"/>
      <c r="L26" s="12"/>
      <c r="M26" s="12"/>
      <c r="N26" s="12"/>
      <c r="O26" s="12"/>
      <c r="P26" s="12"/>
      <c r="Q26" s="13">
        <f t="shared" si="1"/>
        <v>1</v>
      </c>
      <c r="R26" s="13">
        <f t="shared" si="1"/>
        <v>0</v>
      </c>
      <c r="S26" s="13">
        <f t="shared" si="1"/>
        <v>75</v>
      </c>
      <c r="T26" s="13">
        <f t="shared" si="1"/>
        <v>240</v>
      </c>
      <c r="U26" s="13">
        <f t="shared" si="1"/>
        <v>96</v>
      </c>
      <c r="V26" s="13">
        <f t="shared" si="14"/>
        <v>412</v>
      </c>
      <c r="W26" s="13" t="str">
        <f t="shared" si="5"/>
        <v>9C</v>
      </c>
      <c r="X26" s="13">
        <f t="shared" si="13"/>
        <v>823</v>
      </c>
      <c r="Y26" s="13" t="str">
        <f t="shared" si="3"/>
        <v>37</v>
      </c>
      <c r="Z26" s="119"/>
      <c r="AA26" s="119"/>
      <c r="AB26" s="119"/>
      <c r="AC26" s="119"/>
      <c r="AD26" s="119"/>
      <c r="AE26" s="119"/>
      <c r="AF26" s="119"/>
      <c r="AG26" s="119">
        <v>-4000</v>
      </c>
      <c r="AH26" s="119"/>
      <c r="AI26" s="119" t="str">
        <f>TEXT(DEC2HEX(65536 + AG26), "0000")</f>
        <v>F060</v>
      </c>
      <c r="AJ26" s="64" t="s">
        <v>1597</v>
      </c>
      <c r="AK26" s="64" t="s">
        <v>2129</v>
      </c>
    </row>
    <row r="27" spans="2:37" ht="16.5" customHeight="1">
      <c r="B27" s="12" t="s">
        <v>1510</v>
      </c>
      <c r="C27" s="12" t="str">
        <f t="shared" si="0"/>
        <v>FF01004B00004C</v>
      </c>
      <c r="D27" s="60" t="s">
        <v>24</v>
      </c>
      <c r="E27" s="60" t="s">
        <v>16</v>
      </c>
      <c r="F27" s="60" t="s">
        <v>1511</v>
      </c>
      <c r="G27" s="60" t="s">
        <v>16</v>
      </c>
      <c r="H27" s="60" t="s">
        <v>16</v>
      </c>
      <c r="I27" s="12" t="str">
        <f t="shared" si="6"/>
        <v>4C</v>
      </c>
      <c r="J27" s="12"/>
      <c r="K27" s="12"/>
      <c r="L27" s="12"/>
      <c r="M27" s="12"/>
      <c r="N27" s="12"/>
      <c r="O27" s="12"/>
      <c r="P27" s="12"/>
      <c r="Q27" s="13">
        <f t="shared" si="1"/>
        <v>1</v>
      </c>
      <c r="R27" s="13">
        <f t="shared" si="1"/>
        <v>0</v>
      </c>
      <c r="S27" s="13">
        <f t="shared" si="1"/>
        <v>75</v>
      </c>
      <c r="T27" s="13">
        <f t="shared" si="1"/>
        <v>0</v>
      </c>
      <c r="U27" s="13">
        <f t="shared" si="1"/>
        <v>0</v>
      </c>
      <c r="V27" s="13">
        <f t="shared" si="14"/>
        <v>76</v>
      </c>
      <c r="W27" s="13" t="str">
        <f t="shared" si="5"/>
        <v>4C</v>
      </c>
      <c r="X27" s="13">
        <f t="shared" si="13"/>
        <v>151</v>
      </c>
      <c r="Y27" s="13" t="str">
        <f t="shared" si="3"/>
        <v>97</v>
      </c>
      <c r="Z27" s="119"/>
      <c r="AA27" s="119"/>
      <c r="AB27" s="119"/>
      <c r="AC27" s="119"/>
      <c r="AD27" s="119"/>
      <c r="AE27" s="119"/>
      <c r="AF27" s="119"/>
      <c r="AG27" s="119"/>
      <c r="AH27" s="119"/>
      <c r="AJ27" s="64" t="s">
        <v>1597</v>
      </c>
      <c r="AK27" s="64" t="s">
        <v>1562</v>
      </c>
    </row>
    <row r="28" spans="2:37" ht="16.5" customHeight="1">
      <c r="B28" s="12" t="s">
        <v>1689</v>
      </c>
      <c r="C28" s="12" t="str">
        <f t="shared" si="0"/>
        <v>FF01004B232897</v>
      </c>
      <c r="D28" s="60" t="s">
        <v>24</v>
      </c>
      <c r="E28" s="60" t="s">
        <v>16</v>
      </c>
      <c r="F28" s="60" t="s">
        <v>1511</v>
      </c>
      <c r="G28" s="60" t="s">
        <v>1692</v>
      </c>
      <c r="H28" s="60" t="s">
        <v>140</v>
      </c>
      <c r="I28" s="12" t="str">
        <f t="shared" si="6"/>
        <v>97</v>
      </c>
      <c r="J28" s="12"/>
      <c r="K28" s="12"/>
      <c r="L28" s="12"/>
      <c r="M28" s="12"/>
      <c r="N28" s="12"/>
      <c r="O28" s="12"/>
      <c r="P28" s="12"/>
      <c r="Q28" s="13">
        <f t="shared" si="1"/>
        <v>1</v>
      </c>
      <c r="R28" s="13">
        <f t="shared" si="1"/>
        <v>0</v>
      </c>
      <c r="S28" s="13">
        <f t="shared" si="1"/>
        <v>75</v>
      </c>
      <c r="T28" s="13">
        <f t="shared" si="1"/>
        <v>35</v>
      </c>
      <c r="U28" s="13">
        <f t="shared" si="1"/>
        <v>40</v>
      </c>
      <c r="V28" s="13">
        <f t="shared" si="14"/>
        <v>151</v>
      </c>
      <c r="W28" s="13" t="str">
        <f t="shared" si="5"/>
        <v>97</v>
      </c>
      <c r="X28" s="13">
        <f t="shared" si="13"/>
        <v>301</v>
      </c>
      <c r="Y28" s="13" t="str">
        <f t="shared" si="3"/>
        <v>2D</v>
      </c>
      <c r="Z28" s="119"/>
      <c r="AA28" s="119"/>
      <c r="AB28" s="119"/>
      <c r="AC28" s="119"/>
      <c r="AD28" s="119"/>
      <c r="AE28" s="119"/>
      <c r="AF28" s="119"/>
      <c r="AG28" s="119"/>
      <c r="AH28" s="119"/>
      <c r="AJ28" s="64" t="s">
        <v>1598</v>
      </c>
      <c r="AK28" s="64" t="s">
        <v>2130</v>
      </c>
    </row>
    <row r="29" spans="2:37" ht="16.5" customHeight="1">
      <c r="B29" s="12" t="s">
        <v>1690</v>
      </c>
      <c r="C29" s="12" t="str">
        <f t="shared" si="0"/>
        <v>FF01004BDCD800</v>
      </c>
      <c r="D29" s="60" t="s">
        <v>24</v>
      </c>
      <c r="E29" s="60" t="s">
        <v>16</v>
      </c>
      <c r="F29" s="60" t="s">
        <v>1511</v>
      </c>
      <c r="G29" s="60" t="s">
        <v>1694</v>
      </c>
      <c r="H29" s="60" t="s">
        <v>1695</v>
      </c>
      <c r="I29" s="12" t="str">
        <f t="shared" si="6"/>
        <v>00</v>
      </c>
      <c r="J29" s="12"/>
      <c r="K29" s="12"/>
      <c r="L29" s="12"/>
      <c r="M29" s="12"/>
      <c r="N29" s="12"/>
      <c r="O29" s="12"/>
      <c r="P29" s="12"/>
      <c r="Q29" s="13">
        <f t="shared" si="1"/>
        <v>1</v>
      </c>
      <c r="R29" s="13">
        <f t="shared" si="1"/>
        <v>0</v>
      </c>
      <c r="S29" s="13">
        <f t="shared" si="1"/>
        <v>75</v>
      </c>
      <c r="T29" s="13">
        <f t="shared" si="1"/>
        <v>220</v>
      </c>
      <c r="U29" s="13">
        <f t="shared" si="1"/>
        <v>216</v>
      </c>
      <c r="V29" s="13">
        <f t="shared" si="14"/>
        <v>512</v>
      </c>
      <c r="W29" s="13" t="str">
        <f t="shared" si="5"/>
        <v>00</v>
      </c>
      <c r="X29" s="13">
        <f t="shared" si="13"/>
        <v>1023</v>
      </c>
      <c r="Y29" s="13" t="str">
        <f t="shared" si="3"/>
        <v>FF</v>
      </c>
      <c r="Z29" s="119"/>
      <c r="AA29" s="119"/>
      <c r="AB29" s="119"/>
      <c r="AC29" s="119"/>
      <c r="AD29" s="119"/>
      <c r="AE29" s="119"/>
      <c r="AF29" s="119"/>
      <c r="AG29" s="119">
        <v>-9000</v>
      </c>
      <c r="AH29" s="119"/>
      <c r="AI29" s="119" t="str">
        <f>TEXT(DEC2HEX(65536 + AG29), "0000")</f>
        <v>DCD8</v>
      </c>
      <c r="AJ29" s="64" t="s">
        <v>1598</v>
      </c>
      <c r="AK29" s="64" t="s">
        <v>2131</v>
      </c>
    </row>
    <row r="30" spans="2:37" ht="16.5" customHeight="1">
      <c r="B30" s="12" t="s">
        <v>1709</v>
      </c>
      <c r="C30" s="12" t="str">
        <f t="shared" si="0"/>
        <v>FF01004B4E20BA</v>
      </c>
      <c r="D30" s="60" t="s">
        <v>24</v>
      </c>
      <c r="E30" s="60" t="s">
        <v>16</v>
      </c>
      <c r="F30" s="60" t="s">
        <v>1511</v>
      </c>
      <c r="G30" s="60" t="s">
        <v>1712</v>
      </c>
      <c r="H30" s="60" t="s">
        <v>133</v>
      </c>
      <c r="I30" s="12" t="str">
        <f t="shared" si="6"/>
        <v>BA</v>
      </c>
      <c r="J30" s="12"/>
      <c r="K30" s="12"/>
      <c r="L30" s="12"/>
      <c r="M30" s="12"/>
      <c r="N30" s="12"/>
      <c r="O30" s="12"/>
      <c r="P30" s="12"/>
      <c r="Q30" s="13">
        <f t="shared" si="1"/>
        <v>1</v>
      </c>
      <c r="R30" s="13">
        <f t="shared" si="1"/>
        <v>0</v>
      </c>
      <c r="S30" s="13">
        <f t="shared" si="1"/>
        <v>75</v>
      </c>
      <c r="T30" s="13">
        <f t="shared" si="1"/>
        <v>78</v>
      </c>
      <c r="U30" s="13">
        <f t="shared" si="1"/>
        <v>32</v>
      </c>
      <c r="V30" s="13">
        <f t="shared" si="14"/>
        <v>186</v>
      </c>
      <c r="W30" s="13" t="str">
        <f t="shared" si="5"/>
        <v>BA</v>
      </c>
      <c r="X30" s="13">
        <f t="shared" si="13"/>
        <v>371</v>
      </c>
      <c r="Y30" s="13" t="str">
        <f t="shared" si="3"/>
        <v>73</v>
      </c>
      <c r="Z30" s="119"/>
      <c r="AA30" s="119"/>
      <c r="AB30" s="119"/>
      <c r="AC30" s="119"/>
      <c r="AD30" s="119"/>
      <c r="AE30" s="119"/>
      <c r="AF30" s="119"/>
      <c r="AG30" s="119">
        <v>20000</v>
      </c>
      <c r="AH30" s="119" t="str">
        <f>DEC2HEX(AG30)</f>
        <v>4E20</v>
      </c>
      <c r="AI30" s="119"/>
      <c r="AJ30" s="64" t="s">
        <v>1597</v>
      </c>
      <c r="AK30" s="64" t="s">
        <v>2132</v>
      </c>
    </row>
    <row r="31" spans="2:37" ht="16.5" customHeight="1">
      <c r="B31" s="111" t="s">
        <v>1512</v>
      </c>
      <c r="C31" s="111" t="str">
        <f t="shared" si="0"/>
        <v>FF010051000052</v>
      </c>
      <c r="D31" s="60" t="s">
        <v>24</v>
      </c>
      <c r="E31" s="60" t="s">
        <v>16</v>
      </c>
      <c r="F31" s="60" t="s">
        <v>166</v>
      </c>
      <c r="G31" s="60" t="s">
        <v>16</v>
      </c>
      <c r="H31" s="60" t="s">
        <v>16</v>
      </c>
      <c r="I31" s="12" t="str">
        <f t="shared" si="6"/>
        <v>52</v>
      </c>
      <c r="J31" s="12"/>
      <c r="K31" s="12"/>
      <c r="L31" s="12"/>
      <c r="M31" s="12"/>
      <c r="N31" s="12"/>
      <c r="O31" s="12"/>
      <c r="P31" s="12"/>
      <c r="Q31" s="13">
        <f t="shared" si="1"/>
        <v>1</v>
      </c>
      <c r="R31" s="13">
        <f t="shared" si="1"/>
        <v>0</v>
      </c>
      <c r="S31" s="13">
        <f t="shared" si="1"/>
        <v>81</v>
      </c>
      <c r="T31" s="13">
        <f t="shared" si="1"/>
        <v>0</v>
      </c>
      <c r="U31" s="13">
        <f t="shared" si="1"/>
        <v>0</v>
      </c>
      <c r="V31" s="13">
        <f t="shared" si="14"/>
        <v>82</v>
      </c>
      <c r="W31" s="13" t="str">
        <f t="shared" si="5"/>
        <v>52</v>
      </c>
      <c r="X31" s="13">
        <f t="shared" si="13"/>
        <v>163</v>
      </c>
      <c r="Y31" s="13" t="str">
        <f t="shared" si="3"/>
        <v>A3</v>
      </c>
      <c r="Z31" s="119"/>
      <c r="AA31" s="119"/>
      <c r="AB31" s="119"/>
      <c r="AC31" s="119"/>
      <c r="AD31" s="119"/>
      <c r="AE31" s="119"/>
      <c r="AF31" s="119"/>
      <c r="AG31" s="119"/>
      <c r="AH31" s="119"/>
      <c r="AJ31" s="64" t="s">
        <v>1599</v>
      </c>
      <c r="AK31" s="64" t="s">
        <v>1563</v>
      </c>
    </row>
    <row r="32" spans="2:37" ht="16.5" customHeight="1">
      <c r="B32" s="12" t="s">
        <v>1710</v>
      </c>
      <c r="C32" s="12" t="str">
        <f t="shared" si="0"/>
        <v>FF01004DD8F016</v>
      </c>
      <c r="D32" s="60" t="s">
        <v>24</v>
      </c>
      <c r="E32" s="60" t="s">
        <v>16</v>
      </c>
      <c r="F32" s="60" t="s">
        <v>1514</v>
      </c>
      <c r="G32" s="60" t="s">
        <v>1695</v>
      </c>
      <c r="H32" s="60" t="s">
        <v>1700</v>
      </c>
      <c r="I32" s="12" t="str">
        <f t="shared" si="6"/>
        <v>16</v>
      </c>
      <c r="J32" s="12"/>
      <c r="K32" s="12"/>
      <c r="L32" s="12"/>
      <c r="M32" s="12"/>
      <c r="N32" s="12"/>
      <c r="O32" s="12"/>
      <c r="P32" s="12"/>
      <c r="Q32" s="13">
        <f t="shared" si="1"/>
        <v>1</v>
      </c>
      <c r="R32" s="13">
        <f t="shared" si="1"/>
        <v>0</v>
      </c>
      <c r="S32" s="13">
        <f t="shared" si="1"/>
        <v>77</v>
      </c>
      <c r="T32" s="13">
        <f t="shared" si="1"/>
        <v>216</v>
      </c>
      <c r="U32" s="13">
        <f t="shared" si="1"/>
        <v>240</v>
      </c>
      <c r="V32" s="13">
        <f t="shared" si="14"/>
        <v>534</v>
      </c>
      <c r="W32" s="13" t="str">
        <f t="shared" si="5"/>
        <v>16</v>
      </c>
      <c r="X32" s="13">
        <f t="shared" si="13"/>
        <v>1067</v>
      </c>
      <c r="Y32" s="13" t="str">
        <f t="shared" si="3"/>
        <v>2B</v>
      </c>
      <c r="Z32" s="119"/>
      <c r="AA32" s="119"/>
      <c r="AB32" s="119"/>
      <c r="AC32" s="119"/>
      <c r="AD32" s="119"/>
      <c r="AE32" s="119"/>
      <c r="AF32" s="119"/>
      <c r="AG32" s="119">
        <v>-10000</v>
      </c>
      <c r="AH32" s="119"/>
      <c r="AI32" s="119" t="str">
        <f>TEXT(DEC2HEX(65536 + AG32), "0000")</f>
        <v>D8F0</v>
      </c>
      <c r="AJ32" s="64" t="s">
        <v>1600</v>
      </c>
      <c r="AK32" s="64" t="s">
        <v>2133</v>
      </c>
    </row>
    <row r="33" spans="2:37" ht="16.5" customHeight="1">
      <c r="B33" s="12" t="s">
        <v>1702</v>
      </c>
      <c r="C33" s="12" t="str">
        <f t="shared" si="0"/>
        <v>FF01004DDCD802</v>
      </c>
      <c r="D33" s="60" t="s">
        <v>24</v>
      </c>
      <c r="E33" s="60" t="s">
        <v>16</v>
      </c>
      <c r="F33" s="60" t="s">
        <v>1514</v>
      </c>
      <c r="G33" s="60" t="s">
        <v>1694</v>
      </c>
      <c r="H33" s="60" t="s">
        <v>1695</v>
      </c>
      <c r="I33" s="12" t="str">
        <f t="shared" si="6"/>
        <v>02</v>
      </c>
      <c r="J33" s="12"/>
      <c r="K33" s="12"/>
      <c r="L33" s="12"/>
      <c r="M33" s="12"/>
      <c r="N33" s="12"/>
      <c r="O33" s="12"/>
      <c r="P33" s="12"/>
      <c r="Q33" s="13">
        <f t="shared" si="1"/>
        <v>1</v>
      </c>
      <c r="R33" s="13">
        <f t="shared" si="1"/>
        <v>0</v>
      </c>
      <c r="S33" s="13">
        <f t="shared" si="1"/>
        <v>77</v>
      </c>
      <c r="T33" s="13">
        <f t="shared" si="1"/>
        <v>220</v>
      </c>
      <c r="U33" s="13">
        <f t="shared" si="1"/>
        <v>216</v>
      </c>
      <c r="V33" s="13">
        <f t="shared" si="14"/>
        <v>514</v>
      </c>
      <c r="W33" s="13" t="str">
        <f t="shared" si="5"/>
        <v>02</v>
      </c>
      <c r="X33" s="13">
        <f t="shared" si="13"/>
        <v>1027</v>
      </c>
      <c r="Y33" s="13" t="str">
        <f t="shared" si="3"/>
        <v>03</v>
      </c>
      <c r="Z33" s="119"/>
      <c r="AA33" s="119"/>
      <c r="AB33" s="119"/>
      <c r="AC33" s="119"/>
      <c r="AD33" s="119"/>
      <c r="AE33" s="119"/>
      <c r="AF33" s="119"/>
      <c r="AG33" s="119">
        <v>-9000</v>
      </c>
      <c r="AH33" s="119"/>
      <c r="AI33" s="119" t="str">
        <f>TEXT(DEC2HEX(65536 + AG33), "0000")</f>
        <v>DCD8</v>
      </c>
      <c r="AJ33" s="64" t="s">
        <v>1600</v>
      </c>
      <c r="AK33" s="64" t="s">
        <v>2134</v>
      </c>
    </row>
    <row r="34" spans="2:37" ht="16.5" customHeight="1">
      <c r="B34" s="12" t="s">
        <v>1703</v>
      </c>
      <c r="C34" s="12" t="str">
        <f t="shared" si="0"/>
        <v>FF01004D232899</v>
      </c>
      <c r="D34" s="60" t="s">
        <v>24</v>
      </c>
      <c r="E34" s="60" t="s">
        <v>16</v>
      </c>
      <c r="F34" s="60" t="s">
        <v>1514</v>
      </c>
      <c r="G34" s="60" t="s">
        <v>1692</v>
      </c>
      <c r="H34" s="60" t="s">
        <v>140</v>
      </c>
      <c r="I34" s="12" t="str">
        <f t="shared" si="6"/>
        <v>99</v>
      </c>
      <c r="J34" s="12"/>
      <c r="K34" s="12"/>
      <c r="L34" s="12"/>
      <c r="M34" s="12"/>
      <c r="N34" s="12"/>
      <c r="O34" s="12"/>
      <c r="P34" s="12"/>
      <c r="Q34" s="13">
        <f t="shared" si="1"/>
        <v>1</v>
      </c>
      <c r="R34" s="13">
        <f t="shared" si="1"/>
        <v>0</v>
      </c>
      <c r="S34" s="13">
        <f t="shared" si="1"/>
        <v>77</v>
      </c>
      <c r="T34" s="13">
        <f t="shared" si="1"/>
        <v>35</v>
      </c>
      <c r="U34" s="13">
        <f t="shared" si="1"/>
        <v>40</v>
      </c>
      <c r="V34" s="13">
        <f t="shared" si="14"/>
        <v>153</v>
      </c>
      <c r="W34" s="13" t="str">
        <f t="shared" si="5"/>
        <v>99</v>
      </c>
      <c r="X34" s="13">
        <f t="shared" si="13"/>
        <v>305</v>
      </c>
      <c r="Y34" s="13" t="str">
        <f t="shared" si="3"/>
        <v>31</v>
      </c>
      <c r="Z34" s="119"/>
      <c r="AA34" s="119"/>
      <c r="AB34" s="119"/>
      <c r="AC34" s="119"/>
      <c r="AD34" s="119"/>
      <c r="AE34" s="119"/>
      <c r="AF34" s="119"/>
      <c r="AG34" s="119">
        <v>9000</v>
      </c>
      <c r="AH34" s="119" t="str">
        <f>DEC2HEX(AG34)</f>
        <v>2328</v>
      </c>
      <c r="AJ34" s="64" t="s">
        <v>1601</v>
      </c>
      <c r="AK34" s="64" t="s">
        <v>2135</v>
      </c>
    </row>
    <row r="35" spans="2:37" ht="16.5" customHeight="1">
      <c r="B35" s="12" t="s">
        <v>1718</v>
      </c>
      <c r="C35" s="12" t="str">
        <f t="shared" si="0"/>
        <v>FF01004DDCD903</v>
      </c>
      <c r="D35" s="60" t="s">
        <v>24</v>
      </c>
      <c r="E35" s="60" t="s">
        <v>16</v>
      </c>
      <c r="F35" s="60" t="s">
        <v>1514</v>
      </c>
      <c r="G35" s="60" t="s">
        <v>1694</v>
      </c>
      <c r="H35" s="60" t="s">
        <v>1720</v>
      </c>
      <c r="I35" s="12" t="str">
        <f t="shared" si="6"/>
        <v>03</v>
      </c>
      <c r="J35" s="12"/>
      <c r="K35" s="12"/>
      <c r="L35" s="12"/>
      <c r="M35" s="12"/>
      <c r="N35" s="12"/>
      <c r="O35" s="12"/>
      <c r="P35" s="12"/>
      <c r="Q35" s="13">
        <f t="shared" si="1"/>
        <v>1</v>
      </c>
      <c r="R35" s="13">
        <f t="shared" si="1"/>
        <v>0</v>
      </c>
      <c r="S35" s="13">
        <f t="shared" si="1"/>
        <v>77</v>
      </c>
      <c r="T35" s="13">
        <f t="shared" si="1"/>
        <v>220</v>
      </c>
      <c r="U35" s="13">
        <f t="shared" si="1"/>
        <v>217</v>
      </c>
      <c r="V35" s="13">
        <f t="shared" si="14"/>
        <v>515</v>
      </c>
      <c r="W35" s="13" t="str">
        <f t="shared" si="5"/>
        <v>03</v>
      </c>
      <c r="X35" s="13">
        <f t="shared" si="13"/>
        <v>1029</v>
      </c>
      <c r="Y35" s="13" t="str">
        <f t="shared" si="3"/>
        <v>05</v>
      </c>
      <c r="Z35" s="119"/>
      <c r="AA35" s="119"/>
      <c r="AB35" s="119"/>
      <c r="AC35" s="119"/>
      <c r="AD35" s="119"/>
      <c r="AE35" s="119"/>
      <c r="AF35" s="119"/>
      <c r="AG35" s="119">
        <v>-8999</v>
      </c>
      <c r="AH35" s="119"/>
      <c r="AI35" s="119" t="str">
        <f>TEXT(DEC2HEX(65536 + AG35), "0000")</f>
        <v>DCD9</v>
      </c>
      <c r="AJ35" s="64" t="s">
        <v>1600</v>
      </c>
      <c r="AK35" s="64" t="s">
        <v>2136</v>
      </c>
    </row>
    <row r="36" spans="2:37" ht="16.5" customHeight="1">
      <c r="B36" s="12" t="s">
        <v>1719</v>
      </c>
      <c r="C36" s="12" t="str">
        <f t="shared" si="0"/>
        <v>FF01004D232798</v>
      </c>
      <c r="D36" s="60" t="s">
        <v>24</v>
      </c>
      <c r="E36" s="60" t="s">
        <v>16</v>
      </c>
      <c r="F36" s="60" t="s">
        <v>1514</v>
      </c>
      <c r="G36" s="60" t="s">
        <v>1692</v>
      </c>
      <c r="H36" s="60" t="s">
        <v>60</v>
      </c>
      <c r="I36" s="12" t="str">
        <f t="shared" si="6"/>
        <v>98</v>
      </c>
      <c r="J36" s="12"/>
      <c r="K36" s="12"/>
      <c r="L36" s="12"/>
      <c r="M36" s="12"/>
      <c r="N36" s="12"/>
      <c r="O36" s="12"/>
      <c r="P36" s="12"/>
      <c r="Q36" s="13">
        <f t="shared" ref="Q36:U53" si="16">HEX2DEC(D36)</f>
        <v>1</v>
      </c>
      <c r="R36" s="13">
        <f t="shared" si="16"/>
        <v>0</v>
      </c>
      <c r="S36" s="13">
        <f t="shared" si="16"/>
        <v>77</v>
      </c>
      <c r="T36" s="13">
        <f t="shared" si="16"/>
        <v>35</v>
      </c>
      <c r="U36" s="13">
        <f t="shared" si="16"/>
        <v>39</v>
      </c>
      <c r="V36" s="13">
        <f t="shared" si="14"/>
        <v>152</v>
      </c>
      <c r="W36" s="13" t="str">
        <f t="shared" si="5"/>
        <v>98</v>
      </c>
      <c r="X36" s="13">
        <f t="shared" si="13"/>
        <v>303</v>
      </c>
      <c r="Y36" s="13" t="str">
        <f t="shared" si="3"/>
        <v>2F</v>
      </c>
      <c r="Z36" s="119"/>
      <c r="AA36" s="119"/>
      <c r="AB36" s="119"/>
      <c r="AC36" s="119"/>
      <c r="AD36" s="119"/>
      <c r="AE36" s="119"/>
      <c r="AF36" s="119"/>
      <c r="AG36" s="119">
        <v>8999</v>
      </c>
      <c r="AH36" s="119" t="str">
        <f>DEC2HEX(AG36)</f>
        <v>2327</v>
      </c>
      <c r="AJ36" s="64" t="s">
        <v>1601</v>
      </c>
      <c r="AK36" s="64" t="s">
        <v>2137</v>
      </c>
    </row>
    <row r="37" spans="2:37" ht="16.5" customHeight="1">
      <c r="B37" s="12" t="s">
        <v>1723</v>
      </c>
      <c r="C37" s="12" t="str">
        <f t="shared" si="0"/>
        <v>FF01004DE4A8DA</v>
      </c>
      <c r="D37" s="60" t="s">
        <v>24</v>
      </c>
      <c r="E37" s="60" t="s">
        <v>16</v>
      </c>
      <c r="F37" s="60" t="s">
        <v>1514</v>
      </c>
      <c r="G37" s="60" t="s">
        <v>1724</v>
      </c>
      <c r="H37" s="60" t="s">
        <v>1725</v>
      </c>
      <c r="I37" s="12" t="str">
        <f t="shared" si="6"/>
        <v>DA</v>
      </c>
      <c r="J37" s="12"/>
      <c r="K37" s="12"/>
      <c r="L37" s="12"/>
      <c r="M37" s="12"/>
      <c r="N37" s="12"/>
      <c r="O37" s="12"/>
      <c r="P37" s="12"/>
      <c r="Q37" s="13">
        <f t="shared" si="16"/>
        <v>1</v>
      </c>
      <c r="R37" s="13">
        <f t="shared" si="16"/>
        <v>0</v>
      </c>
      <c r="S37" s="13">
        <f t="shared" si="16"/>
        <v>77</v>
      </c>
      <c r="T37" s="13">
        <f t="shared" si="16"/>
        <v>228</v>
      </c>
      <c r="U37" s="13">
        <f t="shared" si="16"/>
        <v>168</v>
      </c>
      <c r="V37" s="13">
        <f t="shared" si="14"/>
        <v>474</v>
      </c>
      <c r="W37" s="13" t="str">
        <f t="shared" si="5"/>
        <v>DA</v>
      </c>
      <c r="X37" s="13">
        <f t="shared" si="13"/>
        <v>947</v>
      </c>
      <c r="Y37" s="13" t="str">
        <f t="shared" si="3"/>
        <v>B3</v>
      </c>
      <c r="Z37" s="119"/>
      <c r="AA37" s="119"/>
      <c r="AB37" s="119"/>
      <c r="AC37" s="119"/>
      <c r="AD37" s="119"/>
      <c r="AE37" s="119"/>
      <c r="AF37" s="119"/>
      <c r="AG37" s="119">
        <v>-7000</v>
      </c>
      <c r="AH37" s="119"/>
      <c r="AI37" s="119" t="str">
        <f>TEXT(DEC2HEX(65536 + AG37), "0000")</f>
        <v>E4A8</v>
      </c>
      <c r="AJ37" s="64" t="s">
        <v>1600</v>
      </c>
      <c r="AK37" s="64" t="s">
        <v>2138</v>
      </c>
    </row>
    <row r="38" spans="2:37" ht="16.5" customHeight="1">
      <c r="B38" s="12" t="s">
        <v>1721</v>
      </c>
      <c r="C38" s="12" t="str">
        <f t="shared" si="0"/>
        <v>FF01004D1770D5</v>
      </c>
      <c r="D38" s="60" t="s">
        <v>24</v>
      </c>
      <c r="E38" s="60" t="s">
        <v>16</v>
      </c>
      <c r="F38" s="60" t="s">
        <v>1514</v>
      </c>
      <c r="G38" s="60" t="s">
        <v>131</v>
      </c>
      <c r="H38" s="60" t="s">
        <v>1722</v>
      </c>
      <c r="I38" s="12" t="str">
        <f t="shared" si="6"/>
        <v>D5</v>
      </c>
      <c r="J38" s="12"/>
      <c r="K38" s="12"/>
      <c r="L38" s="12"/>
      <c r="M38" s="12"/>
      <c r="N38" s="12"/>
      <c r="O38" s="12"/>
      <c r="P38" s="12"/>
      <c r="Q38" s="13">
        <f t="shared" si="16"/>
        <v>1</v>
      </c>
      <c r="R38" s="13">
        <f t="shared" si="16"/>
        <v>0</v>
      </c>
      <c r="S38" s="13">
        <f t="shared" si="16"/>
        <v>77</v>
      </c>
      <c r="T38" s="13">
        <f t="shared" si="16"/>
        <v>23</v>
      </c>
      <c r="U38" s="13">
        <f t="shared" si="16"/>
        <v>112</v>
      </c>
      <c r="V38" s="13">
        <f t="shared" si="14"/>
        <v>213</v>
      </c>
      <c r="W38" s="13" t="str">
        <f t="shared" si="5"/>
        <v>D5</v>
      </c>
      <c r="X38" s="13">
        <f t="shared" si="13"/>
        <v>425</v>
      </c>
      <c r="Y38" s="13" t="str">
        <f t="shared" si="3"/>
        <v>A9</v>
      </c>
      <c r="Z38" s="119"/>
      <c r="AA38" s="119"/>
      <c r="AB38" s="119"/>
      <c r="AC38" s="119"/>
      <c r="AD38" s="119"/>
      <c r="AE38" s="119"/>
      <c r="AF38" s="119"/>
      <c r="AG38" s="119">
        <v>6000</v>
      </c>
      <c r="AH38" s="119" t="str">
        <f>DEC2HEX(AG38)</f>
        <v>1770</v>
      </c>
      <c r="AJ38" s="64" t="s">
        <v>1601</v>
      </c>
      <c r="AK38" s="64" t="s">
        <v>2139</v>
      </c>
    </row>
    <row r="39" spans="2:37" ht="16.5" customHeight="1">
      <c r="B39" s="12" t="s">
        <v>1704</v>
      </c>
      <c r="C39" s="12" t="str">
        <f t="shared" si="0"/>
        <v>FF01004D0BB811</v>
      </c>
      <c r="D39" s="60" t="s">
        <v>24</v>
      </c>
      <c r="E39" s="60" t="s">
        <v>16</v>
      </c>
      <c r="F39" s="60" t="s">
        <v>1514</v>
      </c>
      <c r="G39" s="60" t="s">
        <v>1713</v>
      </c>
      <c r="H39" s="60" t="s">
        <v>1363</v>
      </c>
      <c r="I39" s="12" t="str">
        <f t="shared" si="6"/>
        <v>11</v>
      </c>
      <c r="J39" s="12"/>
      <c r="K39" s="12"/>
      <c r="L39" s="12"/>
      <c r="M39" s="12"/>
      <c r="N39" s="12"/>
      <c r="O39" s="12"/>
      <c r="P39" s="12"/>
      <c r="Q39" s="13">
        <f t="shared" si="16"/>
        <v>1</v>
      </c>
      <c r="R39" s="13">
        <f t="shared" si="16"/>
        <v>0</v>
      </c>
      <c r="S39" s="13">
        <f t="shared" si="16"/>
        <v>77</v>
      </c>
      <c r="T39" s="13">
        <f t="shared" si="16"/>
        <v>11</v>
      </c>
      <c r="U39" s="13">
        <f t="shared" si="16"/>
        <v>184</v>
      </c>
      <c r="V39" s="13">
        <f t="shared" si="14"/>
        <v>273</v>
      </c>
      <c r="W39" s="13" t="str">
        <f t="shared" si="5"/>
        <v>11</v>
      </c>
      <c r="X39" s="13">
        <f t="shared" si="13"/>
        <v>545</v>
      </c>
      <c r="Y39" s="13" t="str">
        <f t="shared" si="3"/>
        <v>21</v>
      </c>
      <c r="Z39" s="119"/>
      <c r="AA39" s="119"/>
      <c r="AB39" s="119"/>
      <c r="AC39" s="119"/>
      <c r="AD39" s="119"/>
      <c r="AE39" s="119"/>
      <c r="AF39" s="119"/>
      <c r="AG39" s="119">
        <v>3000</v>
      </c>
      <c r="AH39" s="119" t="str">
        <f>DEC2HEX(AG39)</f>
        <v>BB8</v>
      </c>
      <c r="AJ39" s="64" t="s">
        <v>1600</v>
      </c>
      <c r="AK39" s="64" t="s">
        <v>2140</v>
      </c>
    </row>
    <row r="40" spans="2:37" ht="16.5" customHeight="1">
      <c r="B40" s="12" t="s">
        <v>1705</v>
      </c>
      <c r="C40" s="12" t="str">
        <f t="shared" si="0"/>
        <v>FF01004DF4488A</v>
      </c>
      <c r="D40" s="60" t="s">
        <v>24</v>
      </c>
      <c r="E40" s="60" t="s">
        <v>16</v>
      </c>
      <c r="F40" s="60" t="s">
        <v>1514</v>
      </c>
      <c r="G40" s="60" t="s">
        <v>1714</v>
      </c>
      <c r="H40" s="60" t="s">
        <v>1715</v>
      </c>
      <c r="I40" s="12" t="str">
        <f t="shared" si="6"/>
        <v>8A</v>
      </c>
      <c r="J40" s="12"/>
      <c r="K40" s="12"/>
      <c r="L40" s="12"/>
      <c r="M40" s="12"/>
      <c r="N40" s="12"/>
      <c r="O40" s="12"/>
      <c r="P40" s="12"/>
      <c r="Q40" s="13">
        <f t="shared" si="16"/>
        <v>1</v>
      </c>
      <c r="R40" s="13">
        <f t="shared" si="16"/>
        <v>0</v>
      </c>
      <c r="S40" s="13">
        <f t="shared" si="16"/>
        <v>77</v>
      </c>
      <c r="T40" s="13">
        <f t="shared" si="16"/>
        <v>244</v>
      </c>
      <c r="U40" s="13">
        <f t="shared" si="16"/>
        <v>72</v>
      </c>
      <c r="V40" s="13">
        <f t="shared" si="14"/>
        <v>394</v>
      </c>
      <c r="W40" s="13" t="str">
        <f t="shared" si="5"/>
        <v>8A</v>
      </c>
      <c r="X40" s="13">
        <f t="shared" si="13"/>
        <v>787</v>
      </c>
      <c r="Y40" s="13" t="str">
        <f t="shared" si="3"/>
        <v>13</v>
      </c>
      <c r="Z40" s="119"/>
      <c r="AA40" s="119"/>
      <c r="AB40" s="119"/>
      <c r="AC40" s="119"/>
      <c r="AD40" s="119"/>
      <c r="AE40" s="119"/>
      <c r="AF40" s="119"/>
      <c r="AG40" s="119">
        <v>-3000</v>
      </c>
      <c r="AH40" s="119"/>
      <c r="AI40" s="119" t="str">
        <f>TEXT(DEC2HEX(65536 + AG40), "0000")</f>
        <v>F448</v>
      </c>
      <c r="AJ40" s="64" t="s">
        <v>1600</v>
      </c>
      <c r="AK40" s="64" t="s">
        <v>2141</v>
      </c>
    </row>
    <row r="41" spans="2:37" ht="16.5" customHeight="1">
      <c r="B41" s="12" t="s">
        <v>1513</v>
      </c>
      <c r="C41" s="12" t="str">
        <f t="shared" si="0"/>
        <v>FF01004D00004E</v>
      </c>
      <c r="D41" s="60" t="s">
        <v>24</v>
      </c>
      <c r="E41" s="60" t="s">
        <v>16</v>
      </c>
      <c r="F41" s="60" t="s">
        <v>1514</v>
      </c>
      <c r="G41" s="60" t="s">
        <v>16</v>
      </c>
      <c r="H41" s="60" t="s">
        <v>16</v>
      </c>
      <c r="I41" s="12" t="str">
        <f t="shared" si="6"/>
        <v>4E</v>
      </c>
      <c r="J41" s="12"/>
      <c r="K41" s="12"/>
      <c r="L41" s="12"/>
      <c r="M41" s="12"/>
      <c r="N41" s="12"/>
      <c r="O41" s="12"/>
      <c r="P41" s="12"/>
      <c r="Q41" s="13">
        <f t="shared" si="16"/>
        <v>1</v>
      </c>
      <c r="R41" s="13">
        <f t="shared" si="16"/>
        <v>0</v>
      </c>
      <c r="S41" s="13">
        <f t="shared" si="16"/>
        <v>77</v>
      </c>
      <c r="T41" s="13">
        <f t="shared" si="16"/>
        <v>0</v>
      </c>
      <c r="U41" s="13">
        <f t="shared" si="16"/>
        <v>0</v>
      </c>
      <c r="V41" s="13">
        <f t="shared" si="14"/>
        <v>78</v>
      </c>
      <c r="W41" s="13" t="str">
        <f t="shared" si="5"/>
        <v>4E</v>
      </c>
      <c r="X41" s="13">
        <f t="shared" si="13"/>
        <v>155</v>
      </c>
      <c r="Y41" s="13" t="str">
        <f t="shared" si="3"/>
        <v>9B</v>
      </c>
      <c r="Z41" s="119"/>
      <c r="AA41" s="119"/>
      <c r="AB41" s="119"/>
      <c r="AC41" s="119"/>
      <c r="AD41" s="119"/>
      <c r="AE41" s="119"/>
      <c r="AF41" s="119"/>
      <c r="AG41" s="119">
        <v>0</v>
      </c>
      <c r="AH41" s="119" t="str">
        <f>DEC2HEX(AG41)</f>
        <v>0</v>
      </c>
      <c r="AJ41" s="64" t="s">
        <v>1601</v>
      </c>
      <c r="AK41" s="64" t="s">
        <v>1564</v>
      </c>
    </row>
    <row r="42" spans="2:37" ht="16.5" customHeight="1">
      <c r="B42" s="12" t="s">
        <v>1706</v>
      </c>
      <c r="C42" s="12" t="str">
        <f t="shared" si="0"/>
        <v>FF01004D1194F3</v>
      </c>
      <c r="D42" s="60" t="s">
        <v>24</v>
      </c>
      <c r="E42" s="60" t="s">
        <v>16</v>
      </c>
      <c r="F42" s="60" t="s">
        <v>1514</v>
      </c>
      <c r="G42" s="60" t="s">
        <v>110</v>
      </c>
      <c r="H42" s="60" t="s">
        <v>175</v>
      </c>
      <c r="I42" s="12" t="str">
        <f t="shared" si="6"/>
        <v>F3</v>
      </c>
      <c r="J42" s="12"/>
      <c r="K42" s="12"/>
      <c r="L42" s="12"/>
      <c r="M42" s="12"/>
      <c r="N42" s="12"/>
      <c r="O42" s="12"/>
      <c r="P42" s="12"/>
      <c r="Q42" s="13">
        <f t="shared" si="16"/>
        <v>1</v>
      </c>
      <c r="R42" s="13">
        <f t="shared" si="16"/>
        <v>0</v>
      </c>
      <c r="S42" s="13">
        <f t="shared" si="16"/>
        <v>77</v>
      </c>
      <c r="T42" s="13">
        <f t="shared" si="16"/>
        <v>17</v>
      </c>
      <c r="U42" s="13">
        <f t="shared" si="16"/>
        <v>148</v>
      </c>
      <c r="V42" s="13">
        <f t="shared" si="14"/>
        <v>243</v>
      </c>
      <c r="W42" s="13" t="str">
        <f t="shared" si="5"/>
        <v>F3</v>
      </c>
      <c r="X42" s="13">
        <f t="shared" si="13"/>
        <v>485</v>
      </c>
      <c r="Y42" s="13" t="str">
        <f t="shared" si="3"/>
        <v>E5</v>
      </c>
      <c r="Z42" s="119"/>
      <c r="AA42" s="119"/>
      <c r="AB42" s="119"/>
      <c r="AC42" s="119"/>
      <c r="AD42" s="119"/>
      <c r="AE42" s="119"/>
      <c r="AF42" s="119"/>
      <c r="AG42" s="119">
        <v>4500</v>
      </c>
      <c r="AH42" s="119" t="str">
        <f>DEC2HEX(AG42)</f>
        <v>1194</v>
      </c>
      <c r="AJ42" s="64" t="s">
        <v>1600</v>
      </c>
      <c r="AK42" s="64" t="s">
        <v>2142</v>
      </c>
    </row>
    <row r="43" spans="2:37" ht="16.5" customHeight="1">
      <c r="B43" s="12" t="s">
        <v>1707</v>
      </c>
      <c r="C43" s="12" t="str">
        <f t="shared" si="0"/>
        <v>FF01004DEE6CA8</v>
      </c>
      <c r="D43" s="60" t="s">
        <v>24</v>
      </c>
      <c r="E43" s="60" t="s">
        <v>16</v>
      </c>
      <c r="F43" s="60" t="s">
        <v>1514</v>
      </c>
      <c r="G43" s="60" t="s">
        <v>1716</v>
      </c>
      <c r="H43" s="60" t="s">
        <v>1717</v>
      </c>
      <c r="I43" s="12" t="str">
        <f t="shared" si="6"/>
        <v>A8</v>
      </c>
      <c r="J43" s="12"/>
      <c r="K43" s="12"/>
      <c r="L43" s="12"/>
      <c r="M43" s="12"/>
      <c r="N43" s="12"/>
      <c r="O43" s="12"/>
      <c r="P43" s="12"/>
      <c r="Q43" s="13">
        <f t="shared" si="16"/>
        <v>1</v>
      </c>
      <c r="R43" s="13">
        <f t="shared" si="16"/>
        <v>0</v>
      </c>
      <c r="S43" s="13">
        <f t="shared" si="16"/>
        <v>77</v>
      </c>
      <c r="T43" s="13">
        <f t="shared" si="16"/>
        <v>238</v>
      </c>
      <c r="U43" s="13">
        <f t="shared" si="16"/>
        <v>108</v>
      </c>
      <c r="V43" s="13">
        <f t="shared" si="14"/>
        <v>424</v>
      </c>
      <c r="W43" s="13" t="str">
        <f t="shared" si="5"/>
        <v>A8</v>
      </c>
      <c r="X43" s="13">
        <f t="shared" si="13"/>
        <v>847</v>
      </c>
      <c r="Y43" s="13" t="str">
        <f t="shared" si="3"/>
        <v>4F</v>
      </c>
      <c r="Z43" s="119"/>
      <c r="AA43" s="119"/>
      <c r="AB43" s="119"/>
      <c r="AC43" s="119"/>
      <c r="AD43" s="119"/>
      <c r="AE43" s="119"/>
      <c r="AF43" s="119"/>
      <c r="AG43" s="119">
        <v>-4500</v>
      </c>
      <c r="AH43" s="119"/>
      <c r="AI43" s="119" t="str">
        <f>TEXT(DEC2HEX(65536 + AG43), "0000")</f>
        <v>EE6C</v>
      </c>
      <c r="AJ43" s="64" t="s">
        <v>1601</v>
      </c>
      <c r="AK43" s="64" t="s">
        <v>2143</v>
      </c>
    </row>
    <row r="44" spans="2:37" ht="16.5" customHeight="1">
      <c r="B44" s="12" t="s">
        <v>1711</v>
      </c>
      <c r="C44" s="12" t="str">
        <f t="shared" si="0"/>
        <v>FF01004D271085</v>
      </c>
      <c r="D44" s="60" t="s">
        <v>24</v>
      </c>
      <c r="E44" s="60" t="s">
        <v>16</v>
      </c>
      <c r="F44" s="60" t="s">
        <v>1514</v>
      </c>
      <c r="G44" s="60" t="s">
        <v>60</v>
      </c>
      <c r="H44" s="60" t="s">
        <v>109</v>
      </c>
      <c r="I44" s="12" t="str">
        <f t="shared" si="6"/>
        <v>85</v>
      </c>
      <c r="J44" s="12"/>
      <c r="K44" s="12"/>
      <c r="L44" s="12"/>
      <c r="M44" s="12"/>
      <c r="N44" s="12"/>
      <c r="O44" s="12"/>
      <c r="P44" s="12"/>
      <c r="Q44" s="13">
        <f t="shared" si="16"/>
        <v>1</v>
      </c>
      <c r="R44" s="13">
        <f t="shared" si="16"/>
        <v>0</v>
      </c>
      <c r="S44" s="13">
        <f t="shared" si="16"/>
        <v>77</v>
      </c>
      <c r="T44" s="13">
        <f t="shared" si="16"/>
        <v>39</v>
      </c>
      <c r="U44" s="13">
        <f t="shared" si="16"/>
        <v>16</v>
      </c>
      <c r="V44" s="13">
        <f t="shared" si="14"/>
        <v>133</v>
      </c>
      <c r="W44" s="13" t="str">
        <f t="shared" si="5"/>
        <v>85</v>
      </c>
      <c r="X44" s="13">
        <f t="shared" si="13"/>
        <v>265</v>
      </c>
      <c r="Y44" s="13" t="str">
        <f t="shared" si="3"/>
        <v>09</v>
      </c>
      <c r="Z44" s="119"/>
      <c r="AA44" s="119"/>
      <c r="AB44" s="119"/>
      <c r="AC44" s="119"/>
      <c r="AD44" s="119"/>
      <c r="AE44" s="119"/>
      <c r="AF44" s="119"/>
      <c r="AG44" s="119">
        <v>10000</v>
      </c>
      <c r="AH44" s="119" t="str">
        <f>DEC2HEX(AG44)</f>
        <v>2710</v>
      </c>
      <c r="AJ44" s="64" t="s">
        <v>1601</v>
      </c>
      <c r="AK44" s="64" t="s">
        <v>2144</v>
      </c>
    </row>
    <row r="45" spans="2:37" ht="16.5" customHeight="1">
      <c r="B45" s="111" t="s">
        <v>1515</v>
      </c>
      <c r="C45" s="111" t="str">
        <f t="shared" si="0"/>
        <v>FF010053000054</v>
      </c>
      <c r="D45" s="60" t="s">
        <v>24</v>
      </c>
      <c r="E45" s="60" t="s">
        <v>16</v>
      </c>
      <c r="F45" s="60" t="s">
        <v>168</v>
      </c>
      <c r="G45" s="60" t="s">
        <v>16</v>
      </c>
      <c r="H45" s="60" t="s">
        <v>16</v>
      </c>
      <c r="I45" s="12" t="str">
        <f t="shared" si="6"/>
        <v>54</v>
      </c>
      <c r="J45" s="12"/>
      <c r="K45" s="12"/>
      <c r="L45" s="12"/>
      <c r="M45" s="12"/>
      <c r="N45" s="12"/>
      <c r="O45" s="12"/>
      <c r="P45" s="12"/>
      <c r="Q45" s="13">
        <f t="shared" si="16"/>
        <v>1</v>
      </c>
      <c r="R45" s="13">
        <f t="shared" si="16"/>
        <v>0</v>
      </c>
      <c r="S45" s="13">
        <f t="shared" si="16"/>
        <v>83</v>
      </c>
      <c r="T45" s="13">
        <f t="shared" si="16"/>
        <v>0</v>
      </c>
      <c r="U45" s="13">
        <f t="shared" si="16"/>
        <v>0</v>
      </c>
      <c r="V45" s="13">
        <f t="shared" ref="V45:V53" si="17">SUM(Q45:U45)</f>
        <v>84</v>
      </c>
      <c r="W45" s="13" t="str">
        <f t="shared" si="5"/>
        <v>54</v>
      </c>
      <c r="X45" s="13">
        <f t="shared" si="13"/>
        <v>167</v>
      </c>
      <c r="Y45" s="13" t="str">
        <f t="shared" si="3"/>
        <v>A7</v>
      </c>
      <c r="Z45" s="119"/>
      <c r="AA45" s="119"/>
      <c r="AB45" s="119"/>
      <c r="AC45" s="119"/>
      <c r="AD45" s="119"/>
      <c r="AE45" s="119"/>
      <c r="AF45" s="119"/>
      <c r="AG45" s="119"/>
      <c r="AH45" s="119"/>
      <c r="AJ45" s="64" t="s">
        <v>1602</v>
      </c>
      <c r="AK45" s="64" t="s">
        <v>1565</v>
      </c>
    </row>
    <row r="46" spans="2:37" ht="16.5" customHeight="1">
      <c r="B46" s="12" t="s">
        <v>1516</v>
      </c>
      <c r="C46" s="12" t="str">
        <f t="shared" si="0"/>
        <v>FF010005000107</v>
      </c>
      <c r="D46" s="60" t="s">
        <v>24</v>
      </c>
      <c r="E46" s="60" t="s">
        <v>16</v>
      </c>
      <c r="F46" s="60" t="s">
        <v>92</v>
      </c>
      <c r="G46" s="60" t="s">
        <v>16</v>
      </c>
      <c r="H46" s="60" t="s">
        <v>24</v>
      </c>
      <c r="I46" s="12" t="str">
        <f t="shared" si="6"/>
        <v>07</v>
      </c>
      <c r="J46" s="12"/>
      <c r="K46" s="12"/>
      <c r="L46" s="12"/>
      <c r="M46" s="12"/>
      <c r="N46" s="12"/>
      <c r="O46" s="12"/>
      <c r="P46" s="12"/>
      <c r="Q46" s="13">
        <f t="shared" si="16"/>
        <v>1</v>
      </c>
      <c r="R46" s="13">
        <f t="shared" si="16"/>
        <v>0</v>
      </c>
      <c r="S46" s="13">
        <f t="shared" si="16"/>
        <v>5</v>
      </c>
      <c r="T46" s="13">
        <f t="shared" si="16"/>
        <v>0</v>
      </c>
      <c r="U46" s="13">
        <f t="shared" si="16"/>
        <v>1</v>
      </c>
      <c r="V46" s="13">
        <f t="shared" si="17"/>
        <v>7</v>
      </c>
      <c r="W46" s="13" t="str">
        <f t="shared" si="5"/>
        <v>07</v>
      </c>
      <c r="X46" s="13">
        <f t="shared" si="13"/>
        <v>13</v>
      </c>
      <c r="Y46" s="13" t="str">
        <f t="shared" si="3"/>
        <v>0D</v>
      </c>
      <c r="Z46" s="119"/>
      <c r="AA46" s="119"/>
      <c r="AB46" s="119"/>
      <c r="AC46" s="119"/>
      <c r="AD46" s="119"/>
      <c r="AE46" s="119"/>
      <c r="AF46" s="119"/>
      <c r="AG46" s="119"/>
      <c r="AH46" s="119"/>
      <c r="AJ46" s="64" t="s">
        <v>1603</v>
      </c>
      <c r="AK46" s="64" t="s">
        <v>2121</v>
      </c>
    </row>
    <row r="47" spans="2:37" ht="16.5" customHeight="1">
      <c r="B47" s="12" t="s">
        <v>1517</v>
      </c>
      <c r="C47" s="12" t="str">
        <f t="shared" si="0"/>
        <v>FF01000500FF05</v>
      </c>
      <c r="D47" s="60" t="s">
        <v>24</v>
      </c>
      <c r="E47" s="60" t="s">
        <v>16</v>
      </c>
      <c r="F47" s="60" t="s">
        <v>92</v>
      </c>
      <c r="G47" s="60" t="s">
        <v>16</v>
      </c>
      <c r="H47" s="60" t="s">
        <v>9</v>
      </c>
      <c r="I47" s="12" t="str">
        <f t="shared" si="6"/>
        <v>05</v>
      </c>
      <c r="J47" s="12"/>
      <c r="K47" s="12"/>
      <c r="L47" s="12"/>
      <c r="M47" s="12"/>
      <c r="N47" s="12"/>
      <c r="O47" s="12"/>
      <c r="P47" s="12"/>
      <c r="Q47" s="13">
        <f t="shared" si="16"/>
        <v>1</v>
      </c>
      <c r="R47" s="13">
        <f t="shared" si="16"/>
        <v>0</v>
      </c>
      <c r="S47" s="13">
        <f t="shared" si="16"/>
        <v>5</v>
      </c>
      <c r="T47" s="13">
        <f t="shared" si="16"/>
        <v>0</v>
      </c>
      <c r="U47" s="13">
        <f t="shared" si="16"/>
        <v>255</v>
      </c>
      <c r="V47" s="13">
        <f t="shared" si="17"/>
        <v>261</v>
      </c>
      <c r="W47" s="13" t="str">
        <f t="shared" si="5"/>
        <v>05</v>
      </c>
      <c r="X47" s="13">
        <f t="shared" si="13"/>
        <v>521</v>
      </c>
      <c r="Y47" s="13" t="str">
        <f t="shared" si="3"/>
        <v>09</v>
      </c>
      <c r="Z47" s="119"/>
      <c r="AA47" s="119"/>
      <c r="AB47" s="119"/>
      <c r="AC47" s="119"/>
      <c r="AD47" s="119"/>
      <c r="AE47" s="119"/>
      <c r="AF47" s="119"/>
      <c r="AG47" s="119"/>
      <c r="AH47" s="119"/>
      <c r="AJ47" s="64" t="s">
        <v>1604</v>
      </c>
      <c r="AK47" s="64" t="s">
        <v>1566</v>
      </c>
    </row>
    <row r="48" spans="2:37" ht="16.5" customHeight="1">
      <c r="B48" s="12" t="s">
        <v>1518</v>
      </c>
      <c r="C48" s="12" t="str">
        <f t="shared" si="0"/>
        <v>FF010700000109</v>
      </c>
      <c r="D48" s="60" t="s">
        <v>24</v>
      </c>
      <c r="E48" s="60" t="s">
        <v>101</v>
      </c>
      <c r="F48" s="60" t="s">
        <v>16</v>
      </c>
      <c r="G48" s="60" t="s">
        <v>16</v>
      </c>
      <c r="H48" s="60" t="s">
        <v>24</v>
      </c>
      <c r="I48" s="12" t="str">
        <f t="shared" si="6"/>
        <v>09</v>
      </c>
      <c r="J48" s="12"/>
      <c r="K48" s="12"/>
      <c r="L48" s="12"/>
      <c r="M48" s="12"/>
      <c r="N48" s="12"/>
      <c r="O48" s="12"/>
      <c r="P48" s="12"/>
      <c r="Q48" s="13">
        <f t="shared" si="16"/>
        <v>1</v>
      </c>
      <c r="R48" s="13">
        <f t="shared" si="16"/>
        <v>7</v>
      </c>
      <c r="S48" s="13">
        <f t="shared" si="16"/>
        <v>0</v>
      </c>
      <c r="T48" s="13">
        <f t="shared" si="16"/>
        <v>0</v>
      </c>
      <c r="U48" s="13">
        <f t="shared" si="16"/>
        <v>1</v>
      </c>
      <c r="V48" s="13">
        <f t="shared" si="17"/>
        <v>9</v>
      </c>
      <c r="W48" s="13" t="str">
        <f t="shared" si="5"/>
        <v>09</v>
      </c>
      <c r="X48" s="13">
        <f t="shared" si="13"/>
        <v>17</v>
      </c>
      <c r="Y48" s="13" t="str">
        <f t="shared" si="3"/>
        <v>11</v>
      </c>
      <c r="Z48" s="119"/>
      <c r="AA48" s="119"/>
      <c r="AB48" s="119"/>
      <c r="AC48" s="119"/>
      <c r="AD48" s="119"/>
      <c r="AE48" s="119"/>
      <c r="AF48" s="119"/>
      <c r="AG48" s="119"/>
      <c r="AH48" s="119"/>
      <c r="AJ48" s="64" t="s">
        <v>1605</v>
      </c>
      <c r="AK48" s="64" t="s">
        <v>1567</v>
      </c>
    </row>
    <row r="49" spans="2:37" ht="16.5" customHeight="1">
      <c r="B49" s="12" t="s">
        <v>1519</v>
      </c>
      <c r="C49" s="12" t="str">
        <f t="shared" si="0"/>
        <v>FF01070000FF07</v>
      </c>
      <c r="D49" s="60" t="s">
        <v>24</v>
      </c>
      <c r="E49" s="60" t="s">
        <v>101</v>
      </c>
      <c r="F49" s="60" t="s">
        <v>16</v>
      </c>
      <c r="G49" s="60" t="s">
        <v>16</v>
      </c>
      <c r="H49" s="60" t="s">
        <v>9</v>
      </c>
      <c r="I49" s="12" t="str">
        <f t="shared" si="6"/>
        <v>07</v>
      </c>
      <c r="J49" s="12"/>
      <c r="K49" s="12"/>
      <c r="L49" s="12"/>
      <c r="M49" s="12"/>
      <c r="N49" s="12"/>
      <c r="O49" s="12"/>
      <c r="P49" s="12"/>
      <c r="Q49" s="13">
        <f t="shared" si="16"/>
        <v>1</v>
      </c>
      <c r="R49" s="13">
        <f t="shared" si="16"/>
        <v>7</v>
      </c>
      <c r="S49" s="13">
        <f t="shared" si="16"/>
        <v>0</v>
      </c>
      <c r="T49" s="13">
        <f t="shared" si="16"/>
        <v>0</v>
      </c>
      <c r="U49" s="13">
        <f t="shared" si="16"/>
        <v>255</v>
      </c>
      <c r="V49" s="13">
        <f t="shared" si="17"/>
        <v>263</v>
      </c>
      <c r="W49" s="13" t="str">
        <f t="shared" si="5"/>
        <v>07</v>
      </c>
      <c r="X49" s="13">
        <f t="shared" si="13"/>
        <v>525</v>
      </c>
      <c r="Y49" s="13" t="str">
        <f t="shared" si="3"/>
        <v>0D</v>
      </c>
      <c r="Z49" s="119"/>
      <c r="AA49" s="119"/>
      <c r="AB49" s="119"/>
      <c r="AC49" s="119"/>
      <c r="AD49" s="119"/>
      <c r="AE49" s="119"/>
      <c r="AF49" s="119"/>
      <c r="AG49" s="119"/>
      <c r="AH49" s="119"/>
      <c r="AJ49" s="64" t="s">
        <v>1606</v>
      </c>
      <c r="AK49" s="64" t="s">
        <v>1568</v>
      </c>
    </row>
    <row r="50" spans="2:37" ht="16.5" customHeight="1">
      <c r="B50" s="12" t="s">
        <v>1521</v>
      </c>
      <c r="C50" s="12" t="str">
        <f t="shared" si="0"/>
        <v>FF01090000010B</v>
      </c>
      <c r="D50" s="60" t="s">
        <v>24</v>
      </c>
      <c r="E50" s="60" t="s">
        <v>1520</v>
      </c>
      <c r="F50" s="60" t="s">
        <v>16</v>
      </c>
      <c r="G50" s="60" t="s">
        <v>16</v>
      </c>
      <c r="H50" s="60" t="s">
        <v>24</v>
      </c>
      <c r="I50" s="12" t="str">
        <f t="shared" si="6"/>
        <v>0B</v>
      </c>
      <c r="J50" s="12"/>
      <c r="K50" s="12"/>
      <c r="L50" s="12"/>
      <c r="M50" s="12"/>
      <c r="N50" s="12"/>
      <c r="O50" s="12"/>
      <c r="P50" s="12"/>
      <c r="Q50" s="13">
        <f t="shared" si="16"/>
        <v>1</v>
      </c>
      <c r="R50" s="13">
        <f t="shared" si="16"/>
        <v>9</v>
      </c>
      <c r="S50" s="13">
        <f t="shared" si="16"/>
        <v>0</v>
      </c>
      <c r="T50" s="13">
        <f t="shared" si="16"/>
        <v>0</v>
      </c>
      <c r="U50" s="13">
        <f t="shared" si="16"/>
        <v>1</v>
      </c>
      <c r="V50" s="13">
        <f t="shared" si="17"/>
        <v>11</v>
      </c>
      <c r="W50" s="13" t="str">
        <f t="shared" si="5"/>
        <v>0B</v>
      </c>
      <c r="X50" s="13">
        <f t="shared" si="13"/>
        <v>21</v>
      </c>
      <c r="Y50" s="13" t="str">
        <f t="shared" si="3"/>
        <v>15</v>
      </c>
      <c r="Z50" s="119"/>
      <c r="AA50" s="119"/>
      <c r="AB50" s="119"/>
      <c r="AC50" s="119"/>
      <c r="AD50" s="119"/>
      <c r="AE50" s="119"/>
      <c r="AF50" s="119"/>
      <c r="AG50" s="119"/>
      <c r="AH50" s="119"/>
      <c r="AJ50" s="64" t="s">
        <v>1607</v>
      </c>
      <c r="AK50" s="64" t="s">
        <v>1569</v>
      </c>
    </row>
    <row r="51" spans="2:37" ht="16.5" customHeight="1">
      <c r="B51" s="12" t="s">
        <v>1522</v>
      </c>
      <c r="C51" s="12" t="str">
        <f t="shared" si="0"/>
        <v>FF01090000FF09</v>
      </c>
      <c r="D51" s="60" t="s">
        <v>24</v>
      </c>
      <c r="E51" s="60" t="s">
        <v>1520</v>
      </c>
      <c r="F51" s="60" t="s">
        <v>16</v>
      </c>
      <c r="G51" s="60" t="s">
        <v>16</v>
      </c>
      <c r="H51" s="60" t="s">
        <v>9</v>
      </c>
      <c r="I51" s="12" t="str">
        <f t="shared" si="6"/>
        <v>09</v>
      </c>
      <c r="J51" s="12"/>
      <c r="K51" s="12"/>
      <c r="L51" s="12"/>
      <c r="M51" s="12"/>
      <c r="N51" s="12"/>
      <c r="O51" s="12"/>
      <c r="P51" s="12"/>
      <c r="Q51" s="13">
        <f t="shared" si="16"/>
        <v>1</v>
      </c>
      <c r="R51" s="13">
        <f t="shared" si="16"/>
        <v>9</v>
      </c>
      <c r="S51" s="13">
        <f t="shared" si="16"/>
        <v>0</v>
      </c>
      <c r="T51" s="13">
        <f t="shared" si="16"/>
        <v>0</v>
      </c>
      <c r="U51" s="13">
        <f t="shared" si="16"/>
        <v>255</v>
      </c>
      <c r="V51" s="13">
        <f t="shared" si="17"/>
        <v>265</v>
      </c>
      <c r="W51" s="13" t="str">
        <f t="shared" si="5"/>
        <v>09</v>
      </c>
      <c r="X51" s="13">
        <f t="shared" si="13"/>
        <v>529</v>
      </c>
      <c r="Y51" s="13" t="str">
        <f t="shared" si="3"/>
        <v>11</v>
      </c>
      <c r="Z51" s="119"/>
      <c r="AA51" s="119"/>
      <c r="AB51" s="119"/>
      <c r="AC51" s="119"/>
      <c r="AD51" s="119"/>
      <c r="AE51" s="119"/>
      <c r="AF51" s="119"/>
      <c r="AG51" s="119"/>
      <c r="AH51" s="119"/>
      <c r="AJ51" s="64" t="s">
        <v>1608</v>
      </c>
      <c r="AK51" s="64" t="s">
        <v>1570</v>
      </c>
    </row>
    <row r="52" spans="2:37" ht="16.5" customHeight="1">
      <c r="B52" s="12" t="s">
        <v>1523</v>
      </c>
      <c r="C52" s="12" t="str">
        <f t="shared" si="0"/>
        <v>FF01004900004A</v>
      </c>
      <c r="D52" s="60" t="s">
        <v>24</v>
      </c>
      <c r="E52" s="60" t="s">
        <v>16</v>
      </c>
      <c r="F52" s="60" t="s">
        <v>1524</v>
      </c>
      <c r="G52" s="60" t="s">
        <v>16</v>
      </c>
      <c r="H52" s="60" t="s">
        <v>16</v>
      </c>
      <c r="I52" s="12" t="str">
        <f t="shared" si="6"/>
        <v>4A</v>
      </c>
      <c r="J52" s="12"/>
      <c r="K52" s="12"/>
      <c r="L52" s="12"/>
      <c r="M52" s="12"/>
      <c r="N52" s="12"/>
      <c r="O52" s="12"/>
      <c r="P52" s="12"/>
      <c r="Q52" s="13">
        <f t="shared" si="16"/>
        <v>1</v>
      </c>
      <c r="R52" s="13">
        <f t="shared" si="16"/>
        <v>0</v>
      </c>
      <c r="S52" s="13">
        <f t="shared" si="16"/>
        <v>73</v>
      </c>
      <c r="T52" s="13">
        <f t="shared" si="16"/>
        <v>0</v>
      </c>
      <c r="U52" s="13">
        <f t="shared" si="16"/>
        <v>0</v>
      </c>
      <c r="V52" s="13">
        <f t="shared" si="17"/>
        <v>74</v>
      </c>
      <c r="W52" s="13" t="str">
        <f t="shared" si="5"/>
        <v>4A</v>
      </c>
      <c r="X52" s="13">
        <f t="shared" si="13"/>
        <v>147</v>
      </c>
      <c r="Y52" s="13" t="str">
        <f t="shared" si="3"/>
        <v>93</v>
      </c>
      <c r="Z52" s="119"/>
      <c r="AA52" s="119"/>
      <c r="AB52" s="119"/>
      <c r="AC52" s="119"/>
      <c r="AD52" s="119"/>
      <c r="AE52" s="119"/>
      <c r="AF52" s="119"/>
      <c r="AG52" s="119"/>
      <c r="AH52" s="119"/>
      <c r="AJ52" s="64" t="s">
        <v>1609</v>
      </c>
      <c r="AK52" s="64" t="s">
        <v>1571</v>
      </c>
    </row>
    <row r="53" spans="2:37" ht="16.5" customHeight="1">
      <c r="B53" s="12" t="s">
        <v>1525</v>
      </c>
      <c r="C53" s="12" t="str">
        <f t="shared" si="0"/>
        <v>FF010047000048</v>
      </c>
      <c r="D53" s="60" t="s">
        <v>24</v>
      </c>
      <c r="E53" s="60" t="s">
        <v>16</v>
      </c>
      <c r="F53" s="60" t="s">
        <v>1526</v>
      </c>
      <c r="G53" s="60" t="s">
        <v>16</v>
      </c>
      <c r="H53" s="60" t="s">
        <v>16</v>
      </c>
      <c r="I53" s="12" t="str">
        <f t="shared" si="6"/>
        <v>48</v>
      </c>
      <c r="J53" s="12"/>
      <c r="K53" s="12"/>
      <c r="L53" s="12"/>
      <c r="M53" s="12"/>
      <c r="N53" s="12"/>
      <c r="O53" s="12"/>
      <c r="P53" s="12"/>
      <c r="Q53" s="13">
        <f t="shared" si="16"/>
        <v>1</v>
      </c>
      <c r="R53" s="13">
        <f t="shared" si="16"/>
        <v>0</v>
      </c>
      <c r="S53" s="13">
        <f t="shared" si="16"/>
        <v>71</v>
      </c>
      <c r="T53" s="13">
        <f t="shared" si="16"/>
        <v>0</v>
      </c>
      <c r="U53" s="13">
        <f t="shared" si="16"/>
        <v>0</v>
      </c>
      <c r="V53" s="13">
        <f t="shared" si="17"/>
        <v>72</v>
      </c>
      <c r="W53" s="13" t="str">
        <f t="shared" si="5"/>
        <v>48</v>
      </c>
      <c r="X53" s="13">
        <f t="shared" si="13"/>
        <v>143</v>
      </c>
      <c r="Y53" s="13" t="str">
        <f t="shared" si="3"/>
        <v>8F</v>
      </c>
      <c r="Z53" s="119"/>
      <c r="AA53" s="119"/>
      <c r="AB53" s="119"/>
      <c r="AC53" s="119"/>
      <c r="AD53" s="119"/>
      <c r="AE53" s="119"/>
      <c r="AF53" s="119"/>
      <c r="AG53" s="119"/>
      <c r="AH53" s="119"/>
      <c r="AJ53" s="64" t="s">
        <v>1610</v>
      </c>
      <c r="AK53" s="64" t="s">
        <v>1572</v>
      </c>
    </row>
    <row r="54" spans="2:37" s="115" customFormat="1" ht="16.5" customHeight="1">
      <c r="B54" s="112" t="s">
        <v>1612</v>
      </c>
      <c r="C54" s="112" t="s">
        <v>1614</v>
      </c>
      <c r="D54" s="113"/>
      <c r="E54" s="113"/>
      <c r="F54" s="113"/>
      <c r="G54" s="113"/>
      <c r="H54" s="113"/>
      <c r="I54" s="112"/>
      <c r="J54" s="112"/>
      <c r="K54" s="112"/>
      <c r="L54" s="112"/>
      <c r="M54" s="112"/>
      <c r="N54" s="112"/>
      <c r="O54" s="112"/>
      <c r="P54" s="112"/>
      <c r="Q54" s="114"/>
      <c r="R54" s="114"/>
      <c r="S54" s="114"/>
      <c r="T54" s="114"/>
      <c r="U54" s="114"/>
      <c r="V54" s="114"/>
      <c r="W54" s="114"/>
      <c r="X54" s="114"/>
      <c r="Y54" s="114"/>
      <c r="Z54" s="118"/>
      <c r="AA54" s="118"/>
      <c r="AB54" s="118"/>
      <c r="AC54" s="118"/>
      <c r="AD54" s="118"/>
      <c r="AE54" s="118"/>
      <c r="AF54" s="118"/>
      <c r="AG54" s="118"/>
      <c r="AH54" s="118"/>
      <c r="AJ54" s="116" t="s">
        <v>1611</v>
      </c>
      <c r="AK54" s="116" t="s">
        <v>1613</v>
      </c>
    </row>
    <row r="55" spans="2:37" s="2" customFormat="1" ht="16.5" customHeight="1">
      <c r="B55" s="12" t="s">
        <v>1644</v>
      </c>
      <c r="C55" s="12" t="str">
        <f t="shared" ref="C55:C76" si="18">"FF"&amp;D55&amp;E55&amp;""&amp;F55&amp;G55&amp;H55&amp;I55</f>
        <v>FF020000000002</v>
      </c>
      <c r="D55" s="60" t="s">
        <v>17</v>
      </c>
      <c r="E55" s="60" t="s">
        <v>16</v>
      </c>
      <c r="F55" s="60" t="s">
        <v>16</v>
      </c>
      <c r="G55" s="60" t="s">
        <v>16</v>
      </c>
      <c r="H55" s="60" t="s">
        <v>16</v>
      </c>
      <c r="I55" s="12" t="str">
        <f>W55</f>
        <v>02</v>
      </c>
      <c r="J55" s="12"/>
      <c r="K55" s="12"/>
      <c r="L55" s="12"/>
      <c r="M55" s="12"/>
      <c r="N55" s="12"/>
      <c r="O55" s="12"/>
      <c r="P55" s="12"/>
      <c r="Q55" s="13">
        <f t="shared" ref="Q55:U76" si="19">HEX2DEC(D55)</f>
        <v>2</v>
      </c>
      <c r="R55" s="13">
        <f t="shared" si="19"/>
        <v>0</v>
      </c>
      <c r="S55" s="13">
        <f t="shared" si="19"/>
        <v>0</v>
      </c>
      <c r="T55" s="13">
        <f t="shared" si="19"/>
        <v>0</v>
      </c>
      <c r="U55" s="13">
        <f t="shared" ref="U55:V55" si="20">SUM(Q55:T55)</f>
        <v>2</v>
      </c>
      <c r="V55" s="13">
        <f t="shared" si="20"/>
        <v>2</v>
      </c>
      <c r="W55" s="13" t="str">
        <f>REPT("0",2-LEN(RIGHT(DEC2HEX(U55), 2)))&amp;RIGHT(DEC2HEX(U55), 2)</f>
        <v>02</v>
      </c>
      <c r="X55" s="13">
        <f>SUM(R55:W55)</f>
        <v>4</v>
      </c>
      <c r="Y55" s="13" t="str">
        <f>REPT("0",2-LEN(RIGHT(DEC2HEX(X55), 2)))&amp;RIGHT(DEC2HEX(X55), 2)</f>
        <v>04</v>
      </c>
      <c r="Z55" s="119"/>
      <c r="AA55" s="119"/>
      <c r="AB55" s="119"/>
      <c r="AC55" s="119"/>
      <c r="AD55" s="119"/>
      <c r="AE55" s="119"/>
      <c r="AF55" s="119"/>
      <c r="AG55" s="119"/>
      <c r="AH55" s="119"/>
      <c r="AJ55" s="64" t="s">
        <v>1643</v>
      </c>
      <c r="AK55" s="64" t="s">
        <v>1542</v>
      </c>
    </row>
    <row r="56" spans="2:37" ht="16.5" customHeight="1">
      <c r="B56" s="12" t="s">
        <v>1504</v>
      </c>
      <c r="C56" s="12" t="str">
        <f t="shared" si="18"/>
        <v>FF020020000022</v>
      </c>
      <c r="D56" s="60" t="s">
        <v>17</v>
      </c>
      <c r="E56" s="60" t="s">
        <v>16</v>
      </c>
      <c r="F56" s="60">
        <v>20</v>
      </c>
      <c r="G56" s="60" t="s">
        <v>16</v>
      </c>
      <c r="H56" s="60" t="s">
        <v>16</v>
      </c>
      <c r="I56" s="12" t="str">
        <f t="shared" si="6"/>
        <v>22</v>
      </c>
      <c r="J56" s="12"/>
      <c r="K56" s="12"/>
      <c r="L56" s="12"/>
      <c r="M56" s="12"/>
      <c r="N56" s="12"/>
      <c r="O56" s="12"/>
      <c r="P56" s="12"/>
      <c r="Q56" s="13">
        <f t="shared" si="19"/>
        <v>2</v>
      </c>
      <c r="R56" s="13">
        <f t="shared" si="19"/>
        <v>0</v>
      </c>
      <c r="S56" s="13">
        <f t="shared" si="19"/>
        <v>32</v>
      </c>
      <c r="T56" s="13">
        <f t="shared" si="19"/>
        <v>0</v>
      </c>
      <c r="U56" s="13">
        <f t="shared" si="19"/>
        <v>0</v>
      </c>
      <c r="V56" s="13">
        <f t="shared" si="7"/>
        <v>34</v>
      </c>
      <c r="W56" s="13" t="str">
        <f t="shared" si="5"/>
        <v>22</v>
      </c>
      <c r="X56" s="13">
        <f t="shared" si="8"/>
        <v>66</v>
      </c>
      <c r="Y56" s="13" t="str">
        <f t="shared" si="3"/>
        <v>42</v>
      </c>
      <c r="Z56" s="119"/>
      <c r="AA56" s="119"/>
      <c r="AB56" s="119"/>
      <c r="AC56" s="119"/>
      <c r="AD56" s="119"/>
      <c r="AE56" s="119"/>
      <c r="AF56" s="119"/>
      <c r="AG56" s="119"/>
      <c r="AH56" s="119"/>
      <c r="AJ56" s="64" t="s">
        <v>1582</v>
      </c>
      <c r="AK56" s="64" t="s">
        <v>1543</v>
      </c>
    </row>
    <row r="57" spans="2:37" ht="16.5" customHeight="1">
      <c r="B57" s="12" t="s">
        <v>1505</v>
      </c>
      <c r="C57" s="12" t="str">
        <f t="shared" si="18"/>
        <v>FF020040000042</v>
      </c>
      <c r="D57" s="60" t="s">
        <v>17</v>
      </c>
      <c r="E57" s="60" t="s">
        <v>16</v>
      </c>
      <c r="F57" s="60" t="s">
        <v>1503</v>
      </c>
      <c r="G57" s="60" t="s">
        <v>16</v>
      </c>
      <c r="H57" s="60" t="s">
        <v>16</v>
      </c>
      <c r="I57" s="12" t="str">
        <f t="shared" si="6"/>
        <v>42</v>
      </c>
      <c r="J57" s="12"/>
      <c r="K57" s="12"/>
      <c r="L57" s="12"/>
      <c r="M57" s="12"/>
      <c r="N57" s="12"/>
      <c r="O57" s="12"/>
      <c r="P57" s="12"/>
      <c r="Q57" s="13">
        <f t="shared" si="19"/>
        <v>2</v>
      </c>
      <c r="R57" s="13">
        <f t="shared" si="19"/>
        <v>0</v>
      </c>
      <c r="S57" s="13">
        <f t="shared" si="19"/>
        <v>64</v>
      </c>
      <c r="T57" s="13">
        <f t="shared" si="19"/>
        <v>0</v>
      </c>
      <c r="U57" s="13">
        <f t="shared" si="19"/>
        <v>0</v>
      </c>
      <c r="V57" s="13">
        <f t="shared" ref="V57:V76" si="21">SUM(Q57:U57)</f>
        <v>66</v>
      </c>
      <c r="W57" s="13" t="str">
        <f t="shared" si="5"/>
        <v>42</v>
      </c>
      <c r="X57" s="13">
        <f t="shared" si="8"/>
        <v>130</v>
      </c>
      <c r="Y57" s="13" t="str">
        <f t="shared" si="3"/>
        <v>82</v>
      </c>
      <c r="Z57" s="119"/>
      <c r="AA57" s="119"/>
      <c r="AB57" s="119"/>
      <c r="AC57" s="119"/>
      <c r="AD57" s="119"/>
      <c r="AE57" s="119"/>
      <c r="AF57" s="119"/>
      <c r="AG57" s="119"/>
      <c r="AH57" s="119"/>
      <c r="AJ57" s="64" t="s">
        <v>1583</v>
      </c>
      <c r="AK57" s="64" t="s">
        <v>1544</v>
      </c>
    </row>
    <row r="58" spans="2:37" ht="16.5" customHeight="1">
      <c r="B58" s="12" t="s">
        <v>1506</v>
      </c>
      <c r="C58" s="12" t="str">
        <f t="shared" si="18"/>
        <v>FF020080000082</v>
      </c>
      <c r="D58" s="60" t="s">
        <v>17</v>
      </c>
      <c r="E58" s="60" t="s">
        <v>16</v>
      </c>
      <c r="F58" s="60" t="s">
        <v>43</v>
      </c>
      <c r="G58" s="60" t="s">
        <v>16</v>
      </c>
      <c r="H58" s="60" t="s">
        <v>16</v>
      </c>
      <c r="I58" s="12" t="str">
        <f t="shared" si="6"/>
        <v>82</v>
      </c>
      <c r="J58" s="12"/>
      <c r="K58" s="12"/>
      <c r="L58" s="12"/>
      <c r="M58" s="12"/>
      <c r="N58" s="12"/>
      <c r="O58" s="12"/>
      <c r="P58" s="12"/>
      <c r="Q58" s="13">
        <f t="shared" si="19"/>
        <v>2</v>
      </c>
      <c r="R58" s="13">
        <f t="shared" si="19"/>
        <v>0</v>
      </c>
      <c r="S58" s="13">
        <f t="shared" si="19"/>
        <v>128</v>
      </c>
      <c r="T58" s="13">
        <f t="shared" si="19"/>
        <v>0</v>
      </c>
      <c r="U58" s="13">
        <f t="shared" si="19"/>
        <v>0</v>
      </c>
      <c r="V58" s="13">
        <f t="shared" si="21"/>
        <v>130</v>
      </c>
      <c r="W58" s="13" t="str">
        <f t="shared" si="5"/>
        <v>82</v>
      </c>
      <c r="X58" s="13">
        <f t="shared" si="8"/>
        <v>258</v>
      </c>
      <c r="Y58" s="13" t="str">
        <f t="shared" si="3"/>
        <v>02</v>
      </c>
      <c r="Z58" s="119"/>
      <c r="AA58" s="119"/>
      <c r="AB58" s="119"/>
      <c r="AC58" s="119"/>
      <c r="AD58" s="119"/>
      <c r="AE58" s="119"/>
      <c r="AF58" s="119"/>
      <c r="AG58" s="119"/>
      <c r="AH58" s="119"/>
      <c r="AJ58" s="64" t="s">
        <v>1584</v>
      </c>
      <c r="AK58" s="64" t="s">
        <v>1545</v>
      </c>
    </row>
    <row r="59" spans="2:37" ht="16.5" customHeight="1">
      <c r="B59" s="12" t="s">
        <v>1507</v>
      </c>
      <c r="C59" s="12" t="str">
        <f t="shared" si="18"/>
        <v>FF020100000003</v>
      </c>
      <c r="D59" s="60" t="s">
        <v>17</v>
      </c>
      <c r="E59" s="60" t="s">
        <v>24</v>
      </c>
      <c r="F59" s="60" t="s">
        <v>16</v>
      </c>
      <c r="G59" s="60" t="s">
        <v>16</v>
      </c>
      <c r="H59" s="60" t="s">
        <v>16</v>
      </c>
      <c r="I59" s="12" t="str">
        <f t="shared" si="6"/>
        <v>03</v>
      </c>
      <c r="J59" s="12"/>
      <c r="K59" s="12"/>
      <c r="L59" s="12"/>
      <c r="M59" s="12"/>
      <c r="N59" s="12"/>
      <c r="O59" s="12"/>
      <c r="P59" s="12"/>
      <c r="Q59" s="13">
        <f t="shared" si="19"/>
        <v>2</v>
      </c>
      <c r="R59" s="13">
        <f t="shared" si="19"/>
        <v>1</v>
      </c>
      <c r="S59" s="13">
        <f t="shared" si="19"/>
        <v>0</v>
      </c>
      <c r="T59" s="13">
        <f t="shared" si="19"/>
        <v>0</v>
      </c>
      <c r="U59" s="13">
        <f t="shared" si="19"/>
        <v>0</v>
      </c>
      <c r="V59" s="13">
        <f t="shared" si="21"/>
        <v>3</v>
      </c>
      <c r="W59" s="13" t="str">
        <f t="shared" si="5"/>
        <v>03</v>
      </c>
      <c r="X59" s="13">
        <f t="shared" si="8"/>
        <v>4</v>
      </c>
      <c r="Y59" s="13" t="str">
        <f t="shared" si="3"/>
        <v>04</v>
      </c>
      <c r="Z59" s="119"/>
      <c r="AA59" s="119"/>
      <c r="AB59" s="119"/>
      <c r="AC59" s="119"/>
      <c r="AD59" s="119"/>
      <c r="AE59" s="119"/>
      <c r="AF59" s="119"/>
      <c r="AG59" s="119"/>
      <c r="AH59" s="119"/>
      <c r="AJ59" s="64" t="s">
        <v>1585</v>
      </c>
      <c r="AK59" s="64" t="s">
        <v>1546</v>
      </c>
    </row>
    <row r="60" spans="2:37" ht="16.5" customHeight="1">
      <c r="B60" s="12" t="s">
        <v>1508</v>
      </c>
      <c r="C60" s="12" t="str">
        <f t="shared" si="18"/>
        <v>FF02002500042B</v>
      </c>
      <c r="D60" s="60" t="s">
        <v>17</v>
      </c>
      <c r="E60" s="60" t="s">
        <v>16</v>
      </c>
      <c r="F60" s="60" t="s">
        <v>51</v>
      </c>
      <c r="G60" s="60" t="s">
        <v>16</v>
      </c>
      <c r="H60" s="60" t="s">
        <v>67</v>
      </c>
      <c r="I60" s="12" t="str">
        <f t="shared" si="6"/>
        <v>2B</v>
      </c>
      <c r="J60" s="12"/>
      <c r="K60" s="12"/>
      <c r="L60" s="12"/>
      <c r="M60" s="12"/>
      <c r="N60" s="12"/>
      <c r="O60" s="12"/>
      <c r="P60" s="12"/>
      <c r="Q60" s="13">
        <f t="shared" si="19"/>
        <v>2</v>
      </c>
      <c r="R60" s="13">
        <f t="shared" si="19"/>
        <v>0</v>
      </c>
      <c r="S60" s="13">
        <f t="shared" si="19"/>
        <v>37</v>
      </c>
      <c r="T60" s="13">
        <f t="shared" si="19"/>
        <v>0</v>
      </c>
      <c r="U60" s="13">
        <f t="shared" si="19"/>
        <v>4</v>
      </c>
      <c r="V60" s="13">
        <f t="shared" si="21"/>
        <v>43</v>
      </c>
      <c r="W60" s="13" t="str">
        <f t="shared" si="5"/>
        <v>2B</v>
      </c>
      <c r="X60" s="13">
        <f t="shared" si="8"/>
        <v>84</v>
      </c>
      <c r="Y60" s="13" t="str">
        <f t="shared" si="3"/>
        <v>54</v>
      </c>
      <c r="Z60" s="119"/>
      <c r="AA60" s="119"/>
      <c r="AB60" s="119"/>
      <c r="AC60" s="119"/>
      <c r="AD60" s="119"/>
      <c r="AE60" s="119"/>
      <c r="AF60" s="119"/>
      <c r="AG60" s="119"/>
      <c r="AH60" s="119"/>
      <c r="AJ60" s="64" t="s">
        <v>1586</v>
      </c>
      <c r="AK60" s="64" t="s">
        <v>1547</v>
      </c>
    </row>
    <row r="61" spans="2:37" ht="16.5" customHeight="1">
      <c r="B61" s="12" t="s">
        <v>1684</v>
      </c>
      <c r="C61" s="12" t="str">
        <f t="shared" si="18"/>
        <v>FF020025000027</v>
      </c>
      <c r="D61" s="60" t="s">
        <v>17</v>
      </c>
      <c r="E61" s="60" t="s">
        <v>16</v>
      </c>
      <c r="F61" s="60" t="s">
        <v>51</v>
      </c>
      <c r="G61" s="60" t="s">
        <v>16</v>
      </c>
      <c r="H61" s="60" t="s">
        <v>16</v>
      </c>
      <c r="I61" s="12" t="str">
        <f t="shared" si="6"/>
        <v>27</v>
      </c>
      <c r="J61" s="12"/>
      <c r="K61" s="12"/>
      <c r="L61" s="12"/>
      <c r="M61" s="12"/>
      <c r="N61" s="12"/>
      <c r="O61" s="12"/>
      <c r="P61" s="12"/>
      <c r="Q61" s="13">
        <f t="shared" si="19"/>
        <v>2</v>
      </c>
      <c r="R61" s="13">
        <f t="shared" si="19"/>
        <v>0</v>
      </c>
      <c r="S61" s="13">
        <f t="shared" si="19"/>
        <v>37</v>
      </c>
      <c r="T61" s="13">
        <f t="shared" si="19"/>
        <v>0</v>
      </c>
      <c r="U61" s="13">
        <f t="shared" si="19"/>
        <v>0</v>
      </c>
      <c r="V61" s="13">
        <f t="shared" ref="V61" si="22">SUM(Q61:U61)</f>
        <v>39</v>
      </c>
      <c r="W61" s="13" t="str">
        <f t="shared" si="5"/>
        <v>27</v>
      </c>
      <c r="X61" s="13">
        <f t="shared" ref="X61" si="23">SUM(R61:W61)</f>
        <v>76</v>
      </c>
      <c r="Y61" s="13" t="str">
        <f t="shared" si="3"/>
        <v>4C</v>
      </c>
      <c r="Z61" s="119"/>
      <c r="AA61" s="119"/>
      <c r="AB61" s="119"/>
      <c r="AC61" s="119"/>
      <c r="AD61" s="119"/>
      <c r="AE61" s="119"/>
      <c r="AF61" s="119"/>
      <c r="AG61" s="119"/>
      <c r="AH61" s="119"/>
      <c r="AJ61" s="64" t="s">
        <v>1586</v>
      </c>
      <c r="AK61" s="64" t="s">
        <v>2145</v>
      </c>
    </row>
    <row r="62" spans="2:37" ht="16.5" customHeight="1">
      <c r="B62" s="12" t="s">
        <v>1509</v>
      </c>
      <c r="C62" s="12" t="str">
        <f t="shared" si="18"/>
        <v>FF02002700042D</v>
      </c>
      <c r="D62" s="60" t="s">
        <v>17</v>
      </c>
      <c r="E62" s="60" t="s">
        <v>16</v>
      </c>
      <c r="F62" s="60" t="s">
        <v>60</v>
      </c>
      <c r="G62" s="60" t="s">
        <v>16</v>
      </c>
      <c r="H62" s="60" t="s">
        <v>67</v>
      </c>
      <c r="I62" s="12" t="str">
        <f t="shared" si="6"/>
        <v>2D</v>
      </c>
      <c r="J62" s="12"/>
      <c r="K62" s="12"/>
      <c r="L62" s="12"/>
      <c r="M62" s="12"/>
      <c r="N62" s="12"/>
      <c r="O62" s="12"/>
      <c r="P62" s="12"/>
      <c r="Q62" s="13">
        <f t="shared" si="19"/>
        <v>2</v>
      </c>
      <c r="R62" s="13">
        <f t="shared" si="19"/>
        <v>0</v>
      </c>
      <c r="S62" s="13">
        <f t="shared" si="19"/>
        <v>39</v>
      </c>
      <c r="T62" s="13">
        <f t="shared" si="19"/>
        <v>0</v>
      </c>
      <c r="U62" s="13">
        <f t="shared" si="19"/>
        <v>4</v>
      </c>
      <c r="V62" s="13">
        <f t="shared" si="21"/>
        <v>45</v>
      </c>
      <c r="W62" s="13" t="str">
        <f t="shared" si="5"/>
        <v>2D</v>
      </c>
      <c r="X62" s="13">
        <f t="shared" si="8"/>
        <v>88</v>
      </c>
      <c r="Y62" s="13" t="str">
        <f t="shared" si="3"/>
        <v>58</v>
      </c>
      <c r="Z62" s="119"/>
      <c r="AA62" s="119"/>
      <c r="AB62" s="119"/>
      <c r="AC62" s="119"/>
      <c r="AD62" s="119"/>
      <c r="AE62" s="119"/>
      <c r="AF62" s="119"/>
      <c r="AG62" s="119"/>
      <c r="AH62" s="119"/>
      <c r="AJ62" s="64" t="s">
        <v>1587</v>
      </c>
      <c r="AK62" s="64" t="s">
        <v>1548</v>
      </c>
    </row>
    <row r="63" spans="2:37" ht="16.5" customHeight="1">
      <c r="B63" s="12" t="s">
        <v>1685</v>
      </c>
      <c r="C63" s="12" t="str">
        <f t="shared" si="18"/>
        <v>FF020027000029</v>
      </c>
      <c r="D63" s="60" t="s">
        <v>17</v>
      </c>
      <c r="E63" s="60" t="s">
        <v>16</v>
      </c>
      <c r="F63" s="60" t="s">
        <v>60</v>
      </c>
      <c r="G63" s="60" t="s">
        <v>16</v>
      </c>
      <c r="H63" s="60" t="s">
        <v>16</v>
      </c>
      <c r="I63" s="12" t="str">
        <f t="shared" si="6"/>
        <v>29</v>
      </c>
      <c r="J63" s="12"/>
      <c r="K63" s="12"/>
      <c r="L63" s="12"/>
      <c r="M63" s="12"/>
      <c r="N63" s="12"/>
      <c r="O63" s="12"/>
      <c r="P63" s="12"/>
      <c r="Q63" s="13">
        <f t="shared" si="19"/>
        <v>2</v>
      </c>
      <c r="R63" s="13">
        <f t="shared" si="19"/>
        <v>0</v>
      </c>
      <c r="S63" s="13">
        <f t="shared" si="19"/>
        <v>39</v>
      </c>
      <c r="T63" s="13">
        <f t="shared" si="19"/>
        <v>0</v>
      </c>
      <c r="U63" s="13">
        <f t="shared" si="19"/>
        <v>0</v>
      </c>
      <c r="V63" s="13">
        <f t="shared" si="21"/>
        <v>41</v>
      </c>
      <c r="W63" s="13" t="str">
        <f t="shared" si="5"/>
        <v>29</v>
      </c>
      <c r="X63" s="13">
        <f t="shared" ref="X63" si="24">SUM(R63:W63)</f>
        <v>80</v>
      </c>
      <c r="Y63" s="13" t="str">
        <f t="shared" si="3"/>
        <v>50</v>
      </c>
      <c r="Z63" s="119"/>
      <c r="AA63" s="119"/>
      <c r="AB63" s="119"/>
      <c r="AC63" s="119"/>
      <c r="AD63" s="119"/>
      <c r="AE63" s="119"/>
      <c r="AF63" s="119"/>
      <c r="AG63" s="119"/>
      <c r="AH63" s="119"/>
      <c r="AJ63" s="64" t="s">
        <v>1587</v>
      </c>
      <c r="AK63" s="64" t="s">
        <v>2146</v>
      </c>
    </row>
    <row r="64" spans="2:37" ht="16.5" customHeight="1">
      <c r="B64" s="12" t="s">
        <v>1616</v>
      </c>
      <c r="C64" s="12" t="str">
        <f t="shared" si="18"/>
        <v>FF02004F000051</v>
      </c>
      <c r="D64" s="60" t="s">
        <v>17</v>
      </c>
      <c r="E64" s="60" t="s">
        <v>16</v>
      </c>
      <c r="F64" s="60" t="s">
        <v>70</v>
      </c>
      <c r="G64" s="60" t="s">
        <v>16</v>
      </c>
      <c r="H64" s="60" t="s">
        <v>16</v>
      </c>
      <c r="I64" s="12" t="str">
        <f t="shared" si="6"/>
        <v>51</v>
      </c>
      <c r="J64" s="12"/>
      <c r="K64" s="12"/>
      <c r="L64" s="12"/>
      <c r="M64" s="12"/>
      <c r="N64" s="12"/>
      <c r="O64" s="12"/>
      <c r="P64" s="12"/>
      <c r="Q64" s="13">
        <f t="shared" si="19"/>
        <v>2</v>
      </c>
      <c r="R64" s="13">
        <f t="shared" si="19"/>
        <v>0</v>
      </c>
      <c r="S64" s="13">
        <f t="shared" si="19"/>
        <v>79</v>
      </c>
      <c r="T64" s="13">
        <f t="shared" si="19"/>
        <v>0</v>
      </c>
      <c r="U64" s="13">
        <f t="shared" si="19"/>
        <v>0</v>
      </c>
      <c r="V64" s="13">
        <f t="shared" si="21"/>
        <v>81</v>
      </c>
      <c r="W64" s="13" t="str">
        <f t="shared" si="5"/>
        <v>51</v>
      </c>
      <c r="X64" s="13">
        <f t="shared" si="8"/>
        <v>160</v>
      </c>
      <c r="Y64" s="13" t="str">
        <f t="shared" si="3"/>
        <v>A0</v>
      </c>
      <c r="Z64" s="119"/>
      <c r="AA64" s="119"/>
      <c r="AB64" s="119"/>
      <c r="AC64" s="119"/>
      <c r="AD64" s="119"/>
      <c r="AE64" s="119"/>
      <c r="AF64" s="119"/>
      <c r="AG64" s="119"/>
      <c r="AH64" s="119"/>
      <c r="AJ64" s="64" t="s">
        <v>1615</v>
      </c>
      <c r="AK64" s="64" t="s">
        <v>1549</v>
      </c>
    </row>
    <row r="65" spans="2:37" ht="28.5" customHeight="1">
      <c r="B65" s="12" t="s">
        <v>1618</v>
      </c>
      <c r="C65" s="12" t="str">
        <f t="shared" si="18"/>
        <v>FF02004F400091</v>
      </c>
      <c r="D65" s="60" t="s">
        <v>17</v>
      </c>
      <c r="E65" s="60" t="s">
        <v>16</v>
      </c>
      <c r="F65" s="60" t="s">
        <v>70</v>
      </c>
      <c r="G65" s="60" t="s">
        <v>1503</v>
      </c>
      <c r="H65" s="60" t="s">
        <v>16</v>
      </c>
      <c r="I65" s="12" t="str">
        <f t="shared" si="6"/>
        <v>91</v>
      </c>
      <c r="J65" s="12"/>
      <c r="K65" s="12"/>
      <c r="L65" s="12"/>
      <c r="M65" s="12"/>
      <c r="N65" s="12"/>
      <c r="O65" s="12"/>
      <c r="P65" s="12"/>
      <c r="Q65" s="13">
        <f t="shared" si="19"/>
        <v>2</v>
      </c>
      <c r="R65" s="13">
        <f t="shared" si="19"/>
        <v>0</v>
      </c>
      <c r="S65" s="13">
        <f t="shared" si="19"/>
        <v>79</v>
      </c>
      <c r="T65" s="13">
        <f t="shared" si="19"/>
        <v>64</v>
      </c>
      <c r="U65" s="13">
        <f t="shared" si="19"/>
        <v>0</v>
      </c>
      <c r="V65" s="13">
        <f t="shared" si="21"/>
        <v>145</v>
      </c>
      <c r="W65" s="13" t="str">
        <f t="shared" si="5"/>
        <v>91</v>
      </c>
      <c r="X65" s="13">
        <f t="shared" ref="X65" si="25">SUM(R65:W65)</f>
        <v>288</v>
      </c>
      <c r="Y65" s="13" t="str">
        <f t="shared" si="3"/>
        <v>20</v>
      </c>
      <c r="Z65" s="119"/>
      <c r="AA65" s="119"/>
      <c r="AB65" s="119"/>
      <c r="AC65" s="119"/>
      <c r="AD65" s="119"/>
      <c r="AE65" s="119"/>
      <c r="AF65" s="119"/>
      <c r="AG65" s="119"/>
      <c r="AH65" s="119"/>
      <c r="AJ65" s="64" t="s">
        <v>1617</v>
      </c>
      <c r="AK65" s="64" t="s">
        <v>1550</v>
      </c>
    </row>
    <row r="66" spans="2:37" ht="16.5" customHeight="1">
      <c r="B66" s="12" t="s">
        <v>1620</v>
      </c>
      <c r="C66" s="12" t="str">
        <f t="shared" si="18"/>
        <v>FF02004FFFFF4F</v>
      </c>
      <c r="D66" s="60" t="s">
        <v>17</v>
      </c>
      <c r="E66" s="60" t="s">
        <v>16</v>
      </c>
      <c r="F66" s="60" t="s">
        <v>70</v>
      </c>
      <c r="G66" s="60" t="s">
        <v>9</v>
      </c>
      <c r="H66" s="60" t="s">
        <v>9</v>
      </c>
      <c r="I66" s="12" t="str">
        <f t="shared" si="6"/>
        <v>4F</v>
      </c>
      <c r="J66" s="12"/>
      <c r="K66" s="12"/>
      <c r="L66" s="12"/>
      <c r="M66" s="12"/>
      <c r="N66" s="12"/>
      <c r="O66" s="12"/>
      <c r="P66" s="12"/>
      <c r="Q66" s="13">
        <f t="shared" si="19"/>
        <v>2</v>
      </c>
      <c r="R66" s="13">
        <f t="shared" si="19"/>
        <v>0</v>
      </c>
      <c r="S66" s="13">
        <f t="shared" si="19"/>
        <v>79</v>
      </c>
      <c r="T66" s="13">
        <f t="shared" si="19"/>
        <v>255</v>
      </c>
      <c r="U66" s="13">
        <f t="shared" si="19"/>
        <v>255</v>
      </c>
      <c r="V66" s="13">
        <f t="shared" si="21"/>
        <v>591</v>
      </c>
      <c r="W66" s="13" t="str">
        <f t="shared" si="5"/>
        <v>4F</v>
      </c>
      <c r="X66" s="13">
        <f t="shared" si="8"/>
        <v>1180</v>
      </c>
      <c r="Y66" s="13" t="str">
        <f t="shared" si="3"/>
        <v>9C</v>
      </c>
      <c r="Z66" s="119"/>
      <c r="AA66" s="119"/>
      <c r="AB66" s="119"/>
      <c r="AC66" s="119"/>
      <c r="AD66" s="119"/>
      <c r="AE66" s="119"/>
      <c r="AF66" s="119"/>
      <c r="AG66" s="119"/>
      <c r="AH66" s="119"/>
      <c r="AJ66" s="64" t="s">
        <v>1619</v>
      </c>
      <c r="AK66" s="64" t="s">
        <v>1551</v>
      </c>
    </row>
    <row r="67" spans="2:37" ht="16.5" customHeight="1">
      <c r="B67" s="111" t="s">
        <v>1622</v>
      </c>
      <c r="C67" s="111" t="str">
        <f t="shared" si="18"/>
        <v>FF020055000057</v>
      </c>
      <c r="D67" s="60" t="s">
        <v>17</v>
      </c>
      <c r="E67" s="60" t="s">
        <v>16</v>
      </c>
      <c r="F67" s="60" t="s">
        <v>74</v>
      </c>
      <c r="G67" s="60" t="s">
        <v>16</v>
      </c>
      <c r="H67" s="60" t="s">
        <v>16</v>
      </c>
      <c r="I67" s="12" t="str">
        <f t="shared" si="6"/>
        <v>57</v>
      </c>
      <c r="J67" s="12"/>
      <c r="K67" s="12"/>
      <c r="L67" s="12"/>
      <c r="M67" s="12"/>
      <c r="N67" s="12"/>
      <c r="O67" s="12"/>
      <c r="P67" s="12"/>
      <c r="Q67" s="13">
        <f t="shared" si="19"/>
        <v>2</v>
      </c>
      <c r="R67" s="13">
        <f t="shared" si="19"/>
        <v>0</v>
      </c>
      <c r="S67" s="13">
        <f t="shared" si="19"/>
        <v>85</v>
      </c>
      <c r="T67" s="13">
        <f t="shared" si="19"/>
        <v>0</v>
      </c>
      <c r="U67" s="13">
        <f t="shared" si="19"/>
        <v>0</v>
      </c>
      <c r="V67" s="13">
        <f t="shared" si="21"/>
        <v>87</v>
      </c>
      <c r="W67" s="13" t="str">
        <f t="shared" si="5"/>
        <v>57</v>
      </c>
      <c r="X67" s="13">
        <f t="shared" si="8"/>
        <v>172</v>
      </c>
      <c r="Y67" s="13" t="str">
        <f>REPT("0",2-LEN(RIGHT(DEC2HEX(X67), 2)))&amp;RIGHT(DEC2HEX(X67), 2)</f>
        <v>AC</v>
      </c>
      <c r="Z67" s="119"/>
      <c r="AA67" s="119"/>
      <c r="AB67" s="119"/>
      <c r="AC67" s="119"/>
      <c r="AD67" s="119"/>
      <c r="AE67" s="119"/>
      <c r="AF67" s="119"/>
      <c r="AG67" s="119"/>
      <c r="AH67" s="119"/>
      <c r="AJ67" s="64" t="s">
        <v>1621</v>
      </c>
      <c r="AK67" s="64" t="s">
        <v>1552</v>
      </c>
    </row>
    <row r="68" spans="2:37" ht="16.5" customHeight="1">
      <c r="B68" s="12" t="s">
        <v>1624</v>
      </c>
      <c r="C68" s="12" t="str">
        <f t="shared" si="18"/>
        <v>FF02014F000052</v>
      </c>
      <c r="D68" s="60" t="s">
        <v>17</v>
      </c>
      <c r="E68" s="60" t="s">
        <v>24</v>
      </c>
      <c r="F68" s="60" t="s">
        <v>70</v>
      </c>
      <c r="G68" s="60" t="s">
        <v>16</v>
      </c>
      <c r="H68" s="60" t="s">
        <v>16</v>
      </c>
      <c r="I68" s="12" t="str">
        <f t="shared" si="6"/>
        <v>52</v>
      </c>
      <c r="J68" s="12"/>
      <c r="K68" s="12"/>
      <c r="L68" s="12"/>
      <c r="M68" s="12"/>
      <c r="N68" s="12"/>
      <c r="O68" s="12"/>
      <c r="P68" s="12"/>
      <c r="Q68" s="13">
        <f t="shared" si="19"/>
        <v>2</v>
      </c>
      <c r="R68" s="13">
        <f t="shared" si="19"/>
        <v>1</v>
      </c>
      <c r="S68" s="13">
        <f t="shared" si="19"/>
        <v>79</v>
      </c>
      <c r="T68" s="13">
        <f t="shared" si="19"/>
        <v>0</v>
      </c>
      <c r="U68" s="13">
        <f t="shared" si="19"/>
        <v>0</v>
      </c>
      <c r="V68" s="13">
        <f t="shared" si="21"/>
        <v>82</v>
      </c>
      <c r="W68" s="13" t="str">
        <f t="shared" si="5"/>
        <v>52</v>
      </c>
      <c r="X68" s="13">
        <f t="shared" si="8"/>
        <v>162</v>
      </c>
      <c r="Y68" s="13" t="str">
        <f t="shared" si="3"/>
        <v>A2</v>
      </c>
      <c r="Z68" s="119"/>
      <c r="AA68" s="119"/>
      <c r="AB68" s="119"/>
      <c r="AC68" s="119"/>
      <c r="AD68" s="119"/>
      <c r="AE68" s="119"/>
      <c r="AF68" s="119"/>
      <c r="AG68" s="119"/>
      <c r="AH68" s="119"/>
      <c r="AJ68" s="64" t="s">
        <v>1623</v>
      </c>
      <c r="AK68" s="64" t="s">
        <v>1553</v>
      </c>
    </row>
    <row r="69" spans="2:37" ht="32.25" customHeight="1">
      <c r="B69" s="12" t="s">
        <v>1626</v>
      </c>
      <c r="C69" s="12" t="str">
        <f t="shared" si="18"/>
        <v>FF02014F100062</v>
      </c>
      <c r="D69" s="60" t="s">
        <v>17</v>
      </c>
      <c r="E69" s="60" t="s">
        <v>24</v>
      </c>
      <c r="F69" s="60" t="s">
        <v>70</v>
      </c>
      <c r="G69" s="60" t="s">
        <v>109</v>
      </c>
      <c r="H69" s="60" t="s">
        <v>16</v>
      </c>
      <c r="I69" s="12" t="str">
        <f t="shared" si="6"/>
        <v>62</v>
      </c>
      <c r="J69" s="12"/>
      <c r="K69" s="12"/>
      <c r="L69" s="12"/>
      <c r="M69" s="12"/>
      <c r="N69" s="12"/>
      <c r="O69" s="12"/>
      <c r="P69" s="12"/>
      <c r="Q69" s="13">
        <f t="shared" si="19"/>
        <v>2</v>
      </c>
      <c r="R69" s="13">
        <f t="shared" si="19"/>
        <v>1</v>
      </c>
      <c r="S69" s="13">
        <f t="shared" si="19"/>
        <v>79</v>
      </c>
      <c r="T69" s="13">
        <f t="shared" si="19"/>
        <v>16</v>
      </c>
      <c r="U69" s="13">
        <f t="shared" si="19"/>
        <v>0</v>
      </c>
      <c r="V69" s="13">
        <f t="shared" si="21"/>
        <v>98</v>
      </c>
      <c r="W69" s="13" t="str">
        <f t="shared" si="5"/>
        <v>62</v>
      </c>
      <c r="X69" s="13">
        <f t="shared" si="8"/>
        <v>194</v>
      </c>
      <c r="Y69" s="13" t="str">
        <f t="shared" si="3"/>
        <v>C2</v>
      </c>
      <c r="Z69" s="119"/>
      <c r="AA69" s="119"/>
      <c r="AB69" s="119"/>
      <c r="AC69" s="119"/>
      <c r="AD69" s="119"/>
      <c r="AE69" s="119"/>
      <c r="AF69" s="119"/>
      <c r="AG69" s="119"/>
      <c r="AH69" s="119"/>
      <c r="AJ69" s="64" t="s">
        <v>1625</v>
      </c>
      <c r="AK69" s="64" t="s">
        <v>1554</v>
      </c>
    </row>
    <row r="70" spans="2:37" ht="30" customHeight="1">
      <c r="B70" s="12" t="s">
        <v>1628</v>
      </c>
      <c r="C70" s="12" t="str">
        <f t="shared" si="18"/>
        <v>FF02014F8000D2</v>
      </c>
      <c r="D70" s="60" t="s">
        <v>17</v>
      </c>
      <c r="E70" s="60" t="s">
        <v>24</v>
      </c>
      <c r="F70" s="60" t="s">
        <v>70</v>
      </c>
      <c r="G70" s="60" t="s">
        <v>43</v>
      </c>
      <c r="H70" s="60" t="s">
        <v>16</v>
      </c>
      <c r="I70" s="12" t="str">
        <f t="shared" si="6"/>
        <v>D2</v>
      </c>
      <c r="J70" s="12"/>
      <c r="K70" s="12"/>
      <c r="L70" s="12"/>
      <c r="M70" s="12"/>
      <c r="N70" s="12"/>
      <c r="O70" s="12"/>
      <c r="P70" s="12"/>
      <c r="Q70" s="13">
        <f t="shared" si="19"/>
        <v>2</v>
      </c>
      <c r="R70" s="13">
        <f t="shared" si="19"/>
        <v>1</v>
      </c>
      <c r="S70" s="13">
        <f t="shared" si="19"/>
        <v>79</v>
      </c>
      <c r="T70" s="13">
        <f t="shared" si="19"/>
        <v>128</v>
      </c>
      <c r="U70" s="13">
        <f t="shared" si="19"/>
        <v>0</v>
      </c>
      <c r="V70" s="13">
        <f t="shared" si="21"/>
        <v>210</v>
      </c>
      <c r="W70" s="13" t="str">
        <f t="shared" si="5"/>
        <v>D2</v>
      </c>
      <c r="X70" s="13">
        <f t="shared" ref="X70" si="26">SUM(R70:W70)</f>
        <v>418</v>
      </c>
      <c r="Y70" s="13" t="str">
        <f t="shared" si="3"/>
        <v>A2</v>
      </c>
      <c r="Z70" s="119"/>
      <c r="AA70" s="119"/>
      <c r="AB70" s="119"/>
      <c r="AC70" s="119"/>
      <c r="AD70" s="119"/>
      <c r="AE70" s="119"/>
      <c r="AF70" s="119"/>
      <c r="AG70" s="119"/>
      <c r="AH70" s="119"/>
      <c r="AJ70" s="64" t="s">
        <v>1627</v>
      </c>
      <c r="AK70" s="64" t="s">
        <v>1555</v>
      </c>
    </row>
    <row r="71" spans="2:37" ht="16.5" customHeight="1">
      <c r="B71" s="12" t="s">
        <v>1630</v>
      </c>
      <c r="C71" s="12" t="str">
        <f t="shared" si="18"/>
        <v>FF02014FFFFF50</v>
      </c>
      <c r="D71" s="60" t="s">
        <v>17</v>
      </c>
      <c r="E71" s="60" t="s">
        <v>24</v>
      </c>
      <c r="F71" s="60" t="s">
        <v>70</v>
      </c>
      <c r="G71" s="60" t="s">
        <v>9</v>
      </c>
      <c r="H71" s="60" t="s">
        <v>9</v>
      </c>
      <c r="I71" s="12" t="str">
        <f t="shared" si="6"/>
        <v>50</v>
      </c>
      <c r="J71" s="12"/>
      <c r="K71" s="12"/>
      <c r="L71" s="12"/>
      <c r="M71" s="12"/>
      <c r="N71" s="12"/>
      <c r="O71" s="12"/>
      <c r="P71" s="12"/>
      <c r="Q71" s="13">
        <f t="shared" si="19"/>
        <v>2</v>
      </c>
      <c r="R71" s="13">
        <f t="shared" si="19"/>
        <v>1</v>
      </c>
      <c r="S71" s="13">
        <f t="shared" si="19"/>
        <v>79</v>
      </c>
      <c r="T71" s="13">
        <f t="shared" si="19"/>
        <v>255</v>
      </c>
      <c r="U71" s="13">
        <f t="shared" si="19"/>
        <v>255</v>
      </c>
      <c r="V71" s="13">
        <f t="shared" si="21"/>
        <v>592</v>
      </c>
      <c r="W71" s="13" t="str">
        <f t="shared" si="5"/>
        <v>50</v>
      </c>
      <c r="X71" s="13">
        <f t="shared" si="8"/>
        <v>1182</v>
      </c>
      <c r="Y71" s="13" t="str">
        <f t="shared" si="3"/>
        <v>9E</v>
      </c>
      <c r="Z71" s="119"/>
      <c r="AA71" s="119"/>
      <c r="AB71" s="119"/>
      <c r="AC71" s="119"/>
      <c r="AD71" s="119"/>
      <c r="AE71" s="119"/>
      <c r="AF71" s="119"/>
      <c r="AG71" s="119"/>
      <c r="AH71" s="119"/>
      <c r="AJ71" s="64" t="s">
        <v>1629</v>
      </c>
      <c r="AK71" s="64" t="s">
        <v>1556</v>
      </c>
    </row>
    <row r="72" spans="2:37" ht="16.5" customHeight="1">
      <c r="B72" s="111" t="s">
        <v>1632</v>
      </c>
      <c r="C72" s="111" t="str">
        <f t="shared" si="18"/>
        <v>FF020155000058</v>
      </c>
      <c r="D72" s="60" t="s">
        <v>17</v>
      </c>
      <c r="E72" s="60" t="s">
        <v>24</v>
      </c>
      <c r="F72" s="60" t="s">
        <v>74</v>
      </c>
      <c r="G72" s="60" t="s">
        <v>16</v>
      </c>
      <c r="H72" s="60" t="s">
        <v>16</v>
      </c>
      <c r="I72" s="12" t="str">
        <f t="shared" si="6"/>
        <v>58</v>
      </c>
      <c r="J72" s="12"/>
      <c r="K72" s="12"/>
      <c r="L72" s="12"/>
      <c r="M72" s="12"/>
      <c r="N72" s="12"/>
      <c r="O72" s="12"/>
      <c r="P72" s="12"/>
      <c r="Q72" s="13">
        <f t="shared" si="19"/>
        <v>2</v>
      </c>
      <c r="R72" s="13">
        <f t="shared" si="19"/>
        <v>1</v>
      </c>
      <c r="S72" s="13">
        <f t="shared" si="19"/>
        <v>85</v>
      </c>
      <c r="T72" s="13">
        <f t="shared" si="19"/>
        <v>0</v>
      </c>
      <c r="U72" s="13">
        <f t="shared" si="19"/>
        <v>0</v>
      </c>
      <c r="V72" s="13">
        <f t="shared" si="21"/>
        <v>88</v>
      </c>
      <c r="W72" s="13" t="str">
        <f t="shared" si="5"/>
        <v>58</v>
      </c>
      <c r="X72" s="13">
        <f t="shared" si="8"/>
        <v>174</v>
      </c>
      <c r="Y72" s="13" t="str">
        <f t="shared" si="3"/>
        <v>AE</v>
      </c>
      <c r="Z72" s="119"/>
      <c r="AA72" s="119"/>
      <c r="AB72" s="119"/>
      <c r="AC72" s="119"/>
      <c r="AD72" s="119"/>
      <c r="AE72" s="119"/>
      <c r="AF72" s="119"/>
      <c r="AG72" s="119"/>
      <c r="AH72" s="119"/>
      <c r="AJ72" s="64" t="s">
        <v>1631</v>
      </c>
      <c r="AK72" s="64" t="s">
        <v>1557</v>
      </c>
    </row>
    <row r="73" spans="2:37" ht="16.5" customHeight="1">
      <c r="B73" s="12" t="s">
        <v>1634</v>
      </c>
      <c r="C73" s="12" t="str">
        <f t="shared" si="18"/>
        <v>FF02002B00002D</v>
      </c>
      <c r="D73" s="60" t="s">
        <v>17</v>
      </c>
      <c r="E73" s="60" t="s">
        <v>16</v>
      </c>
      <c r="F73" s="60" t="s">
        <v>104</v>
      </c>
      <c r="G73" s="60" t="s">
        <v>16</v>
      </c>
      <c r="H73" s="60" t="s">
        <v>16</v>
      </c>
      <c r="I73" s="12" t="str">
        <f t="shared" ref="I73:I76" si="27">W73</f>
        <v>2D</v>
      </c>
      <c r="J73" s="12"/>
      <c r="K73" s="12"/>
      <c r="L73" s="12"/>
      <c r="M73" s="12"/>
      <c r="N73" s="12"/>
      <c r="O73" s="12"/>
      <c r="P73" s="12"/>
      <c r="Q73" s="13">
        <f t="shared" si="19"/>
        <v>2</v>
      </c>
      <c r="R73" s="13">
        <f t="shared" si="19"/>
        <v>0</v>
      </c>
      <c r="S73" s="13">
        <f t="shared" si="19"/>
        <v>43</v>
      </c>
      <c r="T73" s="13">
        <f t="shared" si="19"/>
        <v>0</v>
      </c>
      <c r="U73" s="13">
        <f t="shared" si="19"/>
        <v>0</v>
      </c>
      <c r="V73" s="13">
        <f t="shared" si="21"/>
        <v>45</v>
      </c>
      <c r="W73" s="13" t="str">
        <f t="shared" si="5"/>
        <v>2D</v>
      </c>
      <c r="X73" s="13">
        <f t="shared" ref="X73:X76" si="28">SUM(R73:W73)</f>
        <v>88</v>
      </c>
      <c r="Y73" s="13" t="str">
        <f t="shared" si="3"/>
        <v>58</v>
      </c>
      <c r="Z73" s="119"/>
      <c r="AA73" s="119"/>
      <c r="AB73" s="119"/>
      <c r="AC73" s="119"/>
      <c r="AD73" s="119"/>
      <c r="AE73" s="119"/>
      <c r="AF73" s="119"/>
      <c r="AG73" s="119"/>
      <c r="AH73" s="119"/>
      <c r="AJ73" s="64" t="s">
        <v>1633</v>
      </c>
      <c r="AK73" s="64" t="s">
        <v>1558</v>
      </c>
    </row>
    <row r="74" spans="2:37" ht="16.5" customHeight="1">
      <c r="B74" s="12" t="s">
        <v>1636</v>
      </c>
      <c r="C74" s="12" t="str">
        <f t="shared" si="18"/>
        <v>FF02002B00012E</v>
      </c>
      <c r="D74" s="60" t="s">
        <v>17</v>
      </c>
      <c r="E74" s="60" t="s">
        <v>16</v>
      </c>
      <c r="F74" s="60" t="s">
        <v>104</v>
      </c>
      <c r="G74" s="60" t="s">
        <v>16</v>
      </c>
      <c r="H74" s="60" t="s">
        <v>24</v>
      </c>
      <c r="I74" s="12" t="str">
        <f t="shared" si="27"/>
        <v>2E</v>
      </c>
      <c r="J74" s="12"/>
      <c r="K74" s="12"/>
      <c r="L74" s="12"/>
      <c r="M74" s="12"/>
      <c r="N74" s="12"/>
      <c r="O74" s="12"/>
      <c r="P74" s="12"/>
      <c r="Q74" s="13">
        <f t="shared" si="19"/>
        <v>2</v>
      </c>
      <c r="R74" s="13">
        <f t="shared" si="19"/>
        <v>0</v>
      </c>
      <c r="S74" s="13">
        <f t="shared" si="19"/>
        <v>43</v>
      </c>
      <c r="T74" s="13">
        <f t="shared" si="19"/>
        <v>0</v>
      </c>
      <c r="U74" s="13">
        <f t="shared" si="19"/>
        <v>1</v>
      </c>
      <c r="V74" s="13">
        <f t="shared" si="21"/>
        <v>46</v>
      </c>
      <c r="W74" s="13" t="str">
        <f t="shared" si="5"/>
        <v>2E</v>
      </c>
      <c r="X74" s="13">
        <f t="shared" si="28"/>
        <v>90</v>
      </c>
      <c r="Y74" s="13" t="str">
        <f t="shared" si="3"/>
        <v>5A</v>
      </c>
      <c r="Z74" s="119"/>
      <c r="AA74" s="119"/>
      <c r="AB74" s="119"/>
      <c r="AC74" s="119"/>
      <c r="AD74" s="119"/>
      <c r="AE74" s="119"/>
      <c r="AF74" s="119"/>
      <c r="AG74" s="119"/>
      <c r="AH74" s="119"/>
      <c r="AJ74" s="64" t="s">
        <v>1635</v>
      </c>
      <c r="AK74" s="64" t="s">
        <v>1559</v>
      </c>
    </row>
    <row r="75" spans="2:37" ht="16.5" customHeight="1">
      <c r="B75" s="43" t="s">
        <v>1638</v>
      </c>
      <c r="C75" s="12" t="str">
        <f t="shared" si="18"/>
        <v>FF02000F000011</v>
      </c>
      <c r="D75" s="60" t="s">
        <v>17</v>
      </c>
      <c r="E75" s="60" t="s">
        <v>16</v>
      </c>
      <c r="F75" s="60" t="s">
        <v>78</v>
      </c>
      <c r="G75" s="60" t="s">
        <v>16</v>
      </c>
      <c r="H75" s="60" t="s">
        <v>16</v>
      </c>
      <c r="I75" s="12" t="str">
        <f t="shared" si="27"/>
        <v>11</v>
      </c>
      <c r="J75" s="12"/>
      <c r="K75" s="12"/>
      <c r="L75" s="12"/>
      <c r="M75" s="12"/>
      <c r="N75" s="12"/>
      <c r="O75" s="12"/>
      <c r="P75" s="12"/>
      <c r="Q75" s="13">
        <f t="shared" si="19"/>
        <v>2</v>
      </c>
      <c r="R75" s="13">
        <f t="shared" si="19"/>
        <v>0</v>
      </c>
      <c r="S75" s="13">
        <f t="shared" si="19"/>
        <v>15</v>
      </c>
      <c r="T75" s="13">
        <f t="shared" si="19"/>
        <v>0</v>
      </c>
      <c r="U75" s="13">
        <f t="shared" si="19"/>
        <v>0</v>
      </c>
      <c r="V75" s="13">
        <f t="shared" si="21"/>
        <v>17</v>
      </c>
      <c r="W75" s="13" t="str">
        <f t="shared" si="5"/>
        <v>11</v>
      </c>
      <c r="X75" s="13">
        <f t="shared" si="28"/>
        <v>32</v>
      </c>
      <c r="Y75" s="13" t="str">
        <f t="shared" si="3"/>
        <v>20</v>
      </c>
      <c r="Z75" s="119"/>
      <c r="AA75" s="119"/>
      <c r="AB75" s="119"/>
      <c r="AC75" s="119"/>
      <c r="AD75" s="119"/>
      <c r="AE75" s="119"/>
      <c r="AF75" s="119"/>
      <c r="AG75" s="119"/>
      <c r="AH75" s="119"/>
      <c r="AJ75" s="64" t="s">
        <v>1637</v>
      </c>
      <c r="AK75" s="64" t="s">
        <v>1560</v>
      </c>
    </row>
    <row r="76" spans="2:37" ht="16.5" customHeight="1">
      <c r="B76" s="12" t="s">
        <v>1640</v>
      </c>
      <c r="C76" s="12" t="str">
        <f t="shared" si="18"/>
        <v>FF02002900002B</v>
      </c>
      <c r="D76" s="60" t="s">
        <v>17</v>
      </c>
      <c r="E76" s="60" t="s">
        <v>16</v>
      </c>
      <c r="F76" s="60" t="s">
        <v>79</v>
      </c>
      <c r="G76" s="60" t="s">
        <v>16</v>
      </c>
      <c r="H76" s="60" t="s">
        <v>16</v>
      </c>
      <c r="I76" s="12" t="str">
        <f t="shared" si="27"/>
        <v>2B</v>
      </c>
      <c r="J76" s="12"/>
      <c r="K76" s="12"/>
      <c r="L76" s="12"/>
      <c r="M76" s="12"/>
      <c r="N76" s="12"/>
      <c r="O76" s="12"/>
      <c r="P76" s="12"/>
      <c r="Q76" s="13">
        <f t="shared" si="19"/>
        <v>2</v>
      </c>
      <c r="R76" s="13">
        <f t="shared" si="19"/>
        <v>0</v>
      </c>
      <c r="S76" s="13">
        <f t="shared" si="19"/>
        <v>41</v>
      </c>
      <c r="T76" s="13">
        <f t="shared" si="19"/>
        <v>0</v>
      </c>
      <c r="U76" s="13">
        <f t="shared" si="19"/>
        <v>0</v>
      </c>
      <c r="V76" s="13">
        <f t="shared" si="21"/>
        <v>43</v>
      </c>
      <c r="W76" s="13" t="str">
        <f t="shared" si="5"/>
        <v>2B</v>
      </c>
      <c r="X76" s="13">
        <f t="shared" si="28"/>
        <v>84</v>
      </c>
      <c r="Y76" s="13" t="str">
        <f t="shared" si="3"/>
        <v>54</v>
      </c>
      <c r="Z76" s="119"/>
      <c r="AA76" s="119"/>
      <c r="AB76" s="119"/>
      <c r="AC76" s="119"/>
      <c r="AD76" s="119"/>
      <c r="AE76" s="119"/>
      <c r="AF76" s="119"/>
      <c r="AG76" s="119"/>
      <c r="AH76" s="119"/>
      <c r="AJ76" s="64" t="s">
        <v>1639</v>
      </c>
      <c r="AK76" s="64" t="s">
        <v>1561</v>
      </c>
    </row>
    <row r="77" spans="2:37" s="115" customFormat="1" ht="16.5" customHeight="1">
      <c r="B77" s="112" t="s">
        <v>1642</v>
      </c>
      <c r="C77" s="112" t="s">
        <v>1614</v>
      </c>
      <c r="D77" s="113"/>
      <c r="E77" s="113"/>
      <c r="F77" s="113"/>
      <c r="G77" s="113"/>
      <c r="H77" s="113"/>
      <c r="I77" s="112"/>
      <c r="J77" s="112"/>
      <c r="K77" s="112"/>
      <c r="L77" s="112"/>
      <c r="M77" s="112"/>
      <c r="N77" s="112"/>
      <c r="O77" s="112"/>
      <c r="P77" s="112"/>
      <c r="Q77" s="114"/>
      <c r="R77" s="114"/>
      <c r="S77" s="114"/>
      <c r="T77" s="114"/>
      <c r="U77" s="114"/>
      <c r="V77" s="114"/>
      <c r="W77" s="114"/>
      <c r="X77" s="114"/>
      <c r="Y77" s="114"/>
      <c r="Z77" s="118"/>
      <c r="AA77" s="118"/>
      <c r="AB77" s="118"/>
      <c r="AC77" s="118"/>
      <c r="AD77" s="118"/>
      <c r="AE77" s="118"/>
      <c r="AF77" s="118"/>
      <c r="AG77" s="118"/>
      <c r="AH77" s="118"/>
      <c r="AJ77" s="116" t="s">
        <v>1641</v>
      </c>
      <c r="AK77" s="116" t="s">
        <v>1613</v>
      </c>
    </row>
    <row r="78" spans="2:37" s="2" customFormat="1" ht="16.5" customHeight="1">
      <c r="B78" s="12" t="s">
        <v>1665</v>
      </c>
      <c r="C78" s="12" t="str">
        <f t="shared" ref="C78:C141" si="29">"FF"&amp;D78&amp;E78&amp;""&amp;F78&amp;G78&amp;H78&amp;I78</f>
        <v>FF030000000003</v>
      </c>
      <c r="D78" s="60" t="s">
        <v>91</v>
      </c>
      <c r="E78" s="60" t="s">
        <v>16</v>
      </c>
      <c r="F78" s="60" t="s">
        <v>16</v>
      </c>
      <c r="G78" s="60" t="s">
        <v>16</v>
      </c>
      <c r="H78" s="60" t="s">
        <v>16</v>
      </c>
      <c r="I78" s="12" t="str">
        <f>W78</f>
        <v>03</v>
      </c>
      <c r="J78" s="12"/>
      <c r="K78" s="12"/>
      <c r="L78" s="12"/>
      <c r="M78" s="12"/>
      <c r="N78" s="12"/>
      <c r="O78" s="12"/>
      <c r="P78" s="12"/>
      <c r="Q78" s="13">
        <f t="shared" ref="Q78:U129" si="30">HEX2DEC(D78)</f>
        <v>3</v>
      </c>
      <c r="R78" s="13">
        <f t="shared" si="30"/>
        <v>0</v>
      </c>
      <c r="S78" s="13">
        <f t="shared" si="30"/>
        <v>0</v>
      </c>
      <c r="T78" s="13">
        <f t="shared" si="30"/>
        <v>0</v>
      </c>
      <c r="U78" s="13">
        <f t="shared" ref="U78:V78" si="31">SUM(Q78:T78)</f>
        <v>3</v>
      </c>
      <c r="V78" s="13">
        <f t="shared" si="31"/>
        <v>3</v>
      </c>
      <c r="W78" s="13" t="str">
        <f>REPT("0",2-LEN(RIGHT(DEC2HEX(U78), 2)))&amp;RIGHT(DEC2HEX(U78), 2)</f>
        <v>03</v>
      </c>
      <c r="X78" s="13">
        <f>SUM(R78:W78)</f>
        <v>6</v>
      </c>
      <c r="Y78" s="13" t="str">
        <f>REPT("0",2-LEN(RIGHT(DEC2HEX(X78), 2)))&amp;RIGHT(DEC2HEX(X78), 2)</f>
        <v>06</v>
      </c>
      <c r="Z78" s="119"/>
      <c r="AA78" s="119"/>
      <c r="AB78" s="119"/>
      <c r="AC78" s="119"/>
      <c r="AD78" s="119"/>
      <c r="AE78" s="119"/>
      <c r="AF78" s="119"/>
      <c r="AG78" s="119"/>
      <c r="AH78" s="119"/>
      <c r="AJ78" s="64" t="s">
        <v>1664</v>
      </c>
      <c r="AK78" s="64" t="s">
        <v>1573</v>
      </c>
    </row>
    <row r="79" spans="2:37" ht="16.5" customHeight="1">
      <c r="B79" s="12" t="s">
        <v>1645</v>
      </c>
      <c r="C79" s="12" t="str">
        <f t="shared" si="29"/>
        <v>FF030020000023</v>
      </c>
      <c r="D79" s="60" t="s">
        <v>91</v>
      </c>
      <c r="E79" s="60" t="s">
        <v>16</v>
      </c>
      <c r="F79" s="60">
        <v>20</v>
      </c>
      <c r="G79" s="60" t="s">
        <v>16</v>
      </c>
      <c r="H79" s="60" t="s">
        <v>16</v>
      </c>
      <c r="I79" s="12" t="str">
        <f t="shared" ref="I79:I142" si="32">W79</f>
        <v>23</v>
      </c>
      <c r="J79" s="12"/>
      <c r="K79" s="12"/>
      <c r="L79" s="12"/>
      <c r="M79" s="12"/>
      <c r="N79" s="12"/>
      <c r="O79" s="12"/>
      <c r="P79" s="12"/>
      <c r="Q79" s="13">
        <f t="shared" si="30"/>
        <v>3</v>
      </c>
      <c r="R79" s="13">
        <f t="shared" si="30"/>
        <v>0</v>
      </c>
      <c r="S79" s="13">
        <f t="shared" si="30"/>
        <v>32</v>
      </c>
      <c r="T79" s="13">
        <f t="shared" si="30"/>
        <v>0</v>
      </c>
      <c r="U79" s="13">
        <f t="shared" si="30"/>
        <v>0</v>
      </c>
      <c r="V79" s="13">
        <f t="shared" ref="V79:V124" si="33">SUM(Q79:U79)</f>
        <v>35</v>
      </c>
      <c r="W79" s="13" t="str">
        <f t="shared" ref="W79:W142" si="34">REPT("0",2-LEN(RIGHT(DEC2HEX(V79), 2)))&amp;RIGHT(DEC2HEX(V79), 2)</f>
        <v>23</v>
      </c>
      <c r="X79" s="13">
        <f t="shared" ref="X79:X142" si="35">SUM(R79:W79)</f>
        <v>67</v>
      </c>
      <c r="Y79" s="13" t="str">
        <f t="shared" ref="Y79:Y87" si="36">REPT("0",2-LEN(RIGHT(DEC2HEX(X79), 2)))&amp;RIGHT(DEC2HEX(X79), 2)</f>
        <v>43</v>
      </c>
      <c r="Z79" s="119"/>
      <c r="AA79" s="119"/>
      <c r="AB79" s="119"/>
      <c r="AC79" s="119"/>
      <c r="AD79" s="119"/>
      <c r="AE79" s="119"/>
      <c r="AF79" s="119"/>
      <c r="AG79" s="119"/>
      <c r="AH79" s="119"/>
      <c r="AJ79" s="64" t="s">
        <v>1645</v>
      </c>
      <c r="AK79" s="64" t="s">
        <v>2147</v>
      </c>
    </row>
    <row r="80" spans="2:37" ht="16.5" customHeight="1">
      <c r="B80" s="12" t="s">
        <v>1646</v>
      </c>
      <c r="C80" s="12" t="str">
        <f t="shared" si="29"/>
        <v>FF030040000043</v>
      </c>
      <c r="D80" s="60" t="s">
        <v>91</v>
      </c>
      <c r="E80" s="60" t="s">
        <v>16</v>
      </c>
      <c r="F80" s="60" t="s">
        <v>1503</v>
      </c>
      <c r="G80" s="60" t="s">
        <v>16</v>
      </c>
      <c r="H80" s="60" t="s">
        <v>16</v>
      </c>
      <c r="I80" s="12" t="str">
        <f t="shared" si="32"/>
        <v>43</v>
      </c>
      <c r="J80" s="12"/>
      <c r="K80" s="12"/>
      <c r="L80" s="12"/>
      <c r="M80" s="12"/>
      <c r="N80" s="12"/>
      <c r="O80" s="12"/>
      <c r="P80" s="12"/>
      <c r="Q80" s="13">
        <f t="shared" si="30"/>
        <v>3</v>
      </c>
      <c r="R80" s="13">
        <f t="shared" si="30"/>
        <v>0</v>
      </c>
      <c r="S80" s="13">
        <f t="shared" si="30"/>
        <v>64</v>
      </c>
      <c r="T80" s="13">
        <f t="shared" si="30"/>
        <v>0</v>
      </c>
      <c r="U80" s="13">
        <f t="shared" si="30"/>
        <v>0</v>
      </c>
      <c r="V80" s="13">
        <f t="shared" si="33"/>
        <v>67</v>
      </c>
      <c r="W80" s="13" t="str">
        <f t="shared" si="34"/>
        <v>43</v>
      </c>
      <c r="X80" s="13">
        <f t="shared" si="35"/>
        <v>131</v>
      </c>
      <c r="Y80" s="13" t="str">
        <f t="shared" si="36"/>
        <v>83</v>
      </c>
      <c r="Z80" s="119"/>
      <c r="AA80" s="119"/>
      <c r="AB80" s="119"/>
      <c r="AC80" s="119"/>
      <c r="AD80" s="119"/>
      <c r="AE80" s="119"/>
      <c r="AF80" s="119"/>
      <c r="AG80" s="119"/>
      <c r="AH80" s="119"/>
      <c r="AJ80" s="64" t="s">
        <v>1646</v>
      </c>
      <c r="AK80" s="64" t="s">
        <v>1666</v>
      </c>
    </row>
    <row r="81" spans="2:37" ht="16.5" customHeight="1">
      <c r="B81" s="12" t="s">
        <v>1647</v>
      </c>
      <c r="C81" s="12" t="str">
        <f t="shared" si="29"/>
        <v>FF030080000083</v>
      </c>
      <c r="D81" s="60" t="s">
        <v>91</v>
      </c>
      <c r="E81" s="60" t="s">
        <v>16</v>
      </c>
      <c r="F81" s="60" t="s">
        <v>43</v>
      </c>
      <c r="G81" s="60" t="s">
        <v>16</v>
      </c>
      <c r="H81" s="60" t="s">
        <v>16</v>
      </c>
      <c r="I81" s="12" t="str">
        <f t="shared" si="32"/>
        <v>83</v>
      </c>
      <c r="J81" s="12"/>
      <c r="K81" s="12"/>
      <c r="L81" s="12"/>
      <c r="M81" s="12"/>
      <c r="N81" s="12"/>
      <c r="O81" s="12"/>
      <c r="P81" s="12"/>
      <c r="Q81" s="13">
        <f t="shared" si="30"/>
        <v>3</v>
      </c>
      <c r="R81" s="13">
        <f t="shared" si="30"/>
        <v>0</v>
      </c>
      <c r="S81" s="13">
        <f t="shared" si="30"/>
        <v>128</v>
      </c>
      <c r="T81" s="13">
        <f t="shared" si="30"/>
        <v>0</v>
      </c>
      <c r="U81" s="13">
        <f t="shared" si="30"/>
        <v>0</v>
      </c>
      <c r="V81" s="13">
        <f t="shared" si="33"/>
        <v>131</v>
      </c>
      <c r="W81" s="13" t="str">
        <f t="shared" si="34"/>
        <v>83</v>
      </c>
      <c r="X81" s="13">
        <f t="shared" si="35"/>
        <v>259</v>
      </c>
      <c r="Y81" s="13" t="str">
        <f t="shared" si="36"/>
        <v>03</v>
      </c>
      <c r="Z81" s="119"/>
      <c r="AA81" s="119"/>
      <c r="AB81" s="119"/>
      <c r="AC81" s="119"/>
      <c r="AD81" s="119"/>
      <c r="AE81" s="119"/>
      <c r="AF81" s="119"/>
      <c r="AG81" s="119"/>
      <c r="AH81" s="119"/>
      <c r="AJ81" s="64" t="s">
        <v>1647</v>
      </c>
      <c r="AK81" s="64" t="s">
        <v>1667</v>
      </c>
    </row>
    <row r="82" spans="2:37" ht="16.5" customHeight="1">
      <c r="B82" s="12" t="s">
        <v>1648</v>
      </c>
      <c r="C82" s="12" t="str">
        <f t="shared" si="29"/>
        <v>FF030100000004</v>
      </c>
      <c r="D82" s="60" t="s">
        <v>91</v>
      </c>
      <c r="E82" s="60" t="s">
        <v>24</v>
      </c>
      <c r="F82" s="60" t="s">
        <v>16</v>
      </c>
      <c r="G82" s="60" t="s">
        <v>16</v>
      </c>
      <c r="H82" s="60" t="s">
        <v>16</v>
      </c>
      <c r="I82" s="12" t="str">
        <f t="shared" si="32"/>
        <v>04</v>
      </c>
      <c r="J82" s="12"/>
      <c r="K82" s="12"/>
      <c r="L82" s="12"/>
      <c r="M82" s="12"/>
      <c r="N82" s="12"/>
      <c r="O82" s="12"/>
      <c r="P82" s="12"/>
      <c r="Q82" s="13">
        <f t="shared" si="30"/>
        <v>3</v>
      </c>
      <c r="R82" s="13">
        <f t="shared" si="30"/>
        <v>1</v>
      </c>
      <c r="S82" s="13">
        <f t="shared" si="30"/>
        <v>0</v>
      </c>
      <c r="T82" s="13">
        <f t="shared" si="30"/>
        <v>0</v>
      </c>
      <c r="U82" s="13">
        <f t="shared" si="30"/>
        <v>0</v>
      </c>
      <c r="V82" s="13">
        <f t="shared" si="33"/>
        <v>4</v>
      </c>
      <c r="W82" s="13" t="str">
        <f t="shared" si="34"/>
        <v>04</v>
      </c>
      <c r="X82" s="13">
        <f t="shared" si="35"/>
        <v>5</v>
      </c>
      <c r="Y82" s="13" t="str">
        <f t="shared" si="36"/>
        <v>05</v>
      </c>
      <c r="Z82" s="119"/>
      <c r="AA82" s="119"/>
      <c r="AB82" s="119"/>
      <c r="AC82" s="119"/>
      <c r="AD82" s="119"/>
      <c r="AE82" s="119"/>
      <c r="AF82" s="119"/>
      <c r="AG82" s="119"/>
      <c r="AH82" s="119"/>
      <c r="AJ82" s="64" t="s">
        <v>1648</v>
      </c>
      <c r="AK82" s="64" t="s">
        <v>1668</v>
      </c>
    </row>
    <row r="83" spans="2:37" ht="16.5" customHeight="1">
      <c r="B83" s="12" t="s">
        <v>1649</v>
      </c>
      <c r="C83" s="12" t="str">
        <f t="shared" si="29"/>
        <v>FF03002500042C</v>
      </c>
      <c r="D83" s="60" t="s">
        <v>91</v>
      </c>
      <c r="E83" s="60" t="s">
        <v>16</v>
      </c>
      <c r="F83" s="60" t="s">
        <v>51</v>
      </c>
      <c r="G83" s="60" t="s">
        <v>16</v>
      </c>
      <c r="H83" s="60" t="s">
        <v>67</v>
      </c>
      <c r="I83" s="12" t="str">
        <f t="shared" si="32"/>
        <v>2C</v>
      </c>
      <c r="J83" s="12"/>
      <c r="K83" s="12"/>
      <c r="L83" s="12"/>
      <c r="M83" s="12"/>
      <c r="N83" s="12"/>
      <c r="O83" s="12"/>
      <c r="P83" s="12"/>
      <c r="Q83" s="13">
        <f t="shared" si="30"/>
        <v>3</v>
      </c>
      <c r="R83" s="13">
        <f t="shared" si="30"/>
        <v>0</v>
      </c>
      <c r="S83" s="13">
        <f t="shared" si="30"/>
        <v>37</v>
      </c>
      <c r="T83" s="13">
        <f t="shared" si="30"/>
        <v>0</v>
      </c>
      <c r="U83" s="13">
        <f t="shared" si="30"/>
        <v>4</v>
      </c>
      <c r="V83" s="13">
        <f t="shared" si="33"/>
        <v>44</v>
      </c>
      <c r="W83" s="13" t="str">
        <f t="shared" si="34"/>
        <v>2C</v>
      </c>
      <c r="X83" s="13">
        <f t="shared" si="35"/>
        <v>85</v>
      </c>
      <c r="Y83" s="13" t="str">
        <f t="shared" si="36"/>
        <v>55</v>
      </c>
      <c r="Z83" s="119"/>
      <c r="AA83" s="119"/>
      <c r="AB83" s="119"/>
      <c r="AC83" s="119"/>
      <c r="AD83" s="119"/>
      <c r="AE83" s="119"/>
      <c r="AF83" s="119"/>
      <c r="AG83" s="119"/>
      <c r="AH83" s="119"/>
      <c r="AJ83" s="64" t="s">
        <v>1649</v>
      </c>
      <c r="AK83" s="64" t="s">
        <v>1669</v>
      </c>
    </row>
    <row r="84" spans="2:37" ht="16.5" customHeight="1">
      <c r="B84" s="12" t="s">
        <v>1650</v>
      </c>
      <c r="C84" s="12" t="str">
        <f t="shared" si="29"/>
        <v>FF03002700042E</v>
      </c>
      <c r="D84" s="60" t="s">
        <v>91</v>
      </c>
      <c r="E84" s="60" t="s">
        <v>16</v>
      </c>
      <c r="F84" s="60" t="s">
        <v>60</v>
      </c>
      <c r="G84" s="60" t="s">
        <v>16</v>
      </c>
      <c r="H84" s="60" t="s">
        <v>67</v>
      </c>
      <c r="I84" s="12" t="str">
        <f t="shared" si="32"/>
        <v>2E</v>
      </c>
      <c r="J84" s="12"/>
      <c r="K84" s="12"/>
      <c r="L84" s="12"/>
      <c r="M84" s="12"/>
      <c r="N84" s="12"/>
      <c r="O84" s="12"/>
      <c r="P84" s="12"/>
      <c r="Q84" s="13">
        <f t="shared" si="30"/>
        <v>3</v>
      </c>
      <c r="R84" s="13">
        <f t="shared" si="30"/>
        <v>0</v>
      </c>
      <c r="S84" s="13">
        <f t="shared" si="30"/>
        <v>39</v>
      </c>
      <c r="T84" s="13">
        <f t="shared" si="30"/>
        <v>0</v>
      </c>
      <c r="U84" s="13">
        <f t="shared" si="30"/>
        <v>4</v>
      </c>
      <c r="V84" s="13">
        <f t="shared" si="33"/>
        <v>46</v>
      </c>
      <c r="W84" s="13" t="str">
        <f t="shared" si="34"/>
        <v>2E</v>
      </c>
      <c r="X84" s="13">
        <f t="shared" si="35"/>
        <v>89</v>
      </c>
      <c r="Y84" s="13" t="str">
        <f t="shared" si="36"/>
        <v>59</v>
      </c>
      <c r="Z84" s="119"/>
      <c r="AA84" s="119"/>
      <c r="AB84" s="119"/>
      <c r="AC84" s="119"/>
      <c r="AD84" s="119"/>
      <c r="AE84" s="119"/>
      <c r="AF84" s="119"/>
      <c r="AG84" s="119"/>
      <c r="AH84" s="119"/>
      <c r="AJ84" s="64" t="s">
        <v>1650</v>
      </c>
      <c r="AK84" s="64" t="s">
        <v>1670</v>
      </c>
    </row>
    <row r="85" spans="2:37" ht="16.5" customHeight="1">
      <c r="B85" s="12" t="s">
        <v>1651</v>
      </c>
      <c r="C85" s="12" t="str">
        <f t="shared" si="29"/>
        <v>FF03004F000052</v>
      </c>
      <c r="D85" s="60" t="s">
        <v>91</v>
      </c>
      <c r="E85" s="60" t="s">
        <v>16</v>
      </c>
      <c r="F85" s="60" t="s">
        <v>70</v>
      </c>
      <c r="G85" s="60" t="s">
        <v>16</v>
      </c>
      <c r="H85" s="60" t="s">
        <v>16</v>
      </c>
      <c r="I85" s="12" t="str">
        <f t="shared" si="32"/>
        <v>52</v>
      </c>
      <c r="J85" s="12"/>
      <c r="K85" s="12"/>
      <c r="L85" s="12"/>
      <c r="M85" s="12"/>
      <c r="N85" s="12"/>
      <c r="O85" s="12"/>
      <c r="P85" s="12"/>
      <c r="Q85" s="13">
        <f t="shared" si="30"/>
        <v>3</v>
      </c>
      <c r="R85" s="13">
        <f t="shared" si="30"/>
        <v>0</v>
      </c>
      <c r="S85" s="13">
        <f t="shared" si="30"/>
        <v>79</v>
      </c>
      <c r="T85" s="13">
        <f t="shared" si="30"/>
        <v>0</v>
      </c>
      <c r="U85" s="13">
        <f t="shared" si="30"/>
        <v>0</v>
      </c>
      <c r="V85" s="13">
        <f t="shared" si="33"/>
        <v>82</v>
      </c>
      <c r="W85" s="13" t="str">
        <f t="shared" si="34"/>
        <v>52</v>
      </c>
      <c r="X85" s="13">
        <f t="shared" si="35"/>
        <v>161</v>
      </c>
      <c r="Y85" s="13" t="str">
        <f t="shared" si="36"/>
        <v>A1</v>
      </c>
      <c r="Z85" s="119"/>
      <c r="AA85" s="119"/>
      <c r="AB85" s="119"/>
      <c r="AC85" s="119"/>
      <c r="AD85" s="119"/>
      <c r="AE85" s="119"/>
      <c r="AF85" s="119"/>
      <c r="AG85" s="119"/>
      <c r="AH85" s="119"/>
      <c r="AJ85" s="64" t="s">
        <v>1651</v>
      </c>
      <c r="AK85" s="64" t="s">
        <v>1671</v>
      </c>
    </row>
    <row r="86" spans="2:37" ht="28.5" customHeight="1">
      <c r="B86" s="12" t="s">
        <v>1652</v>
      </c>
      <c r="C86" s="12" t="str">
        <f t="shared" si="29"/>
        <v>FF03004F400092</v>
      </c>
      <c r="D86" s="60" t="s">
        <v>91</v>
      </c>
      <c r="E86" s="60" t="s">
        <v>16</v>
      </c>
      <c r="F86" s="60" t="s">
        <v>70</v>
      </c>
      <c r="G86" s="60" t="s">
        <v>1503</v>
      </c>
      <c r="H86" s="60" t="s">
        <v>16</v>
      </c>
      <c r="I86" s="12" t="str">
        <f t="shared" si="32"/>
        <v>92</v>
      </c>
      <c r="J86" s="12"/>
      <c r="K86" s="12"/>
      <c r="L86" s="12"/>
      <c r="M86" s="12"/>
      <c r="N86" s="12"/>
      <c r="O86" s="12"/>
      <c r="P86" s="12"/>
      <c r="Q86" s="13">
        <f t="shared" si="30"/>
        <v>3</v>
      </c>
      <c r="R86" s="13">
        <f t="shared" si="30"/>
        <v>0</v>
      </c>
      <c r="S86" s="13">
        <f t="shared" si="30"/>
        <v>79</v>
      </c>
      <c r="T86" s="13">
        <f t="shared" si="30"/>
        <v>64</v>
      </c>
      <c r="U86" s="13">
        <f t="shared" si="30"/>
        <v>0</v>
      </c>
      <c r="V86" s="13">
        <f t="shared" si="33"/>
        <v>146</v>
      </c>
      <c r="W86" s="13" t="str">
        <f t="shared" si="34"/>
        <v>92</v>
      </c>
      <c r="X86" s="13">
        <f t="shared" si="35"/>
        <v>289</v>
      </c>
      <c r="Y86" s="13" t="str">
        <f t="shared" si="36"/>
        <v>21</v>
      </c>
      <c r="Z86" s="119"/>
      <c r="AA86" s="119"/>
      <c r="AB86" s="119"/>
      <c r="AC86" s="119"/>
      <c r="AD86" s="119"/>
      <c r="AE86" s="119"/>
      <c r="AF86" s="119"/>
      <c r="AG86" s="119"/>
      <c r="AH86" s="119"/>
      <c r="AJ86" s="64" t="s">
        <v>1652</v>
      </c>
      <c r="AK86" s="64" t="s">
        <v>1672</v>
      </c>
    </row>
    <row r="87" spans="2:37" ht="16.5" customHeight="1">
      <c r="B87" s="12" t="s">
        <v>1653</v>
      </c>
      <c r="C87" s="12" t="str">
        <f t="shared" si="29"/>
        <v>FF03004FFFFF50</v>
      </c>
      <c r="D87" s="60" t="s">
        <v>91</v>
      </c>
      <c r="E87" s="60" t="s">
        <v>16</v>
      </c>
      <c r="F87" s="60" t="s">
        <v>70</v>
      </c>
      <c r="G87" s="60" t="s">
        <v>9</v>
      </c>
      <c r="H87" s="60" t="s">
        <v>9</v>
      </c>
      <c r="I87" s="12" t="str">
        <f t="shared" si="32"/>
        <v>50</v>
      </c>
      <c r="J87" s="12"/>
      <c r="K87" s="12"/>
      <c r="L87" s="12"/>
      <c r="M87" s="12"/>
      <c r="N87" s="12"/>
      <c r="O87" s="12"/>
      <c r="P87" s="12"/>
      <c r="Q87" s="13">
        <f t="shared" si="30"/>
        <v>3</v>
      </c>
      <c r="R87" s="13">
        <f t="shared" si="30"/>
        <v>0</v>
      </c>
      <c r="S87" s="13">
        <f t="shared" si="30"/>
        <v>79</v>
      </c>
      <c r="T87" s="13">
        <f t="shared" si="30"/>
        <v>255</v>
      </c>
      <c r="U87" s="13">
        <f t="shared" si="30"/>
        <v>255</v>
      </c>
      <c r="V87" s="13">
        <f t="shared" si="33"/>
        <v>592</v>
      </c>
      <c r="W87" s="13" t="str">
        <f t="shared" si="34"/>
        <v>50</v>
      </c>
      <c r="X87" s="13">
        <f t="shared" si="35"/>
        <v>1181</v>
      </c>
      <c r="Y87" s="13" t="str">
        <f t="shared" si="36"/>
        <v>9D</v>
      </c>
      <c r="Z87" s="119"/>
      <c r="AA87" s="119"/>
      <c r="AB87" s="119"/>
      <c r="AC87" s="119"/>
      <c r="AD87" s="119"/>
      <c r="AE87" s="119"/>
      <c r="AF87" s="119"/>
      <c r="AG87" s="119"/>
      <c r="AH87" s="119"/>
      <c r="AJ87" s="64" t="s">
        <v>1653</v>
      </c>
      <c r="AK87" s="64" t="s">
        <v>1673</v>
      </c>
    </row>
    <row r="88" spans="2:37" ht="16.5" customHeight="1">
      <c r="B88" s="111" t="s">
        <v>1654</v>
      </c>
      <c r="C88" s="111" t="str">
        <f t="shared" si="29"/>
        <v>FF030055000058</v>
      </c>
      <c r="D88" s="60" t="s">
        <v>91</v>
      </c>
      <c r="E88" s="60" t="s">
        <v>16</v>
      </c>
      <c r="F88" s="60" t="s">
        <v>74</v>
      </c>
      <c r="G88" s="60" t="s">
        <v>16</v>
      </c>
      <c r="H88" s="60" t="s">
        <v>16</v>
      </c>
      <c r="I88" s="12" t="str">
        <f t="shared" si="32"/>
        <v>58</v>
      </c>
      <c r="J88" s="12"/>
      <c r="K88" s="12"/>
      <c r="L88" s="12"/>
      <c r="M88" s="12"/>
      <c r="N88" s="12"/>
      <c r="O88" s="12"/>
      <c r="P88" s="12"/>
      <c r="Q88" s="13">
        <f t="shared" si="30"/>
        <v>3</v>
      </c>
      <c r="R88" s="13">
        <f t="shared" si="30"/>
        <v>0</v>
      </c>
      <c r="S88" s="13">
        <f t="shared" si="30"/>
        <v>85</v>
      </c>
      <c r="T88" s="13">
        <f t="shared" si="30"/>
        <v>0</v>
      </c>
      <c r="U88" s="13">
        <f t="shared" si="30"/>
        <v>0</v>
      </c>
      <c r="V88" s="13">
        <f t="shared" si="33"/>
        <v>88</v>
      </c>
      <c r="W88" s="13" t="str">
        <f t="shared" si="34"/>
        <v>58</v>
      </c>
      <c r="X88" s="13">
        <f t="shared" si="35"/>
        <v>173</v>
      </c>
      <c r="Y88" s="13" t="str">
        <f>REPT("0",2-LEN(RIGHT(DEC2HEX(X88), 2)))&amp;RIGHT(DEC2HEX(X88), 2)</f>
        <v>AD</v>
      </c>
      <c r="Z88" s="119"/>
      <c r="AA88" s="119"/>
      <c r="AB88" s="119"/>
      <c r="AC88" s="119"/>
      <c r="AD88" s="119"/>
      <c r="AE88" s="119"/>
      <c r="AF88" s="119"/>
      <c r="AG88" s="119"/>
      <c r="AH88" s="119"/>
      <c r="AJ88" s="64" t="s">
        <v>1654</v>
      </c>
      <c r="AK88" s="64" t="s">
        <v>1674</v>
      </c>
    </row>
    <row r="89" spans="2:37" ht="16.5" customHeight="1">
      <c r="B89" s="12" t="s">
        <v>1655</v>
      </c>
      <c r="C89" s="12" t="str">
        <f t="shared" si="29"/>
        <v>FF03014F000053</v>
      </c>
      <c r="D89" s="60" t="s">
        <v>91</v>
      </c>
      <c r="E89" s="60" t="s">
        <v>24</v>
      </c>
      <c r="F89" s="60" t="s">
        <v>70</v>
      </c>
      <c r="G89" s="60" t="s">
        <v>16</v>
      </c>
      <c r="H89" s="60" t="s">
        <v>16</v>
      </c>
      <c r="I89" s="12" t="str">
        <f t="shared" si="32"/>
        <v>53</v>
      </c>
      <c r="J89" s="12"/>
      <c r="K89" s="12"/>
      <c r="L89" s="12"/>
      <c r="M89" s="12"/>
      <c r="N89" s="12"/>
      <c r="O89" s="12"/>
      <c r="P89" s="12"/>
      <c r="Q89" s="13">
        <f t="shared" si="30"/>
        <v>3</v>
      </c>
      <c r="R89" s="13">
        <f t="shared" si="30"/>
        <v>1</v>
      </c>
      <c r="S89" s="13">
        <f t="shared" si="30"/>
        <v>79</v>
      </c>
      <c r="T89" s="13">
        <f t="shared" si="30"/>
        <v>0</v>
      </c>
      <c r="U89" s="13">
        <f t="shared" si="30"/>
        <v>0</v>
      </c>
      <c r="V89" s="13">
        <f t="shared" si="33"/>
        <v>83</v>
      </c>
      <c r="W89" s="13" t="str">
        <f t="shared" si="34"/>
        <v>53</v>
      </c>
      <c r="X89" s="13">
        <f t="shared" si="35"/>
        <v>163</v>
      </c>
      <c r="Y89" s="13" t="str">
        <f t="shared" ref="Y89:Y152" si="37">REPT("0",2-LEN(RIGHT(DEC2HEX(X89), 2)))&amp;RIGHT(DEC2HEX(X89), 2)</f>
        <v>A3</v>
      </c>
      <c r="Z89" s="119"/>
      <c r="AA89" s="119"/>
      <c r="AB89" s="119"/>
      <c r="AC89" s="119"/>
      <c r="AD89" s="119"/>
      <c r="AE89" s="119"/>
      <c r="AF89" s="119"/>
      <c r="AG89" s="119"/>
      <c r="AH89" s="119"/>
      <c r="AJ89" s="64" t="s">
        <v>1655</v>
      </c>
      <c r="AK89" s="64" t="s">
        <v>1675</v>
      </c>
    </row>
    <row r="90" spans="2:37" ht="32.25" customHeight="1">
      <c r="B90" s="12" t="s">
        <v>1656</v>
      </c>
      <c r="C90" s="12" t="str">
        <f t="shared" si="29"/>
        <v>FF03014F100063</v>
      </c>
      <c r="D90" s="60" t="s">
        <v>91</v>
      </c>
      <c r="E90" s="60" t="s">
        <v>24</v>
      </c>
      <c r="F90" s="60" t="s">
        <v>70</v>
      </c>
      <c r="G90" s="60" t="s">
        <v>109</v>
      </c>
      <c r="H90" s="60" t="s">
        <v>16</v>
      </c>
      <c r="I90" s="12" t="str">
        <f t="shared" si="32"/>
        <v>63</v>
      </c>
      <c r="J90" s="12"/>
      <c r="K90" s="12"/>
      <c r="L90" s="12"/>
      <c r="M90" s="12"/>
      <c r="N90" s="12"/>
      <c r="O90" s="12"/>
      <c r="P90" s="12"/>
      <c r="Q90" s="13">
        <f t="shared" si="30"/>
        <v>3</v>
      </c>
      <c r="R90" s="13">
        <f t="shared" si="30"/>
        <v>1</v>
      </c>
      <c r="S90" s="13">
        <f t="shared" si="30"/>
        <v>79</v>
      </c>
      <c r="T90" s="13">
        <f t="shared" si="30"/>
        <v>16</v>
      </c>
      <c r="U90" s="13">
        <f t="shared" si="30"/>
        <v>0</v>
      </c>
      <c r="V90" s="13">
        <f t="shared" si="33"/>
        <v>99</v>
      </c>
      <c r="W90" s="13" t="str">
        <f t="shared" si="34"/>
        <v>63</v>
      </c>
      <c r="X90" s="13">
        <f t="shared" si="35"/>
        <v>195</v>
      </c>
      <c r="Y90" s="13" t="str">
        <f t="shared" si="37"/>
        <v>C3</v>
      </c>
      <c r="Z90" s="119"/>
      <c r="AA90" s="119"/>
      <c r="AB90" s="119"/>
      <c r="AC90" s="119"/>
      <c r="AD90" s="119"/>
      <c r="AE90" s="119"/>
      <c r="AF90" s="119"/>
      <c r="AG90" s="119"/>
      <c r="AH90" s="119"/>
      <c r="AJ90" s="64" t="s">
        <v>1656</v>
      </c>
      <c r="AK90" s="64" t="s">
        <v>1676</v>
      </c>
    </row>
    <row r="91" spans="2:37" ht="30" customHeight="1">
      <c r="B91" s="12" t="s">
        <v>1657</v>
      </c>
      <c r="C91" s="12" t="str">
        <f t="shared" si="29"/>
        <v>FF03014F8000D3</v>
      </c>
      <c r="D91" s="60" t="s">
        <v>91</v>
      </c>
      <c r="E91" s="60" t="s">
        <v>24</v>
      </c>
      <c r="F91" s="60" t="s">
        <v>70</v>
      </c>
      <c r="G91" s="60" t="s">
        <v>43</v>
      </c>
      <c r="H91" s="60" t="s">
        <v>16</v>
      </c>
      <c r="I91" s="12" t="str">
        <f t="shared" si="32"/>
        <v>D3</v>
      </c>
      <c r="J91" s="12"/>
      <c r="K91" s="12"/>
      <c r="L91" s="12"/>
      <c r="M91" s="12"/>
      <c r="N91" s="12"/>
      <c r="O91" s="12"/>
      <c r="P91" s="12"/>
      <c r="Q91" s="13">
        <f t="shared" si="30"/>
        <v>3</v>
      </c>
      <c r="R91" s="13">
        <f t="shared" si="30"/>
        <v>1</v>
      </c>
      <c r="S91" s="13">
        <f t="shared" si="30"/>
        <v>79</v>
      </c>
      <c r="T91" s="13">
        <f t="shared" si="30"/>
        <v>128</v>
      </c>
      <c r="U91" s="13">
        <f t="shared" si="30"/>
        <v>0</v>
      </c>
      <c r="V91" s="13">
        <f t="shared" si="33"/>
        <v>211</v>
      </c>
      <c r="W91" s="13" t="str">
        <f t="shared" si="34"/>
        <v>D3</v>
      </c>
      <c r="X91" s="13">
        <f t="shared" si="35"/>
        <v>419</v>
      </c>
      <c r="Y91" s="13" t="str">
        <f t="shared" si="37"/>
        <v>A3</v>
      </c>
      <c r="Z91" s="119"/>
      <c r="AA91" s="119"/>
      <c r="AB91" s="119"/>
      <c r="AC91" s="119"/>
      <c r="AD91" s="119"/>
      <c r="AE91" s="119"/>
      <c r="AF91" s="119"/>
      <c r="AG91" s="119"/>
      <c r="AH91" s="119"/>
      <c r="AJ91" s="64" t="s">
        <v>1657</v>
      </c>
      <c r="AK91" s="64" t="s">
        <v>1677</v>
      </c>
    </row>
    <row r="92" spans="2:37" ht="16.5" customHeight="1">
      <c r="B92" s="12" t="s">
        <v>1658</v>
      </c>
      <c r="C92" s="12" t="str">
        <f t="shared" si="29"/>
        <v>FF03014FFFFF51</v>
      </c>
      <c r="D92" s="60" t="s">
        <v>91</v>
      </c>
      <c r="E92" s="60" t="s">
        <v>24</v>
      </c>
      <c r="F92" s="60" t="s">
        <v>70</v>
      </c>
      <c r="G92" s="60" t="s">
        <v>9</v>
      </c>
      <c r="H92" s="60" t="s">
        <v>9</v>
      </c>
      <c r="I92" s="12" t="str">
        <f t="shared" si="32"/>
        <v>51</v>
      </c>
      <c r="J92" s="12"/>
      <c r="K92" s="12"/>
      <c r="L92" s="12"/>
      <c r="M92" s="12"/>
      <c r="N92" s="12"/>
      <c r="O92" s="12"/>
      <c r="P92" s="12"/>
      <c r="Q92" s="13">
        <f t="shared" si="30"/>
        <v>3</v>
      </c>
      <c r="R92" s="13">
        <f t="shared" si="30"/>
        <v>1</v>
      </c>
      <c r="S92" s="13">
        <f t="shared" si="30"/>
        <v>79</v>
      </c>
      <c r="T92" s="13">
        <f t="shared" si="30"/>
        <v>255</v>
      </c>
      <c r="U92" s="13">
        <f t="shared" si="30"/>
        <v>255</v>
      </c>
      <c r="V92" s="13">
        <f t="shared" si="33"/>
        <v>593</v>
      </c>
      <c r="W92" s="13" t="str">
        <f t="shared" si="34"/>
        <v>51</v>
      </c>
      <c r="X92" s="13">
        <f t="shared" si="35"/>
        <v>1183</v>
      </c>
      <c r="Y92" s="13" t="str">
        <f t="shared" si="37"/>
        <v>9F</v>
      </c>
      <c r="Z92" s="119"/>
      <c r="AA92" s="119"/>
      <c r="AB92" s="119"/>
      <c r="AC92" s="119"/>
      <c r="AD92" s="119"/>
      <c r="AE92" s="119"/>
      <c r="AF92" s="119"/>
      <c r="AG92" s="119"/>
      <c r="AH92" s="119"/>
      <c r="AJ92" s="64" t="s">
        <v>1658</v>
      </c>
      <c r="AK92" s="64" t="s">
        <v>1678</v>
      </c>
    </row>
    <row r="93" spans="2:37" ht="16.5" customHeight="1">
      <c r="B93" s="12" t="s">
        <v>1659</v>
      </c>
      <c r="C93" s="12" t="str">
        <f t="shared" si="29"/>
        <v>FF030155000059</v>
      </c>
      <c r="D93" s="60" t="s">
        <v>91</v>
      </c>
      <c r="E93" s="60" t="s">
        <v>24</v>
      </c>
      <c r="F93" s="60" t="s">
        <v>74</v>
      </c>
      <c r="G93" s="60" t="s">
        <v>16</v>
      </c>
      <c r="H93" s="60" t="s">
        <v>16</v>
      </c>
      <c r="I93" s="12" t="str">
        <f t="shared" si="32"/>
        <v>59</v>
      </c>
      <c r="J93" s="12"/>
      <c r="K93" s="12"/>
      <c r="L93" s="12"/>
      <c r="M93" s="12"/>
      <c r="N93" s="12"/>
      <c r="O93" s="12"/>
      <c r="P93" s="12"/>
      <c r="Q93" s="13">
        <f t="shared" si="30"/>
        <v>3</v>
      </c>
      <c r="R93" s="13">
        <f t="shared" si="30"/>
        <v>1</v>
      </c>
      <c r="S93" s="13">
        <f t="shared" si="30"/>
        <v>85</v>
      </c>
      <c r="T93" s="13">
        <f t="shared" si="30"/>
        <v>0</v>
      </c>
      <c r="U93" s="13">
        <f t="shared" si="30"/>
        <v>0</v>
      </c>
      <c r="V93" s="13">
        <f t="shared" si="33"/>
        <v>89</v>
      </c>
      <c r="W93" s="13" t="str">
        <f t="shared" si="34"/>
        <v>59</v>
      </c>
      <c r="X93" s="13">
        <f t="shared" si="35"/>
        <v>175</v>
      </c>
      <c r="Y93" s="13" t="str">
        <f t="shared" si="37"/>
        <v>AF</v>
      </c>
      <c r="Z93" s="119"/>
      <c r="AA93" s="119"/>
      <c r="AB93" s="119"/>
      <c r="AC93" s="119"/>
      <c r="AD93" s="119"/>
      <c r="AE93" s="119"/>
      <c r="AF93" s="119"/>
      <c r="AG93" s="119"/>
      <c r="AH93" s="119"/>
      <c r="AJ93" s="64" t="s">
        <v>1659</v>
      </c>
      <c r="AK93" s="64" t="s">
        <v>1679</v>
      </c>
    </row>
    <row r="94" spans="2:37" ht="16.5" customHeight="1">
      <c r="B94" s="12" t="s">
        <v>1660</v>
      </c>
      <c r="C94" s="12" t="str">
        <f t="shared" si="29"/>
        <v>FF03002B00002E</v>
      </c>
      <c r="D94" s="60" t="s">
        <v>91</v>
      </c>
      <c r="E94" s="60" t="s">
        <v>16</v>
      </c>
      <c r="F94" s="60" t="s">
        <v>104</v>
      </c>
      <c r="G94" s="60" t="s">
        <v>16</v>
      </c>
      <c r="H94" s="60" t="s">
        <v>16</v>
      </c>
      <c r="I94" s="12" t="str">
        <f t="shared" si="32"/>
        <v>2E</v>
      </c>
      <c r="J94" s="12"/>
      <c r="K94" s="12"/>
      <c r="L94" s="12"/>
      <c r="M94" s="12"/>
      <c r="N94" s="12"/>
      <c r="O94" s="12"/>
      <c r="P94" s="12"/>
      <c r="Q94" s="13">
        <f t="shared" si="30"/>
        <v>3</v>
      </c>
      <c r="R94" s="13">
        <f t="shared" si="30"/>
        <v>0</v>
      </c>
      <c r="S94" s="13">
        <f t="shared" si="30"/>
        <v>43</v>
      </c>
      <c r="T94" s="13">
        <f t="shared" si="30"/>
        <v>0</v>
      </c>
      <c r="U94" s="13">
        <f t="shared" si="30"/>
        <v>0</v>
      </c>
      <c r="V94" s="13">
        <f t="shared" si="33"/>
        <v>46</v>
      </c>
      <c r="W94" s="13" t="str">
        <f t="shared" si="34"/>
        <v>2E</v>
      </c>
      <c r="X94" s="13">
        <f t="shared" si="35"/>
        <v>89</v>
      </c>
      <c r="Y94" s="13" t="str">
        <f t="shared" si="37"/>
        <v>59</v>
      </c>
      <c r="Z94" s="119"/>
      <c r="AA94" s="119"/>
      <c r="AB94" s="119"/>
      <c r="AC94" s="119"/>
      <c r="AD94" s="119"/>
      <c r="AE94" s="119"/>
      <c r="AF94" s="119"/>
      <c r="AG94" s="119"/>
      <c r="AH94" s="119"/>
      <c r="AJ94" s="64" t="s">
        <v>1660</v>
      </c>
      <c r="AK94" s="64" t="s">
        <v>1680</v>
      </c>
    </row>
    <row r="95" spans="2:37" ht="16.5" customHeight="1">
      <c r="B95" s="12" t="s">
        <v>1661</v>
      </c>
      <c r="C95" s="12" t="str">
        <f t="shared" si="29"/>
        <v>FF03002B00012F</v>
      </c>
      <c r="D95" s="60" t="s">
        <v>91</v>
      </c>
      <c r="E95" s="60" t="s">
        <v>16</v>
      </c>
      <c r="F95" s="60" t="s">
        <v>104</v>
      </c>
      <c r="G95" s="60" t="s">
        <v>16</v>
      </c>
      <c r="H95" s="60" t="s">
        <v>24</v>
      </c>
      <c r="I95" s="12" t="str">
        <f t="shared" si="32"/>
        <v>2F</v>
      </c>
      <c r="J95" s="12"/>
      <c r="K95" s="12"/>
      <c r="L95" s="12"/>
      <c r="M95" s="12"/>
      <c r="N95" s="12"/>
      <c r="O95" s="12"/>
      <c r="P95" s="12"/>
      <c r="Q95" s="13">
        <f t="shared" si="30"/>
        <v>3</v>
      </c>
      <c r="R95" s="13">
        <f t="shared" si="30"/>
        <v>0</v>
      </c>
      <c r="S95" s="13">
        <f t="shared" si="30"/>
        <v>43</v>
      </c>
      <c r="T95" s="13">
        <f t="shared" si="30"/>
        <v>0</v>
      </c>
      <c r="U95" s="13">
        <f t="shared" si="30"/>
        <v>1</v>
      </c>
      <c r="V95" s="13">
        <f t="shared" si="33"/>
        <v>47</v>
      </c>
      <c r="W95" s="13" t="str">
        <f t="shared" si="34"/>
        <v>2F</v>
      </c>
      <c r="X95" s="13">
        <f t="shared" si="35"/>
        <v>91</v>
      </c>
      <c r="Y95" s="13" t="str">
        <f t="shared" si="37"/>
        <v>5B</v>
      </c>
      <c r="Z95" s="119"/>
      <c r="AA95" s="119"/>
      <c r="AB95" s="119"/>
      <c r="AC95" s="119"/>
      <c r="AD95" s="119"/>
      <c r="AE95" s="119"/>
      <c r="AF95" s="119"/>
      <c r="AG95" s="119"/>
      <c r="AH95" s="119"/>
      <c r="AJ95" s="64" t="s">
        <v>1661</v>
      </c>
      <c r="AK95" s="64" t="s">
        <v>1681</v>
      </c>
    </row>
    <row r="96" spans="2:37" ht="16.5" customHeight="1">
      <c r="B96" s="43" t="s">
        <v>1662</v>
      </c>
      <c r="C96" s="12" t="str">
        <f t="shared" si="29"/>
        <v>FF03000F000012</v>
      </c>
      <c r="D96" s="60" t="s">
        <v>91</v>
      </c>
      <c r="E96" s="60" t="s">
        <v>16</v>
      </c>
      <c r="F96" s="60" t="s">
        <v>78</v>
      </c>
      <c r="G96" s="60" t="s">
        <v>16</v>
      </c>
      <c r="H96" s="60" t="s">
        <v>16</v>
      </c>
      <c r="I96" s="12" t="str">
        <f t="shared" si="32"/>
        <v>12</v>
      </c>
      <c r="J96" s="12"/>
      <c r="K96" s="12"/>
      <c r="L96" s="12"/>
      <c r="M96" s="12"/>
      <c r="N96" s="12"/>
      <c r="O96" s="12"/>
      <c r="P96" s="12"/>
      <c r="Q96" s="13">
        <f t="shared" si="30"/>
        <v>3</v>
      </c>
      <c r="R96" s="13">
        <f t="shared" si="30"/>
        <v>0</v>
      </c>
      <c r="S96" s="13">
        <f t="shared" si="30"/>
        <v>15</v>
      </c>
      <c r="T96" s="13">
        <f t="shared" si="30"/>
        <v>0</v>
      </c>
      <c r="U96" s="13">
        <f t="shared" si="30"/>
        <v>0</v>
      </c>
      <c r="V96" s="13">
        <f t="shared" si="33"/>
        <v>18</v>
      </c>
      <c r="W96" s="13" t="str">
        <f t="shared" si="34"/>
        <v>12</v>
      </c>
      <c r="X96" s="13">
        <f t="shared" si="35"/>
        <v>33</v>
      </c>
      <c r="Y96" s="13" t="str">
        <f t="shared" si="37"/>
        <v>21</v>
      </c>
      <c r="Z96" s="119"/>
      <c r="AA96" s="119"/>
      <c r="AB96" s="119"/>
      <c r="AC96" s="119"/>
      <c r="AD96" s="119"/>
      <c r="AE96" s="119"/>
      <c r="AF96" s="119"/>
      <c r="AG96" s="119"/>
      <c r="AH96" s="119"/>
      <c r="AJ96" s="64" t="s">
        <v>1662</v>
      </c>
      <c r="AK96" s="64" t="s">
        <v>1682</v>
      </c>
    </row>
    <row r="97" spans="2:37" ht="16.5" customHeight="1">
      <c r="B97" s="12" t="s">
        <v>1663</v>
      </c>
      <c r="C97" s="12" t="str">
        <f t="shared" si="29"/>
        <v>FF03002900002C</v>
      </c>
      <c r="D97" s="60" t="s">
        <v>91</v>
      </c>
      <c r="E97" s="60" t="s">
        <v>16</v>
      </c>
      <c r="F97" s="60" t="s">
        <v>79</v>
      </c>
      <c r="G97" s="60" t="s">
        <v>16</v>
      </c>
      <c r="H97" s="60" t="s">
        <v>16</v>
      </c>
      <c r="I97" s="12" t="str">
        <f t="shared" si="32"/>
        <v>2C</v>
      </c>
      <c r="J97" s="12"/>
      <c r="K97" s="12"/>
      <c r="L97" s="12"/>
      <c r="M97" s="12"/>
      <c r="N97" s="12"/>
      <c r="O97" s="12"/>
      <c r="P97" s="12"/>
      <c r="Q97" s="13">
        <f t="shared" si="30"/>
        <v>3</v>
      </c>
      <c r="R97" s="13">
        <f t="shared" si="30"/>
        <v>0</v>
      </c>
      <c r="S97" s="13">
        <f t="shared" si="30"/>
        <v>41</v>
      </c>
      <c r="T97" s="13">
        <f t="shared" si="30"/>
        <v>0</v>
      </c>
      <c r="U97" s="13">
        <f t="shared" si="30"/>
        <v>0</v>
      </c>
      <c r="V97" s="13">
        <f t="shared" si="33"/>
        <v>44</v>
      </c>
      <c r="W97" s="13" t="str">
        <f t="shared" si="34"/>
        <v>2C</v>
      </c>
      <c r="X97" s="13">
        <f t="shared" si="35"/>
        <v>85</v>
      </c>
      <c r="Y97" s="13" t="str">
        <f t="shared" si="37"/>
        <v>55</v>
      </c>
      <c r="Z97" s="119"/>
      <c r="AA97" s="119"/>
      <c r="AB97" s="119"/>
      <c r="AC97" s="119"/>
      <c r="AD97" s="119"/>
      <c r="AE97" s="119"/>
      <c r="AF97" s="119"/>
      <c r="AG97" s="119"/>
      <c r="AH97" s="119"/>
      <c r="AJ97" s="64" t="s">
        <v>1663</v>
      </c>
      <c r="AK97" s="64" t="s">
        <v>1683</v>
      </c>
    </row>
    <row r="98" spans="2:37" ht="16.5" customHeight="1">
      <c r="B98" s="12" t="s">
        <v>1734</v>
      </c>
      <c r="C98" s="12" t="str">
        <f t="shared" si="29"/>
        <v>FF018100000082</v>
      </c>
      <c r="D98" s="60" t="s">
        <v>24</v>
      </c>
      <c r="E98" s="60" t="s">
        <v>1726</v>
      </c>
      <c r="F98" s="60" t="s">
        <v>16</v>
      </c>
      <c r="G98" s="60" t="s">
        <v>16</v>
      </c>
      <c r="H98" s="60" t="s">
        <v>16</v>
      </c>
      <c r="I98" s="12" t="str">
        <f t="shared" si="32"/>
        <v>82</v>
      </c>
      <c r="J98" s="12"/>
      <c r="K98" s="12"/>
      <c r="L98" s="12"/>
      <c r="M98" s="12"/>
      <c r="N98" s="12"/>
      <c r="O98" s="12"/>
      <c r="P98" s="12"/>
      <c r="Q98" s="13">
        <f t="shared" si="30"/>
        <v>1</v>
      </c>
      <c r="R98" s="13">
        <f t="shared" si="30"/>
        <v>129</v>
      </c>
      <c r="S98" s="13">
        <f t="shared" si="30"/>
        <v>0</v>
      </c>
      <c r="T98" s="13">
        <f t="shared" si="30"/>
        <v>0</v>
      </c>
      <c r="U98" s="13">
        <f t="shared" si="30"/>
        <v>0</v>
      </c>
      <c r="V98" s="13">
        <f t="shared" si="33"/>
        <v>130</v>
      </c>
      <c r="W98" s="13" t="str">
        <f t="shared" si="34"/>
        <v>82</v>
      </c>
      <c r="X98" s="13">
        <f t="shared" si="35"/>
        <v>259</v>
      </c>
      <c r="Y98" s="13" t="str">
        <f t="shared" si="37"/>
        <v>03</v>
      </c>
      <c r="Z98" s="119"/>
      <c r="AA98" s="119"/>
      <c r="AB98" s="119"/>
      <c r="AC98" s="119"/>
      <c r="AD98" s="119"/>
      <c r="AE98" s="119"/>
      <c r="AF98" s="119"/>
      <c r="AG98" s="119"/>
      <c r="AH98" s="119"/>
      <c r="AJ98" s="64"/>
      <c r="AK98" s="64" t="s">
        <v>2148</v>
      </c>
    </row>
    <row r="99" spans="2:37" ht="16.5" customHeight="1">
      <c r="B99" s="12" t="s">
        <v>1727</v>
      </c>
      <c r="C99" s="12" t="str">
        <f t="shared" si="29"/>
        <v>FF018001000082</v>
      </c>
      <c r="D99" s="60" t="s">
        <v>24</v>
      </c>
      <c r="E99" s="60" t="s">
        <v>43</v>
      </c>
      <c r="F99" s="60" t="s">
        <v>24</v>
      </c>
      <c r="G99" s="60" t="s">
        <v>16</v>
      </c>
      <c r="H99" s="60" t="s">
        <v>16</v>
      </c>
      <c r="I99" s="12" t="str">
        <f t="shared" si="32"/>
        <v>82</v>
      </c>
      <c r="J99" s="12"/>
      <c r="K99" s="12"/>
      <c r="L99" s="12"/>
      <c r="M99" s="12"/>
      <c r="N99" s="12"/>
      <c r="O99" s="12"/>
      <c r="P99" s="12"/>
      <c r="Q99" s="13">
        <f t="shared" si="30"/>
        <v>1</v>
      </c>
      <c r="R99" s="13">
        <f t="shared" si="30"/>
        <v>128</v>
      </c>
      <c r="S99" s="13">
        <f t="shared" si="30"/>
        <v>1</v>
      </c>
      <c r="T99" s="13">
        <f t="shared" si="30"/>
        <v>0</v>
      </c>
      <c r="U99" s="13">
        <f t="shared" si="30"/>
        <v>0</v>
      </c>
      <c r="V99" s="13">
        <f t="shared" si="33"/>
        <v>130</v>
      </c>
      <c r="W99" s="13" t="str">
        <f t="shared" si="34"/>
        <v>82</v>
      </c>
      <c r="X99" s="13">
        <f t="shared" si="35"/>
        <v>259</v>
      </c>
      <c r="Y99" s="13" t="str">
        <f t="shared" si="37"/>
        <v>03</v>
      </c>
      <c r="Z99" s="119"/>
      <c r="AA99" s="119"/>
      <c r="AB99" s="119"/>
      <c r="AC99" s="119"/>
      <c r="AD99" s="119"/>
      <c r="AE99" s="119"/>
      <c r="AF99" s="119"/>
      <c r="AG99" s="119"/>
      <c r="AH99" s="119"/>
      <c r="AJ99" s="64"/>
      <c r="AK99" s="64" t="s">
        <v>2149</v>
      </c>
    </row>
    <row r="100" spans="2:37" ht="16.5" customHeight="1">
      <c r="B100" s="12" t="s">
        <v>1728</v>
      </c>
      <c r="C100" s="12" t="str">
        <f t="shared" si="29"/>
        <v>FF018002000487</v>
      </c>
      <c r="D100" s="60" t="s">
        <v>24</v>
      </c>
      <c r="E100" s="60" t="s">
        <v>43</v>
      </c>
      <c r="F100" s="60" t="s">
        <v>17</v>
      </c>
      <c r="G100" s="60" t="s">
        <v>16</v>
      </c>
      <c r="H100" s="60" t="s">
        <v>67</v>
      </c>
      <c r="I100" s="12" t="str">
        <f t="shared" si="32"/>
        <v>87</v>
      </c>
      <c r="J100" s="12"/>
      <c r="K100" s="12"/>
      <c r="L100" s="12"/>
      <c r="M100" s="12"/>
      <c r="N100" s="12"/>
      <c r="O100" s="12"/>
      <c r="P100" s="12"/>
      <c r="Q100" s="13">
        <f t="shared" si="30"/>
        <v>1</v>
      </c>
      <c r="R100" s="13">
        <f t="shared" si="30"/>
        <v>128</v>
      </c>
      <c r="S100" s="13">
        <f t="shared" si="30"/>
        <v>2</v>
      </c>
      <c r="T100" s="13">
        <f t="shared" si="30"/>
        <v>0</v>
      </c>
      <c r="U100" s="13">
        <f t="shared" si="30"/>
        <v>4</v>
      </c>
      <c r="V100" s="13">
        <f t="shared" si="33"/>
        <v>135</v>
      </c>
      <c r="W100" s="13" t="str">
        <f t="shared" si="34"/>
        <v>87</v>
      </c>
      <c r="X100" s="13">
        <f t="shared" si="35"/>
        <v>269</v>
      </c>
      <c r="Y100" s="13" t="str">
        <f t="shared" si="37"/>
        <v>0D</v>
      </c>
      <c r="Z100" s="119"/>
      <c r="AA100" s="119"/>
      <c r="AB100" s="119"/>
      <c r="AC100" s="119"/>
      <c r="AD100" s="119"/>
      <c r="AE100" s="119"/>
      <c r="AF100" s="119"/>
      <c r="AG100" s="119"/>
      <c r="AH100" s="119"/>
      <c r="AJ100" s="64"/>
      <c r="AK100" s="64" t="s">
        <v>2150</v>
      </c>
    </row>
    <row r="101" spans="2:37" ht="16.5" customHeight="1">
      <c r="B101" s="12" t="s">
        <v>1729</v>
      </c>
      <c r="C101" s="12" t="str">
        <f t="shared" si="29"/>
        <v>FF018002000083</v>
      </c>
      <c r="D101" s="60" t="s">
        <v>24</v>
      </c>
      <c r="E101" s="60" t="s">
        <v>43</v>
      </c>
      <c r="F101" s="60" t="s">
        <v>17</v>
      </c>
      <c r="G101" s="60" t="s">
        <v>16</v>
      </c>
      <c r="H101" s="60" t="s">
        <v>16</v>
      </c>
      <c r="I101" s="12" t="str">
        <f t="shared" si="32"/>
        <v>83</v>
      </c>
      <c r="J101" s="12"/>
      <c r="K101" s="12"/>
      <c r="L101" s="12"/>
      <c r="M101" s="12"/>
      <c r="N101" s="12"/>
      <c r="O101" s="12"/>
      <c r="P101" s="12"/>
      <c r="Q101" s="13">
        <f t="shared" si="30"/>
        <v>1</v>
      </c>
      <c r="R101" s="13">
        <f t="shared" si="30"/>
        <v>128</v>
      </c>
      <c r="S101" s="13">
        <f t="shared" si="30"/>
        <v>2</v>
      </c>
      <c r="T101" s="13">
        <f t="shared" si="30"/>
        <v>0</v>
      </c>
      <c r="U101" s="13">
        <f t="shared" si="30"/>
        <v>0</v>
      </c>
      <c r="V101" s="13">
        <f t="shared" si="33"/>
        <v>131</v>
      </c>
      <c r="W101" s="13" t="str">
        <f t="shared" si="34"/>
        <v>83</v>
      </c>
      <c r="X101" s="13">
        <f t="shared" si="35"/>
        <v>261</v>
      </c>
      <c r="Y101" s="13" t="str">
        <f t="shared" si="37"/>
        <v>05</v>
      </c>
      <c r="Z101" s="119"/>
      <c r="AA101" s="119"/>
      <c r="AB101" s="119"/>
      <c r="AC101" s="119"/>
      <c r="AD101" s="119"/>
      <c r="AE101" s="119"/>
      <c r="AF101" s="119"/>
      <c r="AG101" s="119"/>
      <c r="AH101" s="119"/>
      <c r="AJ101" s="64"/>
      <c r="AK101" s="64" t="s">
        <v>2151</v>
      </c>
    </row>
    <row r="102" spans="2:37" ht="16.5" customHeight="1">
      <c r="B102" s="12" t="s">
        <v>1730</v>
      </c>
      <c r="C102" s="12" t="str">
        <f t="shared" si="29"/>
        <v>FF018003000488</v>
      </c>
      <c r="D102" s="60" t="s">
        <v>24</v>
      </c>
      <c r="E102" s="60" t="s">
        <v>43</v>
      </c>
      <c r="F102" s="60" t="s">
        <v>91</v>
      </c>
      <c r="G102" s="60" t="s">
        <v>16</v>
      </c>
      <c r="H102" s="60" t="s">
        <v>67</v>
      </c>
      <c r="I102" s="12" t="str">
        <f t="shared" si="32"/>
        <v>88</v>
      </c>
      <c r="J102" s="12"/>
      <c r="K102" s="12"/>
      <c r="L102" s="12"/>
      <c r="M102" s="12"/>
      <c r="N102" s="12"/>
      <c r="O102" s="12"/>
      <c r="P102" s="12"/>
      <c r="Q102" s="13">
        <f t="shared" si="30"/>
        <v>1</v>
      </c>
      <c r="R102" s="13">
        <f t="shared" si="30"/>
        <v>128</v>
      </c>
      <c r="S102" s="13">
        <f t="shared" si="30"/>
        <v>3</v>
      </c>
      <c r="T102" s="13">
        <f t="shared" si="30"/>
        <v>0</v>
      </c>
      <c r="U102" s="13">
        <f t="shared" si="30"/>
        <v>4</v>
      </c>
      <c r="V102" s="13">
        <f t="shared" si="33"/>
        <v>136</v>
      </c>
      <c r="W102" s="13" t="str">
        <f t="shared" si="34"/>
        <v>88</v>
      </c>
      <c r="X102" s="13">
        <f t="shared" si="35"/>
        <v>271</v>
      </c>
      <c r="Y102" s="13" t="str">
        <f t="shared" si="37"/>
        <v>0F</v>
      </c>
      <c r="Z102" s="119"/>
      <c r="AA102" s="119"/>
      <c r="AB102" s="119"/>
      <c r="AC102" s="119"/>
      <c r="AD102" s="119"/>
      <c r="AE102" s="119"/>
      <c r="AF102" s="119"/>
      <c r="AG102" s="119"/>
      <c r="AH102" s="119"/>
      <c r="AJ102" s="64"/>
      <c r="AK102" s="64" t="s">
        <v>2152</v>
      </c>
    </row>
    <row r="103" spans="2:37" ht="16.5" customHeight="1">
      <c r="B103" s="12" t="s">
        <v>1731</v>
      </c>
      <c r="C103" s="12" t="str">
        <f t="shared" si="29"/>
        <v>FF018003000084</v>
      </c>
      <c r="D103" s="60" t="s">
        <v>24</v>
      </c>
      <c r="E103" s="60" t="s">
        <v>43</v>
      </c>
      <c r="F103" s="60" t="s">
        <v>91</v>
      </c>
      <c r="G103" s="60" t="s">
        <v>16</v>
      </c>
      <c r="H103" s="60" t="s">
        <v>16</v>
      </c>
      <c r="I103" s="12" t="str">
        <f t="shared" si="32"/>
        <v>84</v>
      </c>
      <c r="J103" s="12"/>
      <c r="K103" s="12"/>
      <c r="L103" s="12"/>
      <c r="M103" s="12"/>
      <c r="N103" s="12"/>
      <c r="O103" s="12"/>
      <c r="P103" s="12"/>
      <c r="Q103" s="13">
        <f t="shared" si="30"/>
        <v>1</v>
      </c>
      <c r="R103" s="13">
        <f t="shared" si="30"/>
        <v>128</v>
      </c>
      <c r="S103" s="13">
        <f t="shared" si="30"/>
        <v>3</v>
      </c>
      <c r="T103" s="13">
        <f t="shared" si="30"/>
        <v>0</v>
      </c>
      <c r="U103" s="13">
        <f t="shared" si="30"/>
        <v>0</v>
      </c>
      <c r="V103" s="13">
        <f t="shared" si="33"/>
        <v>132</v>
      </c>
      <c r="W103" s="13" t="str">
        <f t="shared" si="34"/>
        <v>84</v>
      </c>
      <c r="X103" s="13">
        <f t="shared" si="35"/>
        <v>263</v>
      </c>
      <c r="Y103" s="13" t="str">
        <f t="shared" si="37"/>
        <v>07</v>
      </c>
      <c r="Z103" s="119"/>
      <c r="AA103" s="119"/>
      <c r="AB103" s="119"/>
      <c r="AC103" s="119"/>
      <c r="AD103" s="119"/>
      <c r="AE103" s="119"/>
      <c r="AF103" s="119"/>
      <c r="AG103" s="119"/>
      <c r="AH103" s="119"/>
      <c r="AJ103" s="64"/>
      <c r="AK103" s="64" t="s">
        <v>2153</v>
      </c>
    </row>
    <row r="104" spans="2:37" ht="25.5">
      <c r="B104" s="12" t="s">
        <v>1732</v>
      </c>
      <c r="C104" s="12" t="str">
        <f t="shared" si="29"/>
        <v>FF018005000086</v>
      </c>
      <c r="D104" s="60" t="s">
        <v>24</v>
      </c>
      <c r="E104" s="60" t="s">
        <v>43</v>
      </c>
      <c r="F104" s="60" t="s">
        <v>92</v>
      </c>
      <c r="G104" s="60" t="s">
        <v>16</v>
      </c>
      <c r="H104" s="60" t="s">
        <v>16</v>
      </c>
      <c r="I104" s="12" t="str">
        <f t="shared" si="32"/>
        <v>86</v>
      </c>
      <c r="J104" s="12"/>
      <c r="K104" s="12"/>
      <c r="L104" s="12"/>
      <c r="M104" s="12"/>
      <c r="N104" s="12"/>
      <c r="O104" s="12"/>
      <c r="P104" s="12"/>
      <c r="Q104" s="13">
        <f t="shared" si="30"/>
        <v>1</v>
      </c>
      <c r="R104" s="13">
        <f t="shared" si="30"/>
        <v>128</v>
      </c>
      <c r="S104" s="13">
        <f t="shared" si="30"/>
        <v>5</v>
      </c>
      <c r="T104" s="13">
        <f t="shared" si="30"/>
        <v>0</v>
      </c>
      <c r="U104" s="13">
        <f t="shared" si="30"/>
        <v>0</v>
      </c>
      <c r="V104" s="13">
        <f t="shared" si="33"/>
        <v>134</v>
      </c>
      <c r="W104" s="13" t="str">
        <f t="shared" si="34"/>
        <v>86</v>
      </c>
      <c r="X104" s="13">
        <f t="shared" si="35"/>
        <v>267</v>
      </c>
      <c r="Y104" s="13" t="str">
        <f t="shared" si="37"/>
        <v>0B</v>
      </c>
      <c r="Z104" s="119"/>
      <c r="AA104" s="119"/>
      <c r="AB104" s="119"/>
      <c r="AC104" s="119"/>
      <c r="AD104" s="119"/>
      <c r="AE104" s="119"/>
      <c r="AF104" s="119"/>
      <c r="AG104" s="119"/>
      <c r="AH104" s="119"/>
      <c r="AJ104" s="64"/>
      <c r="AK104" s="64" t="s">
        <v>2154</v>
      </c>
    </row>
    <row r="105" spans="2:37" ht="25.5">
      <c r="B105" s="12" t="s">
        <v>1733</v>
      </c>
      <c r="C105" s="12" t="str">
        <f t="shared" si="29"/>
        <v>FF018005000187</v>
      </c>
      <c r="D105" s="60" t="s">
        <v>24</v>
      </c>
      <c r="E105" s="60" t="s">
        <v>43</v>
      </c>
      <c r="F105" s="60" t="s">
        <v>92</v>
      </c>
      <c r="G105" s="60" t="s">
        <v>16</v>
      </c>
      <c r="H105" s="60" t="s">
        <v>24</v>
      </c>
      <c r="I105" s="12" t="str">
        <f t="shared" si="32"/>
        <v>87</v>
      </c>
      <c r="J105" s="12"/>
      <c r="K105" s="12"/>
      <c r="L105" s="12"/>
      <c r="M105" s="12"/>
      <c r="N105" s="12"/>
      <c r="O105" s="12"/>
      <c r="P105" s="12"/>
      <c r="Q105" s="13">
        <f t="shared" si="30"/>
        <v>1</v>
      </c>
      <c r="R105" s="13">
        <f t="shared" si="30"/>
        <v>128</v>
      </c>
      <c r="S105" s="13">
        <f t="shared" si="30"/>
        <v>5</v>
      </c>
      <c r="T105" s="13">
        <f t="shared" si="30"/>
        <v>0</v>
      </c>
      <c r="U105" s="13">
        <f t="shared" si="30"/>
        <v>1</v>
      </c>
      <c r="V105" s="13">
        <f t="shared" si="33"/>
        <v>135</v>
      </c>
      <c r="W105" s="13" t="str">
        <f t="shared" si="34"/>
        <v>87</v>
      </c>
      <c r="X105" s="13">
        <f t="shared" si="35"/>
        <v>269</v>
      </c>
      <c r="Y105" s="13" t="str">
        <f t="shared" si="37"/>
        <v>0D</v>
      </c>
      <c r="Z105" s="119"/>
      <c r="AA105" s="119"/>
      <c r="AB105" s="119"/>
      <c r="AC105" s="119"/>
      <c r="AD105" s="119"/>
      <c r="AE105" s="119"/>
      <c r="AF105" s="119"/>
      <c r="AG105" s="119"/>
      <c r="AH105" s="119"/>
      <c r="AJ105" s="64"/>
      <c r="AK105" s="64" t="s">
        <v>2155</v>
      </c>
    </row>
    <row r="106" spans="2:37" ht="16.5" customHeight="1">
      <c r="B106" s="111" t="s">
        <v>1735</v>
      </c>
      <c r="C106" s="111" t="str">
        <f t="shared" si="29"/>
        <v>FF019100000092</v>
      </c>
      <c r="D106" s="60" t="s">
        <v>24</v>
      </c>
      <c r="E106" s="60" t="s">
        <v>1736</v>
      </c>
      <c r="F106" s="60" t="s">
        <v>16</v>
      </c>
      <c r="G106" s="60" t="s">
        <v>16</v>
      </c>
      <c r="H106" s="60" t="s">
        <v>16</v>
      </c>
      <c r="I106" s="12" t="str">
        <f t="shared" si="32"/>
        <v>92</v>
      </c>
      <c r="J106" s="12"/>
      <c r="K106" s="12"/>
      <c r="L106" s="12"/>
      <c r="M106" s="12"/>
      <c r="N106" s="12"/>
      <c r="O106" s="12"/>
      <c r="P106" s="12"/>
      <c r="Q106" s="13">
        <f t="shared" si="30"/>
        <v>1</v>
      </c>
      <c r="R106" s="13">
        <f t="shared" si="30"/>
        <v>145</v>
      </c>
      <c r="S106" s="13">
        <f t="shared" si="30"/>
        <v>0</v>
      </c>
      <c r="T106" s="13">
        <f t="shared" si="30"/>
        <v>0</v>
      </c>
      <c r="U106" s="13">
        <f t="shared" si="30"/>
        <v>0</v>
      </c>
      <c r="V106" s="13">
        <f t="shared" si="33"/>
        <v>146</v>
      </c>
      <c r="W106" s="13" t="str">
        <f t="shared" si="34"/>
        <v>92</v>
      </c>
      <c r="X106" s="13">
        <f t="shared" si="35"/>
        <v>291</v>
      </c>
      <c r="Y106" s="13" t="str">
        <f t="shared" si="37"/>
        <v>23</v>
      </c>
      <c r="Z106" s="119"/>
      <c r="AA106" s="119"/>
      <c r="AB106" s="119"/>
      <c r="AC106" s="119"/>
      <c r="AD106" s="119"/>
      <c r="AE106" s="119"/>
      <c r="AF106" s="119"/>
      <c r="AG106" s="119"/>
      <c r="AH106" s="119"/>
      <c r="AJ106" s="64"/>
      <c r="AK106" s="64" t="s">
        <v>2156</v>
      </c>
    </row>
    <row r="107" spans="2:37" ht="16.5" customHeight="1">
      <c r="B107" s="12" t="s">
        <v>1741</v>
      </c>
      <c r="C107" s="12" t="str">
        <f t="shared" si="29"/>
        <v>FF019001000092</v>
      </c>
      <c r="D107" s="60" t="s">
        <v>24</v>
      </c>
      <c r="E107" s="60" t="s">
        <v>1740</v>
      </c>
      <c r="F107" s="60" t="s">
        <v>24</v>
      </c>
      <c r="G107" s="60" t="s">
        <v>16</v>
      </c>
      <c r="H107" s="60" t="s">
        <v>16</v>
      </c>
      <c r="I107" s="12" t="str">
        <f t="shared" si="32"/>
        <v>92</v>
      </c>
      <c r="J107" s="12"/>
      <c r="K107" s="12"/>
      <c r="L107" s="12"/>
      <c r="M107" s="12"/>
      <c r="N107" s="12"/>
      <c r="O107" s="12"/>
      <c r="P107" s="12"/>
      <c r="Q107" s="13">
        <f t="shared" si="30"/>
        <v>1</v>
      </c>
      <c r="R107" s="13">
        <f t="shared" si="30"/>
        <v>144</v>
      </c>
      <c r="S107" s="13">
        <f t="shared" si="30"/>
        <v>1</v>
      </c>
      <c r="T107" s="13">
        <f t="shared" si="30"/>
        <v>0</v>
      </c>
      <c r="U107" s="13">
        <f t="shared" si="30"/>
        <v>0</v>
      </c>
      <c r="V107" s="13">
        <f t="shared" si="33"/>
        <v>146</v>
      </c>
      <c r="W107" s="13" t="str">
        <f t="shared" si="34"/>
        <v>92</v>
      </c>
      <c r="X107" s="13">
        <f t="shared" si="35"/>
        <v>291</v>
      </c>
      <c r="Y107" s="13" t="str">
        <f t="shared" si="37"/>
        <v>23</v>
      </c>
      <c r="Z107" s="119"/>
      <c r="AA107" s="119"/>
      <c r="AB107" s="119"/>
      <c r="AC107" s="119"/>
      <c r="AD107" s="119"/>
      <c r="AE107" s="119"/>
      <c r="AF107" s="119"/>
      <c r="AG107" s="119"/>
      <c r="AH107" s="119"/>
      <c r="AJ107" s="64"/>
      <c r="AK107" s="64" t="s">
        <v>2157</v>
      </c>
    </row>
    <row r="108" spans="2:37" ht="16.5" customHeight="1">
      <c r="B108" s="12" t="s">
        <v>1742</v>
      </c>
      <c r="C108" s="12" t="str">
        <f t="shared" si="29"/>
        <v>FF019001000193</v>
      </c>
      <c r="D108" s="60" t="s">
        <v>24</v>
      </c>
      <c r="E108" s="60" t="s">
        <v>1740</v>
      </c>
      <c r="F108" s="60" t="s">
        <v>24</v>
      </c>
      <c r="G108" s="60" t="s">
        <v>16</v>
      </c>
      <c r="H108" s="60" t="s">
        <v>24</v>
      </c>
      <c r="I108" s="12" t="str">
        <f t="shared" si="32"/>
        <v>93</v>
      </c>
      <c r="J108" s="12"/>
      <c r="K108" s="12"/>
      <c r="L108" s="12"/>
      <c r="M108" s="12"/>
      <c r="N108" s="12"/>
      <c r="O108" s="12"/>
      <c r="P108" s="12"/>
      <c r="Q108" s="13">
        <f t="shared" si="30"/>
        <v>1</v>
      </c>
      <c r="R108" s="13">
        <f t="shared" si="30"/>
        <v>144</v>
      </c>
      <c r="S108" s="13">
        <f t="shared" si="30"/>
        <v>1</v>
      </c>
      <c r="T108" s="13">
        <f t="shared" si="30"/>
        <v>0</v>
      </c>
      <c r="U108" s="13">
        <f t="shared" si="30"/>
        <v>1</v>
      </c>
      <c r="V108" s="13">
        <f t="shared" si="33"/>
        <v>147</v>
      </c>
      <c r="W108" s="13" t="str">
        <f t="shared" si="34"/>
        <v>93</v>
      </c>
      <c r="X108" s="13">
        <f t="shared" si="35"/>
        <v>293</v>
      </c>
      <c r="Y108" s="13" t="str">
        <f t="shared" si="37"/>
        <v>25</v>
      </c>
      <c r="Z108" s="119"/>
      <c r="AA108" s="119"/>
      <c r="AB108" s="119"/>
      <c r="AC108" s="119"/>
      <c r="AD108" s="119"/>
      <c r="AE108" s="119"/>
      <c r="AF108" s="119"/>
      <c r="AG108" s="119"/>
      <c r="AH108" s="119"/>
      <c r="AJ108" s="64"/>
      <c r="AK108" s="64" t="s">
        <v>2158</v>
      </c>
    </row>
    <row r="109" spans="2:37" ht="16.5" customHeight="1">
      <c r="B109" s="12" t="s">
        <v>1737</v>
      </c>
      <c r="C109" s="12" t="str">
        <f t="shared" si="29"/>
        <v>FF019002000093</v>
      </c>
      <c r="D109" s="60" t="s">
        <v>24</v>
      </c>
      <c r="E109" s="60" t="s">
        <v>1740</v>
      </c>
      <c r="F109" s="60" t="s">
        <v>17</v>
      </c>
      <c r="G109" s="60" t="s">
        <v>16</v>
      </c>
      <c r="H109" s="60" t="s">
        <v>16</v>
      </c>
      <c r="I109" s="12" t="str">
        <f t="shared" si="32"/>
        <v>93</v>
      </c>
      <c r="J109" s="12"/>
      <c r="K109" s="12"/>
      <c r="L109" s="12"/>
      <c r="M109" s="12"/>
      <c r="N109" s="12"/>
      <c r="O109" s="12"/>
      <c r="P109" s="12"/>
      <c r="Q109" s="13">
        <f t="shared" si="30"/>
        <v>1</v>
      </c>
      <c r="R109" s="13">
        <f t="shared" si="30"/>
        <v>144</v>
      </c>
      <c r="S109" s="13">
        <f t="shared" si="30"/>
        <v>2</v>
      </c>
      <c r="T109" s="13">
        <f t="shared" si="30"/>
        <v>0</v>
      </c>
      <c r="U109" s="13">
        <f t="shared" si="30"/>
        <v>0</v>
      </c>
      <c r="V109" s="13">
        <f t="shared" si="33"/>
        <v>147</v>
      </c>
      <c r="W109" s="13" t="str">
        <f t="shared" si="34"/>
        <v>93</v>
      </c>
      <c r="X109" s="13">
        <f t="shared" si="35"/>
        <v>293</v>
      </c>
      <c r="Y109" s="13" t="str">
        <f t="shared" si="37"/>
        <v>25</v>
      </c>
      <c r="Z109" s="119"/>
      <c r="AA109" s="119"/>
      <c r="AB109" s="119"/>
      <c r="AC109" s="119"/>
      <c r="AD109" s="119"/>
      <c r="AE109" s="119"/>
      <c r="AF109" s="119"/>
      <c r="AG109" s="119"/>
      <c r="AH109" s="119"/>
      <c r="AJ109" s="64"/>
      <c r="AK109" s="64" t="s">
        <v>2159</v>
      </c>
    </row>
    <row r="110" spans="2:37" ht="16.5" customHeight="1">
      <c r="B110" s="12" t="s">
        <v>1743</v>
      </c>
      <c r="C110" s="12" t="str">
        <f t="shared" si="29"/>
        <v>FF019003000094</v>
      </c>
      <c r="D110" s="60" t="s">
        <v>24</v>
      </c>
      <c r="E110" s="60" t="s">
        <v>1740</v>
      </c>
      <c r="F110" s="60" t="s">
        <v>91</v>
      </c>
      <c r="G110" s="60" t="s">
        <v>16</v>
      </c>
      <c r="H110" s="60" t="s">
        <v>16</v>
      </c>
      <c r="I110" s="12" t="str">
        <f t="shared" si="32"/>
        <v>94</v>
      </c>
      <c r="J110" s="12"/>
      <c r="K110" s="12"/>
      <c r="L110" s="12"/>
      <c r="M110" s="12"/>
      <c r="N110" s="12"/>
      <c r="O110" s="12"/>
      <c r="P110" s="12"/>
      <c r="Q110" s="13">
        <f t="shared" si="30"/>
        <v>1</v>
      </c>
      <c r="R110" s="13">
        <f t="shared" si="30"/>
        <v>144</v>
      </c>
      <c r="S110" s="13">
        <f t="shared" si="30"/>
        <v>3</v>
      </c>
      <c r="T110" s="13">
        <f t="shared" si="30"/>
        <v>0</v>
      </c>
      <c r="U110" s="13">
        <f t="shared" si="30"/>
        <v>0</v>
      </c>
      <c r="V110" s="13">
        <f t="shared" si="33"/>
        <v>148</v>
      </c>
      <c r="W110" s="13" t="str">
        <f t="shared" si="34"/>
        <v>94</v>
      </c>
      <c r="X110" s="13">
        <f t="shared" si="35"/>
        <v>295</v>
      </c>
      <c r="Y110" s="13" t="str">
        <f t="shared" si="37"/>
        <v>27</v>
      </c>
      <c r="Z110" s="119"/>
      <c r="AA110" s="119"/>
      <c r="AB110" s="119"/>
      <c r="AC110" s="119"/>
      <c r="AD110" s="119"/>
      <c r="AE110" s="119"/>
      <c r="AF110" s="119"/>
      <c r="AG110" s="119"/>
      <c r="AH110" s="119"/>
      <c r="AJ110" s="64"/>
      <c r="AK110" s="64" t="s">
        <v>2160</v>
      </c>
    </row>
    <row r="111" spans="2:37" ht="16.5" customHeight="1">
      <c r="B111" s="12" t="s">
        <v>1744</v>
      </c>
      <c r="C111" s="12" t="str">
        <f t="shared" si="29"/>
        <v>FF019003000195</v>
      </c>
      <c r="D111" s="60" t="s">
        <v>24</v>
      </c>
      <c r="E111" s="60" t="s">
        <v>1740</v>
      </c>
      <c r="F111" s="60" t="s">
        <v>91</v>
      </c>
      <c r="G111" s="60" t="s">
        <v>16</v>
      </c>
      <c r="H111" s="60" t="s">
        <v>24</v>
      </c>
      <c r="I111" s="12" t="str">
        <f t="shared" si="32"/>
        <v>95</v>
      </c>
      <c r="J111" s="12"/>
      <c r="K111" s="12"/>
      <c r="L111" s="12"/>
      <c r="M111" s="12"/>
      <c r="N111" s="12"/>
      <c r="O111" s="12"/>
      <c r="P111" s="12"/>
      <c r="Q111" s="13">
        <f t="shared" si="30"/>
        <v>1</v>
      </c>
      <c r="R111" s="13">
        <f t="shared" si="30"/>
        <v>144</v>
      </c>
      <c r="S111" s="13">
        <f t="shared" si="30"/>
        <v>3</v>
      </c>
      <c r="T111" s="13">
        <f t="shared" si="30"/>
        <v>0</v>
      </c>
      <c r="U111" s="13">
        <f t="shared" si="30"/>
        <v>1</v>
      </c>
      <c r="V111" s="13">
        <f t="shared" ref="V111" si="38">SUM(Q111:U111)</f>
        <v>149</v>
      </c>
      <c r="W111" s="13" t="str">
        <f t="shared" si="34"/>
        <v>95</v>
      </c>
      <c r="X111" s="13">
        <f t="shared" si="35"/>
        <v>297</v>
      </c>
      <c r="Y111" s="13" t="str">
        <f t="shared" si="37"/>
        <v>29</v>
      </c>
      <c r="Z111" s="119"/>
      <c r="AA111" s="119"/>
      <c r="AB111" s="119"/>
      <c r="AC111" s="119"/>
      <c r="AD111" s="119"/>
      <c r="AE111" s="119"/>
      <c r="AF111" s="119"/>
      <c r="AG111" s="119"/>
      <c r="AH111" s="119"/>
      <c r="AJ111" s="64"/>
      <c r="AK111" s="64" t="s">
        <v>2161</v>
      </c>
    </row>
    <row r="112" spans="2:37" ht="16.5" customHeight="1">
      <c r="B112" s="12" t="s">
        <v>1738</v>
      </c>
      <c r="C112" s="12" t="str">
        <f t="shared" si="29"/>
        <v>FF019004000095</v>
      </c>
      <c r="D112" s="60" t="s">
        <v>24</v>
      </c>
      <c r="E112" s="60" t="s">
        <v>1740</v>
      </c>
      <c r="F112" s="60" t="s">
        <v>67</v>
      </c>
      <c r="G112" s="60" t="s">
        <v>16</v>
      </c>
      <c r="H112" s="60" t="s">
        <v>16</v>
      </c>
      <c r="I112" s="12" t="str">
        <f t="shared" si="32"/>
        <v>95</v>
      </c>
      <c r="J112" s="12"/>
      <c r="K112" s="12"/>
      <c r="L112" s="12"/>
      <c r="M112" s="12"/>
      <c r="N112" s="12"/>
      <c r="O112" s="12"/>
      <c r="P112" s="12"/>
      <c r="Q112" s="13">
        <f t="shared" si="30"/>
        <v>1</v>
      </c>
      <c r="R112" s="13">
        <f t="shared" si="30"/>
        <v>144</v>
      </c>
      <c r="S112" s="13">
        <f t="shared" si="30"/>
        <v>4</v>
      </c>
      <c r="T112" s="13">
        <f t="shared" si="30"/>
        <v>0</v>
      </c>
      <c r="U112" s="13">
        <f t="shared" si="30"/>
        <v>0</v>
      </c>
      <c r="V112" s="13">
        <f t="shared" si="33"/>
        <v>149</v>
      </c>
      <c r="W112" s="13" t="str">
        <f t="shared" si="34"/>
        <v>95</v>
      </c>
      <c r="X112" s="13">
        <f t="shared" si="35"/>
        <v>297</v>
      </c>
      <c r="Y112" s="13" t="str">
        <f t="shared" si="37"/>
        <v>29</v>
      </c>
      <c r="Z112" s="119"/>
      <c r="AA112" s="119"/>
      <c r="AB112" s="119"/>
      <c r="AC112" s="119"/>
      <c r="AD112" s="119"/>
      <c r="AE112" s="119"/>
      <c r="AF112" s="119"/>
      <c r="AG112" s="119"/>
      <c r="AH112" s="119"/>
      <c r="AJ112" s="64"/>
      <c r="AK112" s="64" t="s">
        <v>2162</v>
      </c>
    </row>
    <row r="113" spans="2:37" ht="16.5" customHeight="1">
      <c r="B113" s="12" t="s">
        <v>1745</v>
      </c>
      <c r="C113" s="12" t="str">
        <f t="shared" si="29"/>
        <v>FF019005000096</v>
      </c>
      <c r="D113" s="60" t="s">
        <v>24</v>
      </c>
      <c r="E113" s="60" t="s">
        <v>1740</v>
      </c>
      <c r="F113" s="60" t="s">
        <v>92</v>
      </c>
      <c r="G113" s="60" t="s">
        <v>16</v>
      </c>
      <c r="H113" s="60" t="s">
        <v>16</v>
      </c>
      <c r="I113" s="12" t="str">
        <f t="shared" si="32"/>
        <v>96</v>
      </c>
      <c r="J113" s="12"/>
      <c r="K113" s="12"/>
      <c r="L113" s="12"/>
      <c r="M113" s="12"/>
      <c r="N113" s="12"/>
      <c r="O113" s="12"/>
      <c r="P113" s="12"/>
      <c r="Q113" s="13">
        <f t="shared" si="30"/>
        <v>1</v>
      </c>
      <c r="R113" s="13">
        <f t="shared" si="30"/>
        <v>144</v>
      </c>
      <c r="S113" s="13">
        <f t="shared" si="30"/>
        <v>5</v>
      </c>
      <c r="T113" s="13">
        <f t="shared" si="30"/>
        <v>0</v>
      </c>
      <c r="U113" s="13">
        <f t="shared" si="30"/>
        <v>0</v>
      </c>
      <c r="V113" s="13">
        <f t="shared" si="33"/>
        <v>150</v>
      </c>
      <c r="W113" s="13" t="str">
        <f t="shared" si="34"/>
        <v>96</v>
      </c>
      <c r="X113" s="13">
        <f t="shared" si="35"/>
        <v>299</v>
      </c>
      <c r="Y113" s="13" t="str">
        <f t="shared" si="37"/>
        <v>2B</v>
      </c>
      <c r="Z113" s="119"/>
      <c r="AA113" s="119"/>
      <c r="AB113" s="119"/>
      <c r="AC113" s="119"/>
      <c r="AD113" s="119"/>
      <c r="AE113" s="119"/>
      <c r="AF113" s="119"/>
      <c r="AH113" s="119"/>
      <c r="AJ113" s="64"/>
      <c r="AK113" s="64" t="s">
        <v>2163</v>
      </c>
    </row>
    <row r="114" spans="2:37" ht="16.5" customHeight="1">
      <c r="B114" s="12" t="s">
        <v>1746</v>
      </c>
      <c r="C114" s="12" t="str">
        <f t="shared" si="29"/>
        <v>FF019005000197</v>
      </c>
      <c r="D114" s="60" t="s">
        <v>24</v>
      </c>
      <c r="E114" s="60" t="s">
        <v>1740</v>
      </c>
      <c r="F114" s="60" t="s">
        <v>92</v>
      </c>
      <c r="G114" s="60" t="s">
        <v>16</v>
      </c>
      <c r="H114" s="60" t="s">
        <v>24</v>
      </c>
      <c r="I114" s="12" t="str">
        <f t="shared" si="32"/>
        <v>97</v>
      </c>
      <c r="J114" s="12"/>
      <c r="K114" s="12"/>
      <c r="L114" s="12"/>
      <c r="M114" s="12"/>
      <c r="N114" s="12"/>
      <c r="O114" s="12"/>
      <c r="P114" s="12"/>
      <c r="Q114" s="13">
        <f t="shared" si="30"/>
        <v>1</v>
      </c>
      <c r="R114" s="13">
        <f t="shared" si="30"/>
        <v>144</v>
      </c>
      <c r="S114" s="13">
        <f t="shared" si="30"/>
        <v>5</v>
      </c>
      <c r="T114" s="13">
        <f t="shared" si="30"/>
        <v>0</v>
      </c>
      <c r="U114" s="13">
        <f t="shared" si="30"/>
        <v>1</v>
      </c>
      <c r="V114" s="13">
        <f t="shared" si="33"/>
        <v>151</v>
      </c>
      <c r="W114" s="13" t="str">
        <f t="shared" si="34"/>
        <v>97</v>
      </c>
      <c r="X114" s="13">
        <f t="shared" si="35"/>
        <v>301</v>
      </c>
      <c r="Y114" s="13" t="str">
        <f t="shared" si="37"/>
        <v>2D</v>
      </c>
      <c r="Z114" s="119"/>
      <c r="AA114" s="119"/>
      <c r="AB114" s="119"/>
      <c r="AC114" s="119"/>
      <c r="AD114" s="119"/>
      <c r="AE114" s="119"/>
      <c r="AF114" s="119"/>
      <c r="AG114" s="119"/>
      <c r="AH114" s="119"/>
      <c r="AJ114" s="64"/>
      <c r="AK114" s="64" t="s">
        <v>2164</v>
      </c>
    </row>
    <row r="115" spans="2:37" ht="16.5" customHeight="1">
      <c r="B115" s="12" t="s">
        <v>1739</v>
      </c>
      <c r="C115" s="12" t="str">
        <f t="shared" si="29"/>
        <v>FF019006000097</v>
      </c>
      <c r="D115" s="60" t="s">
        <v>24</v>
      </c>
      <c r="E115" s="60" t="s">
        <v>1740</v>
      </c>
      <c r="F115" s="60" t="s">
        <v>100</v>
      </c>
      <c r="G115" s="60" t="s">
        <v>16</v>
      </c>
      <c r="H115" s="60" t="s">
        <v>16</v>
      </c>
      <c r="I115" s="12" t="str">
        <f t="shared" si="32"/>
        <v>97</v>
      </c>
      <c r="J115" s="12"/>
      <c r="K115" s="12"/>
      <c r="L115" s="12"/>
      <c r="M115" s="12"/>
      <c r="N115" s="12"/>
      <c r="O115" s="12"/>
      <c r="P115" s="12"/>
      <c r="Q115" s="13">
        <f t="shared" si="30"/>
        <v>1</v>
      </c>
      <c r="R115" s="13">
        <f t="shared" si="30"/>
        <v>144</v>
      </c>
      <c r="S115" s="13">
        <f t="shared" si="30"/>
        <v>6</v>
      </c>
      <c r="T115" s="13">
        <f t="shared" si="30"/>
        <v>0</v>
      </c>
      <c r="U115" s="13">
        <f t="shared" si="30"/>
        <v>0</v>
      </c>
      <c r="V115" s="13">
        <f t="shared" si="33"/>
        <v>151</v>
      </c>
      <c r="W115" s="13" t="str">
        <f t="shared" si="34"/>
        <v>97</v>
      </c>
      <c r="X115" s="13">
        <f t="shared" si="35"/>
        <v>301</v>
      </c>
      <c r="Y115" s="13" t="str">
        <f t="shared" si="37"/>
        <v>2D</v>
      </c>
      <c r="Z115" s="119"/>
      <c r="AA115" s="119"/>
      <c r="AB115" s="119"/>
      <c r="AC115" s="119"/>
      <c r="AD115" s="119"/>
      <c r="AE115" s="119"/>
      <c r="AF115" s="119"/>
      <c r="AG115" s="119"/>
      <c r="AH115" s="119"/>
      <c r="AJ115" s="64"/>
      <c r="AK115" s="64" t="s">
        <v>2165</v>
      </c>
    </row>
    <row r="116" spans="2:37" ht="16.5" customHeight="1">
      <c r="B116" s="111" t="s">
        <v>1747</v>
      </c>
      <c r="C116" s="111" t="str">
        <f t="shared" si="29"/>
        <v>FF01A1100000B2</v>
      </c>
      <c r="D116" s="60" t="s">
        <v>24</v>
      </c>
      <c r="E116" s="60" t="s">
        <v>80</v>
      </c>
      <c r="F116" s="60" t="s">
        <v>109</v>
      </c>
      <c r="G116" s="60" t="s">
        <v>16</v>
      </c>
      <c r="H116" s="60" t="s">
        <v>16</v>
      </c>
      <c r="I116" s="12" t="str">
        <f t="shared" si="32"/>
        <v>B2</v>
      </c>
      <c r="J116" s="12"/>
      <c r="K116" s="12"/>
      <c r="L116" s="12"/>
      <c r="M116" s="12"/>
      <c r="N116" s="12"/>
      <c r="O116" s="12"/>
      <c r="P116" s="12"/>
      <c r="Q116" s="13">
        <f t="shared" si="30"/>
        <v>1</v>
      </c>
      <c r="R116" s="13">
        <f t="shared" si="30"/>
        <v>161</v>
      </c>
      <c r="S116" s="13">
        <f t="shared" si="30"/>
        <v>16</v>
      </c>
      <c r="T116" s="13">
        <f t="shared" si="30"/>
        <v>0</v>
      </c>
      <c r="U116" s="13">
        <f t="shared" si="30"/>
        <v>0</v>
      </c>
      <c r="V116" s="13">
        <f t="shared" si="33"/>
        <v>178</v>
      </c>
      <c r="W116" s="13" t="str">
        <f t="shared" si="34"/>
        <v>B2</v>
      </c>
      <c r="X116" s="13">
        <f t="shared" si="35"/>
        <v>355</v>
      </c>
      <c r="Y116" s="13" t="str">
        <f t="shared" si="37"/>
        <v>63</v>
      </c>
      <c r="Z116" s="119"/>
      <c r="AA116" s="119"/>
      <c r="AB116" s="119"/>
      <c r="AC116" s="119"/>
      <c r="AD116" s="119"/>
      <c r="AE116" s="119"/>
      <c r="AF116" s="119"/>
      <c r="AG116" s="119"/>
      <c r="AH116" s="119"/>
      <c r="AJ116" s="64"/>
      <c r="AK116" s="64" t="s">
        <v>193</v>
      </c>
    </row>
    <row r="117" spans="2:37" ht="17.25">
      <c r="B117" s="12" t="s">
        <v>1748</v>
      </c>
      <c r="C117" s="12" t="str">
        <f t="shared" si="29"/>
        <v>FF01A0110000B2</v>
      </c>
      <c r="D117" s="60" t="s">
        <v>24</v>
      </c>
      <c r="E117" s="60" t="s">
        <v>23</v>
      </c>
      <c r="F117" s="60" t="s">
        <v>110</v>
      </c>
      <c r="G117" s="60" t="s">
        <v>16</v>
      </c>
      <c r="H117" s="60" t="s">
        <v>16</v>
      </c>
      <c r="I117" s="12" t="str">
        <f t="shared" si="32"/>
        <v>B2</v>
      </c>
      <c r="J117" s="12"/>
      <c r="K117" s="12"/>
      <c r="L117" s="12"/>
      <c r="M117" s="12"/>
      <c r="N117" s="12"/>
      <c r="O117" s="12"/>
      <c r="P117" s="12"/>
      <c r="Q117" s="13">
        <f t="shared" si="30"/>
        <v>1</v>
      </c>
      <c r="R117" s="13">
        <f t="shared" si="30"/>
        <v>160</v>
      </c>
      <c r="S117" s="13">
        <f t="shared" si="30"/>
        <v>17</v>
      </c>
      <c r="T117" s="13">
        <f t="shared" si="30"/>
        <v>0</v>
      </c>
      <c r="U117" s="13">
        <f t="shared" si="30"/>
        <v>0</v>
      </c>
      <c r="V117" s="13">
        <f t="shared" si="33"/>
        <v>178</v>
      </c>
      <c r="W117" s="13" t="str">
        <f t="shared" si="34"/>
        <v>B2</v>
      </c>
      <c r="X117" s="13">
        <f t="shared" si="35"/>
        <v>355</v>
      </c>
      <c r="Y117" s="13" t="str">
        <f t="shared" si="37"/>
        <v>63</v>
      </c>
      <c r="Z117" s="119"/>
      <c r="AA117" s="119"/>
      <c r="AB117" s="119"/>
      <c r="AC117" s="119"/>
      <c r="AD117" s="119"/>
      <c r="AE117" s="119"/>
      <c r="AF117" s="119"/>
      <c r="AG117" s="119"/>
      <c r="AH117" s="119"/>
      <c r="AJ117" s="64"/>
      <c r="AK117" s="64" t="s">
        <v>194</v>
      </c>
    </row>
    <row r="118" spans="2:37" ht="16.5" customHeight="1">
      <c r="B118" s="12" t="s">
        <v>1749</v>
      </c>
      <c r="C118" s="12" t="str">
        <f t="shared" si="29"/>
        <v>FF01A0120000B3</v>
      </c>
      <c r="D118" s="60" t="s">
        <v>24</v>
      </c>
      <c r="E118" s="60" t="s">
        <v>23</v>
      </c>
      <c r="F118" s="60" t="s">
        <v>111</v>
      </c>
      <c r="G118" s="60" t="s">
        <v>16</v>
      </c>
      <c r="H118" s="60" t="s">
        <v>16</v>
      </c>
      <c r="I118" s="12" t="str">
        <f t="shared" si="32"/>
        <v>B3</v>
      </c>
      <c r="J118" s="12"/>
      <c r="K118" s="12"/>
      <c r="L118" s="12"/>
      <c r="M118" s="12"/>
      <c r="N118" s="12"/>
      <c r="O118" s="12"/>
      <c r="P118" s="12"/>
      <c r="Q118" s="13">
        <f t="shared" si="30"/>
        <v>1</v>
      </c>
      <c r="R118" s="13">
        <f t="shared" si="30"/>
        <v>160</v>
      </c>
      <c r="S118" s="13">
        <f t="shared" si="30"/>
        <v>18</v>
      </c>
      <c r="T118" s="13">
        <f t="shared" si="30"/>
        <v>0</v>
      </c>
      <c r="U118" s="13">
        <f t="shared" si="30"/>
        <v>0</v>
      </c>
      <c r="V118" s="13">
        <f t="shared" si="33"/>
        <v>179</v>
      </c>
      <c r="W118" s="13" t="str">
        <f t="shared" si="34"/>
        <v>B3</v>
      </c>
      <c r="X118" s="13">
        <f t="shared" si="35"/>
        <v>357</v>
      </c>
      <c r="Y118" s="13" t="str">
        <f t="shared" si="37"/>
        <v>65</v>
      </c>
      <c r="Z118" s="119"/>
      <c r="AA118" s="119"/>
      <c r="AB118" s="119"/>
      <c r="AC118" s="119"/>
      <c r="AD118" s="119"/>
      <c r="AE118" s="119"/>
      <c r="AF118" s="119"/>
      <c r="AG118" s="119"/>
      <c r="AH118" s="119"/>
      <c r="AJ118" s="64"/>
      <c r="AK118" s="64" t="s">
        <v>195</v>
      </c>
    </row>
    <row r="119" spans="2:37" ht="16.5" customHeight="1">
      <c r="B119" s="12" t="s">
        <v>1750</v>
      </c>
      <c r="C119" s="12" t="str">
        <f t="shared" si="29"/>
        <v>FF01A0120001B4</v>
      </c>
      <c r="D119" s="60" t="s">
        <v>24</v>
      </c>
      <c r="E119" s="60" t="s">
        <v>23</v>
      </c>
      <c r="F119" s="60" t="s">
        <v>111</v>
      </c>
      <c r="G119" s="60" t="s">
        <v>16</v>
      </c>
      <c r="H119" s="60" t="s">
        <v>24</v>
      </c>
      <c r="I119" s="12" t="str">
        <f t="shared" si="32"/>
        <v>B4</v>
      </c>
      <c r="J119" s="12"/>
      <c r="K119" s="12"/>
      <c r="L119" s="12"/>
      <c r="M119" s="12"/>
      <c r="N119" s="12"/>
      <c r="O119" s="12"/>
      <c r="P119" s="12"/>
      <c r="Q119" s="13">
        <f t="shared" si="30"/>
        <v>1</v>
      </c>
      <c r="R119" s="13">
        <f t="shared" si="30"/>
        <v>160</v>
      </c>
      <c r="S119" s="13">
        <f t="shared" si="30"/>
        <v>18</v>
      </c>
      <c r="T119" s="13">
        <f t="shared" si="30"/>
        <v>0</v>
      </c>
      <c r="U119" s="13">
        <f t="shared" si="30"/>
        <v>1</v>
      </c>
      <c r="V119" s="13">
        <f t="shared" si="33"/>
        <v>180</v>
      </c>
      <c r="W119" s="13" t="str">
        <f t="shared" si="34"/>
        <v>B4</v>
      </c>
      <c r="X119" s="13">
        <f t="shared" si="35"/>
        <v>359</v>
      </c>
      <c r="Y119" s="13" t="str">
        <f t="shared" si="37"/>
        <v>67</v>
      </c>
      <c r="Z119" s="119"/>
      <c r="AA119" s="119"/>
      <c r="AB119" s="119"/>
      <c r="AC119" s="119"/>
      <c r="AD119" s="119"/>
      <c r="AE119" s="119"/>
      <c r="AF119" s="119"/>
      <c r="AG119" s="119"/>
      <c r="AH119" s="119"/>
      <c r="AJ119" s="64"/>
      <c r="AK119" s="64" t="s">
        <v>2166</v>
      </c>
    </row>
    <row r="120" spans="2:37" ht="16.5" customHeight="1">
      <c r="B120" s="12" t="s">
        <v>1753</v>
      </c>
      <c r="C120" s="12" t="str">
        <f t="shared" si="29"/>
        <v>FF01A01305DC95</v>
      </c>
      <c r="D120" s="60" t="s">
        <v>24</v>
      </c>
      <c r="E120" s="60" t="s">
        <v>23</v>
      </c>
      <c r="F120" s="60" t="s">
        <v>116</v>
      </c>
      <c r="G120" s="60" t="s">
        <v>92</v>
      </c>
      <c r="H120" s="60" t="s">
        <v>1694</v>
      </c>
      <c r="I120" s="12" t="str">
        <f t="shared" si="32"/>
        <v>95</v>
      </c>
      <c r="J120" s="12"/>
      <c r="K120" s="12"/>
      <c r="L120" s="12"/>
      <c r="M120" s="12"/>
      <c r="N120" s="12"/>
      <c r="O120" s="12"/>
      <c r="P120" s="12"/>
      <c r="Q120" s="13">
        <f t="shared" si="30"/>
        <v>1</v>
      </c>
      <c r="R120" s="13">
        <f t="shared" si="30"/>
        <v>160</v>
      </c>
      <c r="S120" s="13">
        <f t="shared" si="30"/>
        <v>19</v>
      </c>
      <c r="T120" s="13">
        <f t="shared" si="30"/>
        <v>5</v>
      </c>
      <c r="U120" s="13">
        <f t="shared" si="30"/>
        <v>220</v>
      </c>
      <c r="V120" s="13">
        <f t="shared" si="33"/>
        <v>405</v>
      </c>
      <c r="W120" s="13" t="str">
        <f t="shared" si="34"/>
        <v>95</v>
      </c>
      <c r="X120" s="13">
        <f t="shared" si="35"/>
        <v>809</v>
      </c>
      <c r="Y120" s="13" t="str">
        <f t="shared" si="37"/>
        <v>29</v>
      </c>
      <c r="Z120" s="119"/>
      <c r="AA120" s="119"/>
      <c r="AB120" s="119"/>
      <c r="AC120" s="119"/>
      <c r="AD120" s="119"/>
      <c r="AE120" s="119"/>
      <c r="AF120" s="119"/>
      <c r="AG120" s="119">
        <v>1500</v>
      </c>
      <c r="AH120" s="119" t="str">
        <f>DEC2HEX(AG120)</f>
        <v>5DC</v>
      </c>
      <c r="AJ120" s="64"/>
      <c r="AK120" s="64" t="s">
        <v>2167</v>
      </c>
    </row>
    <row r="121" spans="2:37" ht="16.5" customHeight="1">
      <c r="B121" s="12" t="s">
        <v>1754</v>
      </c>
      <c r="C121" s="12" t="str">
        <f t="shared" si="29"/>
        <v>FF01A0130BB877</v>
      </c>
      <c r="D121" s="60" t="s">
        <v>24</v>
      </c>
      <c r="E121" s="60" t="s">
        <v>23</v>
      </c>
      <c r="F121" s="60" t="s">
        <v>116</v>
      </c>
      <c r="G121" s="60" t="s">
        <v>1713</v>
      </c>
      <c r="H121" s="60" t="s">
        <v>1363</v>
      </c>
      <c r="I121" s="12" t="str">
        <f t="shared" si="32"/>
        <v>77</v>
      </c>
      <c r="J121" s="12"/>
      <c r="K121" s="12"/>
      <c r="L121" s="12"/>
      <c r="M121" s="12"/>
      <c r="N121" s="12"/>
      <c r="O121" s="12"/>
      <c r="P121" s="12"/>
      <c r="Q121" s="13">
        <f t="shared" si="30"/>
        <v>1</v>
      </c>
      <c r="R121" s="13">
        <f t="shared" si="30"/>
        <v>160</v>
      </c>
      <c r="S121" s="13">
        <f t="shared" si="30"/>
        <v>19</v>
      </c>
      <c r="T121" s="13">
        <f t="shared" si="30"/>
        <v>11</v>
      </c>
      <c r="U121" s="13">
        <f t="shared" si="30"/>
        <v>184</v>
      </c>
      <c r="V121" s="13">
        <f t="shared" si="33"/>
        <v>375</v>
      </c>
      <c r="W121" s="13" t="str">
        <f t="shared" si="34"/>
        <v>77</v>
      </c>
      <c r="X121" s="13">
        <f t="shared" si="35"/>
        <v>749</v>
      </c>
      <c r="Y121" s="13" t="str">
        <f t="shared" si="37"/>
        <v>ED</v>
      </c>
      <c r="Z121" s="119"/>
      <c r="AA121" s="119"/>
      <c r="AB121" s="119"/>
      <c r="AC121" s="119"/>
      <c r="AD121" s="119"/>
      <c r="AE121" s="119"/>
      <c r="AF121" s="119"/>
      <c r="AG121" s="119">
        <v>3000</v>
      </c>
      <c r="AH121" s="119" t="str">
        <f>DEC2HEX(AG121)</f>
        <v>BB8</v>
      </c>
      <c r="AJ121" s="64"/>
      <c r="AK121" s="64" t="s">
        <v>2168</v>
      </c>
    </row>
    <row r="122" spans="2:37" ht="16.5" customHeight="1">
      <c r="B122" s="12" t="s">
        <v>1755</v>
      </c>
      <c r="C122" s="12" t="str">
        <f t="shared" si="29"/>
        <v>FF01A013119459</v>
      </c>
      <c r="D122" s="60" t="s">
        <v>24</v>
      </c>
      <c r="E122" s="60" t="s">
        <v>23</v>
      </c>
      <c r="F122" s="60" t="s">
        <v>116</v>
      </c>
      <c r="G122" s="60" t="s">
        <v>110</v>
      </c>
      <c r="H122" s="60" t="s">
        <v>175</v>
      </c>
      <c r="I122" s="12" t="str">
        <f t="shared" si="32"/>
        <v>59</v>
      </c>
      <c r="J122" s="12"/>
      <c r="K122" s="12"/>
      <c r="L122" s="12"/>
      <c r="M122" s="12"/>
      <c r="N122" s="12"/>
      <c r="O122" s="12"/>
      <c r="P122" s="12"/>
      <c r="Q122" s="13">
        <f t="shared" si="30"/>
        <v>1</v>
      </c>
      <c r="R122" s="13">
        <f t="shared" si="30"/>
        <v>160</v>
      </c>
      <c r="S122" s="13">
        <f t="shared" si="30"/>
        <v>19</v>
      </c>
      <c r="T122" s="13">
        <f t="shared" si="30"/>
        <v>17</v>
      </c>
      <c r="U122" s="13">
        <f t="shared" si="30"/>
        <v>148</v>
      </c>
      <c r="V122" s="13">
        <f t="shared" si="33"/>
        <v>345</v>
      </c>
      <c r="W122" s="13" t="str">
        <f t="shared" si="34"/>
        <v>59</v>
      </c>
      <c r="X122" s="13">
        <f t="shared" si="35"/>
        <v>689</v>
      </c>
      <c r="Y122" s="13" t="str">
        <f t="shared" si="37"/>
        <v>B1</v>
      </c>
      <c r="Z122" s="119"/>
      <c r="AA122" s="119"/>
      <c r="AB122" s="119"/>
      <c r="AC122" s="119"/>
      <c r="AD122" s="119"/>
      <c r="AE122" s="119"/>
      <c r="AF122" s="119"/>
      <c r="AG122" s="119">
        <v>4500</v>
      </c>
      <c r="AH122" s="119" t="str">
        <f>DEC2HEX(AG122)</f>
        <v>1194</v>
      </c>
      <c r="AJ122" s="64"/>
      <c r="AK122" s="64" t="s">
        <v>2169</v>
      </c>
    </row>
    <row r="123" spans="2:37" ht="16.5" customHeight="1">
      <c r="B123" s="12" t="s">
        <v>1751</v>
      </c>
      <c r="C123" s="12" t="str">
        <f t="shared" si="29"/>
        <v>FF01A01317703B</v>
      </c>
      <c r="D123" s="60" t="s">
        <v>24</v>
      </c>
      <c r="E123" s="60" t="s">
        <v>23</v>
      </c>
      <c r="F123" s="60" t="s">
        <v>116</v>
      </c>
      <c r="G123" s="60" t="s">
        <v>131</v>
      </c>
      <c r="H123" s="60" t="s">
        <v>1722</v>
      </c>
      <c r="I123" s="12" t="str">
        <f t="shared" si="32"/>
        <v>3B</v>
      </c>
      <c r="J123" s="12"/>
      <c r="K123" s="12"/>
      <c r="L123" s="12"/>
      <c r="M123" s="12"/>
      <c r="N123" s="12"/>
      <c r="O123" s="12"/>
      <c r="P123" s="12"/>
      <c r="Q123" s="13">
        <f t="shared" si="30"/>
        <v>1</v>
      </c>
      <c r="R123" s="13">
        <f t="shared" si="30"/>
        <v>160</v>
      </c>
      <c r="S123" s="13">
        <f t="shared" si="30"/>
        <v>19</v>
      </c>
      <c r="T123" s="13">
        <f t="shared" si="30"/>
        <v>23</v>
      </c>
      <c r="U123" s="13">
        <f t="shared" si="30"/>
        <v>112</v>
      </c>
      <c r="V123" s="13">
        <f t="shared" si="33"/>
        <v>315</v>
      </c>
      <c r="W123" s="13" t="str">
        <f t="shared" si="34"/>
        <v>3B</v>
      </c>
      <c r="X123" s="13">
        <f t="shared" si="35"/>
        <v>629</v>
      </c>
      <c r="Y123" s="13" t="str">
        <f t="shared" si="37"/>
        <v>75</v>
      </c>
      <c r="Z123" s="119"/>
      <c r="AA123" s="119"/>
      <c r="AB123" s="119"/>
      <c r="AC123" s="119"/>
      <c r="AD123" s="119"/>
      <c r="AE123" s="119"/>
      <c r="AF123" s="119"/>
      <c r="AG123" s="119">
        <v>6000</v>
      </c>
      <c r="AH123" s="119" t="str">
        <f>DEC2HEX(AG123)</f>
        <v>1770</v>
      </c>
      <c r="AJ123" s="64"/>
      <c r="AK123" s="64" t="s">
        <v>2170</v>
      </c>
    </row>
    <row r="124" spans="2:37" ht="16.5" customHeight="1">
      <c r="B124" s="12" t="s">
        <v>1756</v>
      </c>
      <c r="C124" s="12" t="str">
        <f t="shared" si="29"/>
        <v>FF01A014F92AD8</v>
      </c>
      <c r="D124" s="60" t="s">
        <v>24</v>
      </c>
      <c r="E124" s="60" t="s">
        <v>23</v>
      </c>
      <c r="F124" s="60" t="s">
        <v>62</v>
      </c>
      <c r="G124" s="60" t="s">
        <v>1759</v>
      </c>
      <c r="H124" s="60" t="s">
        <v>173</v>
      </c>
      <c r="I124" s="12" t="str">
        <f t="shared" si="32"/>
        <v>D8</v>
      </c>
      <c r="J124" s="12"/>
      <c r="K124" s="12"/>
      <c r="L124" s="12"/>
      <c r="M124" s="12"/>
      <c r="N124" s="12"/>
      <c r="O124" s="12"/>
      <c r="P124" s="12"/>
      <c r="Q124" s="13">
        <f t="shared" si="30"/>
        <v>1</v>
      </c>
      <c r="R124" s="13">
        <f t="shared" si="30"/>
        <v>160</v>
      </c>
      <c r="S124" s="13">
        <f t="shared" si="30"/>
        <v>20</v>
      </c>
      <c r="T124" s="13">
        <f t="shared" si="30"/>
        <v>249</v>
      </c>
      <c r="U124" s="13">
        <f t="shared" si="30"/>
        <v>42</v>
      </c>
      <c r="V124" s="13">
        <f t="shared" si="33"/>
        <v>472</v>
      </c>
      <c r="W124" s="13" t="str">
        <f t="shared" si="34"/>
        <v>D8</v>
      </c>
      <c r="X124" s="13">
        <f t="shared" si="35"/>
        <v>943</v>
      </c>
      <c r="Y124" s="13" t="str">
        <f t="shared" si="37"/>
        <v>AF</v>
      </c>
      <c r="Z124" s="119"/>
      <c r="AA124" s="119"/>
      <c r="AB124" s="119"/>
      <c r="AC124" s="119"/>
      <c r="AD124" s="119"/>
      <c r="AE124" s="119"/>
      <c r="AF124" s="119"/>
      <c r="AG124" s="119">
        <v>-1750</v>
      </c>
      <c r="AH124" s="119"/>
      <c r="AI124" s="119" t="str">
        <f>TEXT(DEC2HEX(65536 + AG124), "0000")</f>
        <v>F92A</v>
      </c>
      <c r="AJ124" s="64"/>
      <c r="AK124" s="64" t="s">
        <v>2171</v>
      </c>
    </row>
    <row r="125" spans="2:37" ht="16.5" customHeight="1">
      <c r="B125" s="12" t="s">
        <v>1757</v>
      </c>
      <c r="C125" s="12" t="str">
        <f t="shared" si="29"/>
        <v>FF01A014F254FB</v>
      </c>
      <c r="D125" s="60" t="s">
        <v>24</v>
      </c>
      <c r="E125" s="60" t="s">
        <v>23</v>
      </c>
      <c r="F125" s="60" t="s">
        <v>62</v>
      </c>
      <c r="G125" s="60" t="s">
        <v>1760</v>
      </c>
      <c r="H125" s="60" t="s">
        <v>1386</v>
      </c>
      <c r="I125" s="12" t="str">
        <f t="shared" si="32"/>
        <v>FB</v>
      </c>
      <c r="J125" s="12"/>
      <c r="K125" s="12"/>
      <c r="L125" s="12"/>
      <c r="M125" s="12"/>
      <c r="N125" s="12"/>
      <c r="O125" s="12"/>
      <c r="P125" s="12"/>
      <c r="Q125" s="13">
        <f t="shared" si="30"/>
        <v>1</v>
      </c>
      <c r="R125" s="13">
        <f t="shared" si="30"/>
        <v>160</v>
      </c>
      <c r="S125" s="13">
        <f t="shared" si="30"/>
        <v>20</v>
      </c>
      <c r="T125" s="13">
        <f t="shared" si="30"/>
        <v>242</v>
      </c>
      <c r="U125" s="13">
        <f t="shared" si="30"/>
        <v>84</v>
      </c>
      <c r="V125" s="13">
        <f t="shared" ref="V125:V133" si="39">SUM(Q125:U125)</f>
        <v>507</v>
      </c>
      <c r="W125" s="13" t="str">
        <f t="shared" si="34"/>
        <v>FB</v>
      </c>
      <c r="X125" s="13">
        <f t="shared" si="35"/>
        <v>1013</v>
      </c>
      <c r="Y125" s="13" t="str">
        <f t="shared" si="37"/>
        <v>F5</v>
      </c>
      <c r="Z125" s="119"/>
      <c r="AA125" s="119"/>
      <c r="AB125" s="119"/>
      <c r="AC125" s="119"/>
      <c r="AD125" s="119"/>
      <c r="AE125" s="119"/>
      <c r="AF125" s="119"/>
      <c r="AG125" s="119">
        <v>-3500</v>
      </c>
      <c r="AH125" s="119"/>
      <c r="AI125" s="119" t="str">
        <f>TEXT(DEC2HEX(65536 + AG125), "0000")</f>
        <v>F254</v>
      </c>
      <c r="AJ125" s="64"/>
      <c r="AK125" s="64" t="s">
        <v>2172</v>
      </c>
    </row>
    <row r="126" spans="2:37" ht="16.5" customHeight="1">
      <c r="B126" s="12" t="s">
        <v>1758</v>
      </c>
      <c r="C126" s="12" t="str">
        <f t="shared" si="29"/>
        <v>FF01A014EB7E1E</v>
      </c>
      <c r="D126" s="60" t="s">
        <v>24</v>
      </c>
      <c r="E126" s="60" t="s">
        <v>23</v>
      </c>
      <c r="F126" s="60" t="s">
        <v>62</v>
      </c>
      <c r="G126" s="60" t="s">
        <v>1761</v>
      </c>
      <c r="H126" s="60" t="s">
        <v>1762</v>
      </c>
      <c r="I126" s="12" t="str">
        <f t="shared" si="32"/>
        <v>1E</v>
      </c>
      <c r="J126" s="12"/>
      <c r="K126" s="12"/>
      <c r="L126" s="12"/>
      <c r="M126" s="12"/>
      <c r="N126" s="12"/>
      <c r="O126" s="12"/>
      <c r="P126" s="12"/>
      <c r="Q126" s="13">
        <f t="shared" si="30"/>
        <v>1</v>
      </c>
      <c r="R126" s="13">
        <f t="shared" si="30"/>
        <v>160</v>
      </c>
      <c r="S126" s="13">
        <f t="shared" si="30"/>
        <v>20</v>
      </c>
      <c r="T126" s="13">
        <f t="shared" si="30"/>
        <v>235</v>
      </c>
      <c r="U126" s="13">
        <f t="shared" si="30"/>
        <v>126</v>
      </c>
      <c r="V126" s="13">
        <f t="shared" si="39"/>
        <v>542</v>
      </c>
      <c r="W126" s="13" t="str">
        <f t="shared" si="34"/>
        <v>1E</v>
      </c>
      <c r="X126" s="13">
        <f t="shared" si="35"/>
        <v>1083</v>
      </c>
      <c r="Y126" s="13" t="str">
        <f t="shared" si="37"/>
        <v>3B</v>
      </c>
      <c r="Z126" s="119"/>
      <c r="AA126" s="119"/>
      <c r="AB126" s="119"/>
      <c r="AC126" s="119"/>
      <c r="AD126" s="119"/>
      <c r="AE126" s="119"/>
      <c r="AF126" s="119"/>
      <c r="AG126" s="119">
        <v>-5250</v>
      </c>
      <c r="AH126" s="119"/>
      <c r="AI126" s="119" t="str">
        <f>TEXT(DEC2HEX(65536 + AG126), "0000")</f>
        <v>EB7E</v>
      </c>
      <c r="AJ126" s="64"/>
      <c r="AK126" s="64" t="s">
        <v>2173</v>
      </c>
    </row>
    <row r="127" spans="2:37" ht="16.5" customHeight="1">
      <c r="B127" s="12" t="s">
        <v>1752</v>
      </c>
      <c r="C127" s="12" t="str">
        <f t="shared" si="29"/>
        <v>FF01A014E4A841</v>
      </c>
      <c r="D127" s="60" t="s">
        <v>24</v>
      </c>
      <c r="E127" s="60" t="s">
        <v>23</v>
      </c>
      <c r="F127" s="60" t="s">
        <v>62</v>
      </c>
      <c r="G127" s="60" t="s">
        <v>1724</v>
      </c>
      <c r="H127" s="60" t="s">
        <v>1725</v>
      </c>
      <c r="I127" s="12" t="str">
        <f t="shared" si="32"/>
        <v>41</v>
      </c>
      <c r="J127" s="12"/>
      <c r="K127" s="12"/>
      <c r="L127" s="12"/>
      <c r="M127" s="12"/>
      <c r="N127" s="12"/>
      <c r="O127" s="12"/>
      <c r="P127" s="12"/>
      <c r="Q127" s="13">
        <f t="shared" si="30"/>
        <v>1</v>
      </c>
      <c r="R127" s="13">
        <f t="shared" si="30"/>
        <v>160</v>
      </c>
      <c r="S127" s="13">
        <f t="shared" si="30"/>
        <v>20</v>
      </c>
      <c r="T127" s="13">
        <f t="shared" si="30"/>
        <v>228</v>
      </c>
      <c r="U127" s="13">
        <f t="shared" si="30"/>
        <v>168</v>
      </c>
      <c r="V127" s="13">
        <f t="shared" si="39"/>
        <v>577</v>
      </c>
      <c r="W127" s="13" t="str">
        <f t="shared" si="34"/>
        <v>41</v>
      </c>
      <c r="X127" s="13">
        <f t="shared" si="35"/>
        <v>1153</v>
      </c>
      <c r="Y127" s="13" t="str">
        <f t="shared" si="37"/>
        <v>81</v>
      </c>
      <c r="Z127" s="119"/>
      <c r="AA127" s="119"/>
      <c r="AB127" s="119"/>
      <c r="AC127" s="119"/>
      <c r="AD127" s="119"/>
      <c r="AE127" s="119"/>
      <c r="AF127" s="119"/>
      <c r="AG127" s="119">
        <v>-7000</v>
      </c>
      <c r="AH127" s="119"/>
      <c r="AI127" s="119" t="str">
        <f>TEXT(DEC2HEX(65536 + AG127), "0000")</f>
        <v>E4A8</v>
      </c>
      <c r="AJ127" s="64"/>
      <c r="AK127" s="64" t="s">
        <v>2174</v>
      </c>
    </row>
    <row r="128" spans="2:37" ht="16.5" customHeight="1">
      <c r="B128" s="111" t="s">
        <v>1763</v>
      </c>
      <c r="C128" s="111" t="str">
        <f t="shared" si="29"/>
        <v>FF01A1200000C2</v>
      </c>
      <c r="D128" s="60" t="s">
        <v>24</v>
      </c>
      <c r="E128" s="60" t="s">
        <v>80</v>
      </c>
      <c r="F128" s="60" t="s">
        <v>133</v>
      </c>
      <c r="G128" s="60" t="s">
        <v>16</v>
      </c>
      <c r="H128" s="60" t="s">
        <v>16</v>
      </c>
      <c r="I128" s="12" t="str">
        <f t="shared" si="32"/>
        <v>C2</v>
      </c>
      <c r="J128" s="12"/>
      <c r="K128" s="12"/>
      <c r="L128" s="12"/>
      <c r="M128" s="12"/>
      <c r="N128" s="12"/>
      <c r="O128" s="12"/>
      <c r="P128" s="12"/>
      <c r="Q128" s="13">
        <f t="shared" si="30"/>
        <v>1</v>
      </c>
      <c r="R128" s="13">
        <f t="shared" si="30"/>
        <v>161</v>
      </c>
      <c r="S128" s="13">
        <f t="shared" si="30"/>
        <v>32</v>
      </c>
      <c r="T128" s="13">
        <f t="shared" si="30"/>
        <v>0</v>
      </c>
      <c r="U128" s="13">
        <f t="shared" si="30"/>
        <v>0</v>
      </c>
      <c r="V128" s="13">
        <f t="shared" si="39"/>
        <v>194</v>
      </c>
      <c r="W128" s="13" t="str">
        <f t="shared" si="34"/>
        <v>C2</v>
      </c>
      <c r="X128" s="13">
        <f t="shared" si="35"/>
        <v>387</v>
      </c>
      <c r="Y128" s="13" t="str">
        <f t="shared" si="37"/>
        <v>83</v>
      </c>
      <c r="Z128" s="119"/>
      <c r="AA128" s="119"/>
      <c r="AB128" s="119"/>
      <c r="AC128" s="119"/>
      <c r="AD128" s="119"/>
      <c r="AE128" s="119"/>
      <c r="AF128" s="119"/>
      <c r="AG128" s="119"/>
      <c r="AH128" s="119"/>
      <c r="AJ128" s="64"/>
      <c r="AK128" s="64" t="s">
        <v>227</v>
      </c>
    </row>
    <row r="129" spans="2:37" ht="16.5" customHeight="1">
      <c r="B129" s="12" t="s">
        <v>1765</v>
      </c>
      <c r="C129" s="12" t="str">
        <f t="shared" si="29"/>
        <v>FF01A0210000C2</v>
      </c>
      <c r="D129" s="60" t="s">
        <v>24</v>
      </c>
      <c r="E129" s="60" t="s">
        <v>23</v>
      </c>
      <c r="F129" s="60" t="s">
        <v>18</v>
      </c>
      <c r="G129" s="60" t="s">
        <v>16</v>
      </c>
      <c r="H129" s="60" t="s">
        <v>16</v>
      </c>
      <c r="I129" s="12" t="str">
        <f t="shared" si="32"/>
        <v>C2</v>
      </c>
      <c r="J129" s="12"/>
      <c r="K129" s="12"/>
      <c r="L129" s="12"/>
      <c r="M129" s="12"/>
      <c r="N129" s="12"/>
      <c r="O129" s="12"/>
      <c r="P129" s="12"/>
      <c r="Q129" s="13">
        <f t="shared" si="30"/>
        <v>1</v>
      </c>
      <c r="R129" s="13">
        <f t="shared" ref="R129:U192" si="40">HEX2DEC(E129)</f>
        <v>160</v>
      </c>
      <c r="S129" s="13">
        <f t="shared" si="40"/>
        <v>33</v>
      </c>
      <c r="T129" s="13">
        <f t="shared" si="40"/>
        <v>0</v>
      </c>
      <c r="U129" s="13">
        <f t="shared" si="40"/>
        <v>0</v>
      </c>
      <c r="V129" s="13">
        <f t="shared" si="39"/>
        <v>194</v>
      </c>
      <c r="W129" s="13" t="str">
        <f t="shared" si="34"/>
        <v>C2</v>
      </c>
      <c r="X129" s="13">
        <f t="shared" si="35"/>
        <v>387</v>
      </c>
      <c r="Y129" s="13" t="str">
        <f t="shared" si="37"/>
        <v>83</v>
      </c>
      <c r="Z129" s="119"/>
      <c r="AA129" s="119"/>
      <c r="AB129" s="119"/>
      <c r="AC129" s="119"/>
      <c r="AD129" s="119"/>
      <c r="AE129" s="119"/>
      <c r="AF129" s="119"/>
      <c r="AG129" s="119"/>
      <c r="AH129" s="119"/>
      <c r="AJ129" s="64"/>
      <c r="AK129" s="64" t="s">
        <v>228</v>
      </c>
    </row>
    <row r="130" spans="2:37" ht="16.5" customHeight="1">
      <c r="B130" s="12" t="s">
        <v>1764</v>
      </c>
      <c r="C130" s="12" t="str">
        <f t="shared" si="29"/>
        <v>FF01A0210001C3</v>
      </c>
      <c r="D130" s="60" t="s">
        <v>24</v>
      </c>
      <c r="E130" s="60" t="s">
        <v>23</v>
      </c>
      <c r="F130" s="60" t="s">
        <v>18</v>
      </c>
      <c r="G130" s="60" t="s">
        <v>16</v>
      </c>
      <c r="H130" s="60" t="s">
        <v>24</v>
      </c>
      <c r="I130" s="12" t="str">
        <f t="shared" si="32"/>
        <v>C3</v>
      </c>
      <c r="J130" s="12"/>
      <c r="K130" s="12"/>
      <c r="L130" s="12"/>
      <c r="M130" s="12"/>
      <c r="N130" s="12"/>
      <c r="O130" s="12"/>
      <c r="P130" s="12"/>
      <c r="Q130" s="13">
        <f t="shared" ref="Q130:T195" si="41">HEX2DEC(D130)</f>
        <v>1</v>
      </c>
      <c r="R130" s="13">
        <f t="shared" si="40"/>
        <v>160</v>
      </c>
      <c r="S130" s="13">
        <f t="shared" si="40"/>
        <v>33</v>
      </c>
      <c r="T130" s="13">
        <f t="shared" si="40"/>
        <v>0</v>
      </c>
      <c r="U130" s="13">
        <f t="shared" si="40"/>
        <v>1</v>
      </c>
      <c r="V130" s="13">
        <f t="shared" si="39"/>
        <v>195</v>
      </c>
      <c r="W130" s="13" t="str">
        <f t="shared" si="34"/>
        <v>C3</v>
      </c>
      <c r="X130" s="13">
        <f t="shared" si="35"/>
        <v>389</v>
      </c>
      <c r="Y130" s="13" t="str">
        <f t="shared" si="37"/>
        <v>85</v>
      </c>
      <c r="Z130" s="119"/>
      <c r="AA130" s="119"/>
      <c r="AB130" s="119"/>
      <c r="AC130" s="119"/>
      <c r="AD130" s="119"/>
      <c r="AE130" s="119"/>
      <c r="AF130" s="119"/>
      <c r="AG130" s="119"/>
      <c r="AH130" s="119"/>
      <c r="AJ130" s="64"/>
      <c r="AK130" s="64" t="s">
        <v>229</v>
      </c>
    </row>
    <row r="131" spans="2:37" ht="16.5" customHeight="1">
      <c r="B131" s="12" t="s">
        <v>2067</v>
      </c>
      <c r="C131" s="12" t="str">
        <f t="shared" si="29"/>
        <v>FF03A0210000C4</v>
      </c>
      <c r="D131" s="60" t="s">
        <v>91</v>
      </c>
      <c r="E131" s="60" t="s">
        <v>23</v>
      </c>
      <c r="F131" s="60" t="s">
        <v>18</v>
      </c>
      <c r="G131" s="60" t="s">
        <v>16</v>
      </c>
      <c r="H131" s="60" t="s">
        <v>16</v>
      </c>
      <c r="I131" s="12" t="str">
        <f t="shared" si="32"/>
        <v>C4</v>
      </c>
      <c r="J131" s="12"/>
      <c r="K131" s="12"/>
      <c r="L131" s="12"/>
      <c r="M131" s="12"/>
      <c r="N131" s="12"/>
      <c r="O131" s="12"/>
      <c r="P131" s="12"/>
      <c r="Q131" s="13">
        <f t="shared" si="41"/>
        <v>3</v>
      </c>
      <c r="R131" s="13">
        <f t="shared" si="40"/>
        <v>160</v>
      </c>
      <c r="S131" s="13">
        <f t="shared" si="40"/>
        <v>33</v>
      </c>
      <c r="T131" s="13">
        <f t="shared" si="40"/>
        <v>0</v>
      </c>
      <c r="U131" s="13">
        <f t="shared" si="40"/>
        <v>0</v>
      </c>
      <c r="V131" s="13">
        <f t="shared" si="39"/>
        <v>196</v>
      </c>
      <c r="W131" s="13" t="str">
        <f t="shared" si="34"/>
        <v>C4</v>
      </c>
      <c r="X131" s="13">
        <f t="shared" si="35"/>
        <v>389</v>
      </c>
      <c r="Y131" s="13" t="str">
        <f t="shared" si="37"/>
        <v>85</v>
      </c>
      <c r="Z131" s="119"/>
      <c r="AA131" s="119"/>
      <c r="AB131" s="119"/>
      <c r="AC131" s="119"/>
      <c r="AD131" s="119"/>
      <c r="AE131" s="119"/>
      <c r="AF131" s="119"/>
      <c r="AG131" s="119"/>
      <c r="AH131" s="119"/>
      <c r="AJ131" s="64"/>
      <c r="AK131" s="64" t="s">
        <v>2175</v>
      </c>
    </row>
    <row r="132" spans="2:37" ht="16.5" customHeight="1">
      <c r="B132" s="12" t="s">
        <v>2068</v>
      </c>
      <c r="C132" s="12" t="str">
        <f t="shared" si="29"/>
        <v>FF03A0210001C5</v>
      </c>
      <c r="D132" s="60" t="s">
        <v>91</v>
      </c>
      <c r="E132" s="60" t="s">
        <v>23</v>
      </c>
      <c r="F132" s="60" t="s">
        <v>18</v>
      </c>
      <c r="G132" s="60" t="s">
        <v>16</v>
      </c>
      <c r="H132" s="60" t="s">
        <v>24</v>
      </c>
      <c r="I132" s="12" t="str">
        <f t="shared" si="32"/>
        <v>C5</v>
      </c>
      <c r="J132" s="12"/>
      <c r="K132" s="12"/>
      <c r="L132" s="12"/>
      <c r="M132" s="12"/>
      <c r="N132" s="12"/>
      <c r="O132" s="12"/>
      <c r="P132" s="12"/>
      <c r="Q132" s="13">
        <f t="shared" si="41"/>
        <v>3</v>
      </c>
      <c r="R132" s="13">
        <f t="shared" si="40"/>
        <v>160</v>
      </c>
      <c r="S132" s="13">
        <f t="shared" si="40"/>
        <v>33</v>
      </c>
      <c r="T132" s="13">
        <f t="shared" si="40"/>
        <v>0</v>
      </c>
      <c r="U132" s="13">
        <f t="shared" si="40"/>
        <v>1</v>
      </c>
      <c r="V132" s="13">
        <f t="shared" si="39"/>
        <v>197</v>
      </c>
      <c r="W132" s="13" t="str">
        <f t="shared" si="34"/>
        <v>C5</v>
      </c>
      <c r="X132" s="13">
        <f t="shared" si="35"/>
        <v>391</v>
      </c>
      <c r="Y132" s="13" t="str">
        <f t="shared" si="37"/>
        <v>87</v>
      </c>
      <c r="Z132" s="119"/>
      <c r="AA132" s="119"/>
      <c r="AB132" s="119"/>
      <c r="AC132" s="119"/>
      <c r="AD132" s="119"/>
      <c r="AE132" s="119"/>
      <c r="AF132" s="119"/>
      <c r="AG132" s="119"/>
      <c r="AH132" s="119"/>
      <c r="AJ132" s="64"/>
      <c r="AK132" s="64" t="s">
        <v>2176</v>
      </c>
    </row>
    <row r="133" spans="2:37" ht="15" customHeight="1">
      <c r="B133" s="12" t="s">
        <v>1766</v>
      </c>
      <c r="C133" s="12" t="str">
        <f t="shared" si="29"/>
        <v>FF01A0220000C3</v>
      </c>
      <c r="D133" s="60" t="s">
        <v>24</v>
      </c>
      <c r="E133" s="60" t="s">
        <v>23</v>
      </c>
      <c r="F133" s="60" t="s">
        <v>49</v>
      </c>
      <c r="G133" s="60" t="s">
        <v>16</v>
      </c>
      <c r="H133" s="60" t="s">
        <v>16</v>
      </c>
      <c r="I133" s="12" t="str">
        <f t="shared" si="32"/>
        <v>C3</v>
      </c>
      <c r="J133" s="12"/>
      <c r="K133" s="12"/>
      <c r="L133" s="12"/>
      <c r="M133" s="12"/>
      <c r="N133" s="12"/>
      <c r="O133" s="12"/>
      <c r="P133" s="12"/>
      <c r="Q133" s="13">
        <f t="shared" si="41"/>
        <v>1</v>
      </c>
      <c r="R133" s="13">
        <f t="shared" si="40"/>
        <v>160</v>
      </c>
      <c r="S133" s="13">
        <f t="shared" si="40"/>
        <v>34</v>
      </c>
      <c r="T133" s="13">
        <f t="shared" si="40"/>
        <v>0</v>
      </c>
      <c r="U133" s="13">
        <f t="shared" si="40"/>
        <v>0</v>
      </c>
      <c r="V133" s="13">
        <f t="shared" si="39"/>
        <v>195</v>
      </c>
      <c r="W133" s="13" t="str">
        <f t="shared" si="34"/>
        <v>C3</v>
      </c>
      <c r="X133" s="13">
        <f t="shared" si="35"/>
        <v>389</v>
      </c>
      <c r="Y133" s="13" t="str">
        <f t="shared" si="37"/>
        <v>85</v>
      </c>
      <c r="Z133" s="119"/>
      <c r="AA133" s="119"/>
      <c r="AB133" s="119"/>
      <c r="AC133" s="119"/>
      <c r="AD133" s="119"/>
      <c r="AE133" s="119"/>
      <c r="AF133" s="119"/>
      <c r="AG133" s="119"/>
      <c r="AH133" s="119"/>
      <c r="AJ133" s="64"/>
      <c r="AK133" s="64" t="s">
        <v>230</v>
      </c>
    </row>
    <row r="134" spans="2:37" ht="16.5" customHeight="1">
      <c r="B134" s="12" t="s">
        <v>1767</v>
      </c>
      <c r="C134" s="12" t="str">
        <f t="shared" si="29"/>
        <v>FF01A0220001C4</v>
      </c>
      <c r="D134" s="60" t="s">
        <v>24</v>
      </c>
      <c r="E134" s="60" t="s">
        <v>23</v>
      </c>
      <c r="F134" s="60" t="s">
        <v>49</v>
      </c>
      <c r="G134" s="60" t="s">
        <v>16</v>
      </c>
      <c r="H134" s="60" t="s">
        <v>24</v>
      </c>
      <c r="I134" s="12" t="str">
        <f t="shared" si="32"/>
        <v>C4</v>
      </c>
      <c r="J134" s="12"/>
      <c r="K134" s="12"/>
      <c r="L134" s="12"/>
      <c r="M134" s="12"/>
      <c r="N134" s="12"/>
      <c r="O134" s="12"/>
      <c r="P134" s="12"/>
      <c r="Q134" s="13">
        <f t="shared" si="41"/>
        <v>1</v>
      </c>
      <c r="R134" s="13">
        <f t="shared" si="40"/>
        <v>160</v>
      </c>
      <c r="S134" s="13">
        <f t="shared" si="40"/>
        <v>34</v>
      </c>
      <c r="T134" s="13">
        <f t="shared" si="40"/>
        <v>0</v>
      </c>
      <c r="U134" s="13">
        <f t="shared" si="40"/>
        <v>1</v>
      </c>
      <c r="V134" s="13">
        <f t="shared" ref="V134:V143" si="42">SUM(Q134:U134)</f>
        <v>196</v>
      </c>
      <c r="W134" s="13" t="str">
        <f t="shared" si="34"/>
        <v>C4</v>
      </c>
      <c r="X134" s="13">
        <f t="shared" si="35"/>
        <v>391</v>
      </c>
      <c r="Y134" s="13" t="str">
        <f t="shared" si="37"/>
        <v>87</v>
      </c>
      <c r="Z134" s="119"/>
      <c r="AA134" s="119"/>
      <c r="AB134" s="119"/>
      <c r="AC134" s="119"/>
      <c r="AD134" s="119"/>
      <c r="AE134" s="119"/>
      <c r="AF134" s="119"/>
      <c r="AG134" s="119"/>
      <c r="AH134" s="119"/>
      <c r="AJ134" s="64"/>
      <c r="AK134" s="64" t="s">
        <v>231</v>
      </c>
    </row>
    <row r="135" spans="2:37" ht="16.5" customHeight="1">
      <c r="B135" s="12" t="s">
        <v>2074</v>
      </c>
      <c r="C135" s="12" t="str">
        <f t="shared" si="29"/>
        <v>FF02A0230000C5</v>
      </c>
      <c r="D135" s="60" t="s">
        <v>17</v>
      </c>
      <c r="E135" s="60" t="s">
        <v>23</v>
      </c>
      <c r="F135" s="60" t="s">
        <v>1692</v>
      </c>
      <c r="G135" s="60" t="s">
        <v>16</v>
      </c>
      <c r="H135" s="60" t="s">
        <v>16</v>
      </c>
      <c r="I135" s="12" t="str">
        <f t="shared" si="32"/>
        <v>C5</v>
      </c>
      <c r="J135" s="12"/>
      <c r="K135" s="12"/>
      <c r="L135" s="12"/>
      <c r="M135" s="12"/>
      <c r="N135" s="12"/>
      <c r="O135" s="12"/>
      <c r="P135" s="12"/>
      <c r="Q135" s="13">
        <f t="shared" si="41"/>
        <v>2</v>
      </c>
      <c r="R135" s="13">
        <f t="shared" si="40"/>
        <v>160</v>
      </c>
      <c r="S135" s="13">
        <f t="shared" si="40"/>
        <v>35</v>
      </c>
      <c r="T135" s="13">
        <f t="shared" si="40"/>
        <v>0</v>
      </c>
      <c r="U135" s="13">
        <f t="shared" si="40"/>
        <v>0</v>
      </c>
      <c r="V135" s="13">
        <f t="shared" si="42"/>
        <v>197</v>
      </c>
      <c r="W135" s="13" t="str">
        <f t="shared" si="34"/>
        <v>C5</v>
      </c>
      <c r="X135" s="13">
        <f t="shared" si="35"/>
        <v>392</v>
      </c>
      <c r="Y135" s="13" t="str">
        <f t="shared" si="37"/>
        <v>88</v>
      </c>
      <c r="Z135" s="119"/>
      <c r="AA135" s="119"/>
      <c r="AB135" s="119"/>
      <c r="AC135" s="119"/>
      <c r="AD135" s="119"/>
      <c r="AE135" s="119"/>
      <c r="AF135" s="119"/>
      <c r="AG135" s="119"/>
      <c r="AH135" s="119"/>
      <c r="AJ135" s="64"/>
      <c r="AK135" s="64" t="s">
        <v>2177</v>
      </c>
    </row>
    <row r="136" spans="2:37" ht="16.5" customHeight="1">
      <c r="B136" s="12" t="s">
        <v>2075</v>
      </c>
      <c r="C136" s="12" t="str">
        <f t="shared" si="29"/>
        <v>FF02A0230001C6</v>
      </c>
      <c r="D136" s="60" t="s">
        <v>17</v>
      </c>
      <c r="E136" s="60" t="s">
        <v>23</v>
      </c>
      <c r="F136" s="60" t="s">
        <v>1692</v>
      </c>
      <c r="G136" s="60" t="s">
        <v>16</v>
      </c>
      <c r="H136" s="60" t="s">
        <v>24</v>
      </c>
      <c r="I136" s="12" t="str">
        <f t="shared" si="32"/>
        <v>C6</v>
      </c>
      <c r="J136" s="12"/>
      <c r="K136" s="12"/>
      <c r="L136" s="12"/>
      <c r="M136" s="12"/>
      <c r="N136" s="12"/>
      <c r="O136" s="12"/>
      <c r="P136" s="12"/>
      <c r="Q136" s="13">
        <f t="shared" si="41"/>
        <v>2</v>
      </c>
      <c r="R136" s="13">
        <f t="shared" si="40"/>
        <v>160</v>
      </c>
      <c r="S136" s="13">
        <f t="shared" si="40"/>
        <v>35</v>
      </c>
      <c r="T136" s="13">
        <f t="shared" si="40"/>
        <v>0</v>
      </c>
      <c r="U136" s="13">
        <f t="shared" si="40"/>
        <v>1</v>
      </c>
      <c r="V136" s="13">
        <f t="shared" si="42"/>
        <v>198</v>
      </c>
      <c r="W136" s="13" t="str">
        <f t="shared" si="34"/>
        <v>C6</v>
      </c>
      <c r="X136" s="13">
        <f t="shared" si="35"/>
        <v>394</v>
      </c>
      <c r="Y136" s="13" t="str">
        <f t="shared" si="37"/>
        <v>8A</v>
      </c>
      <c r="Z136" s="119"/>
      <c r="AA136" s="119"/>
      <c r="AB136" s="119"/>
      <c r="AC136" s="119"/>
      <c r="AD136" s="119"/>
      <c r="AE136" s="119"/>
      <c r="AF136" s="119"/>
      <c r="AG136" s="119"/>
      <c r="AH136" s="119"/>
      <c r="AJ136" s="64"/>
      <c r="AK136" s="64" t="s">
        <v>2178</v>
      </c>
    </row>
    <row r="137" spans="2:37" ht="16.5" customHeight="1">
      <c r="B137" s="12" t="s">
        <v>2069</v>
      </c>
      <c r="C137" s="12" t="str">
        <f t="shared" si="29"/>
        <v>FF02A0240000C6</v>
      </c>
      <c r="D137" s="60" t="s">
        <v>17</v>
      </c>
      <c r="E137" s="60" t="s">
        <v>23</v>
      </c>
      <c r="F137" s="60" t="s">
        <v>1768</v>
      </c>
      <c r="G137" s="60" t="s">
        <v>16</v>
      </c>
      <c r="H137" s="60" t="s">
        <v>16</v>
      </c>
      <c r="I137" s="12" t="str">
        <f t="shared" si="32"/>
        <v>C6</v>
      </c>
      <c r="J137" s="12"/>
      <c r="K137" s="12"/>
      <c r="L137" s="12"/>
      <c r="M137" s="12"/>
      <c r="N137" s="12"/>
      <c r="O137" s="12"/>
      <c r="P137" s="12"/>
      <c r="Q137" s="13">
        <f t="shared" si="41"/>
        <v>2</v>
      </c>
      <c r="R137" s="13">
        <f t="shared" si="40"/>
        <v>160</v>
      </c>
      <c r="S137" s="13">
        <f t="shared" si="40"/>
        <v>36</v>
      </c>
      <c r="T137" s="13">
        <f t="shared" si="40"/>
        <v>0</v>
      </c>
      <c r="U137" s="13">
        <f t="shared" si="40"/>
        <v>0</v>
      </c>
      <c r="V137" s="13">
        <f t="shared" si="42"/>
        <v>198</v>
      </c>
      <c r="W137" s="13" t="str">
        <f t="shared" si="34"/>
        <v>C6</v>
      </c>
      <c r="X137" s="13">
        <f t="shared" si="35"/>
        <v>394</v>
      </c>
      <c r="Y137" s="13" t="str">
        <f t="shared" si="37"/>
        <v>8A</v>
      </c>
      <c r="Z137" s="119"/>
      <c r="AA137" s="119"/>
      <c r="AB137" s="119"/>
      <c r="AC137" s="119"/>
      <c r="AD137" s="119"/>
      <c r="AE137" s="119"/>
      <c r="AF137" s="119"/>
      <c r="AG137" s="119"/>
      <c r="AH137" s="119"/>
      <c r="AJ137" s="64"/>
      <c r="AK137" s="64" t="s">
        <v>2179</v>
      </c>
    </row>
    <row r="138" spans="2:37" ht="16.5" customHeight="1">
      <c r="B138" s="12" t="s">
        <v>2070</v>
      </c>
      <c r="C138" s="12" t="str">
        <f t="shared" si="29"/>
        <v>FF02A0240001C7</v>
      </c>
      <c r="D138" s="60" t="s">
        <v>17</v>
      </c>
      <c r="E138" s="60" t="s">
        <v>23</v>
      </c>
      <c r="F138" s="60" t="s">
        <v>1768</v>
      </c>
      <c r="G138" s="60" t="s">
        <v>16</v>
      </c>
      <c r="H138" s="60" t="s">
        <v>24</v>
      </c>
      <c r="I138" s="12" t="str">
        <f t="shared" si="32"/>
        <v>C7</v>
      </c>
      <c r="J138" s="12"/>
      <c r="K138" s="12"/>
      <c r="L138" s="12"/>
      <c r="M138" s="12"/>
      <c r="N138" s="12"/>
      <c r="O138" s="12"/>
      <c r="P138" s="12"/>
      <c r="Q138" s="13">
        <f t="shared" si="41"/>
        <v>2</v>
      </c>
      <c r="R138" s="13">
        <f t="shared" si="40"/>
        <v>160</v>
      </c>
      <c r="S138" s="13">
        <f t="shared" si="40"/>
        <v>36</v>
      </c>
      <c r="T138" s="13">
        <f t="shared" si="40"/>
        <v>0</v>
      </c>
      <c r="U138" s="13">
        <f t="shared" si="40"/>
        <v>1</v>
      </c>
      <c r="V138" s="13">
        <f t="shared" si="42"/>
        <v>199</v>
      </c>
      <c r="W138" s="13" t="str">
        <f t="shared" si="34"/>
        <v>C7</v>
      </c>
      <c r="X138" s="13">
        <f t="shared" si="35"/>
        <v>396</v>
      </c>
      <c r="Y138" s="13" t="str">
        <f t="shared" si="37"/>
        <v>8C</v>
      </c>
      <c r="Z138" s="119"/>
      <c r="AA138" s="119"/>
      <c r="AB138" s="119"/>
      <c r="AC138" s="119"/>
      <c r="AD138" s="119"/>
      <c r="AE138" s="119"/>
      <c r="AF138" s="119"/>
      <c r="AG138" s="119"/>
      <c r="AH138" s="119"/>
      <c r="AJ138" s="64"/>
      <c r="AK138" s="64" t="s">
        <v>2180</v>
      </c>
    </row>
    <row r="139" spans="2:37" ht="16.5" customHeight="1">
      <c r="B139" s="12" t="s">
        <v>2071</v>
      </c>
      <c r="C139" s="12" t="str">
        <f t="shared" si="29"/>
        <v>FF02A0240002C8</v>
      </c>
      <c r="D139" s="60" t="s">
        <v>17</v>
      </c>
      <c r="E139" s="60" t="s">
        <v>23</v>
      </c>
      <c r="F139" s="60" t="s">
        <v>1768</v>
      </c>
      <c r="G139" s="60" t="s">
        <v>16</v>
      </c>
      <c r="H139" s="60" t="s">
        <v>17</v>
      </c>
      <c r="I139" s="12" t="str">
        <f t="shared" si="32"/>
        <v>C8</v>
      </c>
      <c r="J139" s="12"/>
      <c r="K139" s="12"/>
      <c r="L139" s="12"/>
      <c r="M139" s="12"/>
      <c r="N139" s="12"/>
      <c r="O139" s="12"/>
      <c r="P139" s="12"/>
      <c r="Q139" s="13">
        <f t="shared" si="41"/>
        <v>2</v>
      </c>
      <c r="R139" s="13">
        <f t="shared" si="40"/>
        <v>160</v>
      </c>
      <c r="S139" s="13">
        <f t="shared" si="40"/>
        <v>36</v>
      </c>
      <c r="T139" s="13">
        <f t="shared" si="40"/>
        <v>0</v>
      </c>
      <c r="U139" s="13">
        <f t="shared" si="40"/>
        <v>2</v>
      </c>
      <c r="V139" s="13">
        <f t="shared" si="42"/>
        <v>200</v>
      </c>
      <c r="W139" s="13" t="str">
        <f t="shared" si="34"/>
        <v>C8</v>
      </c>
      <c r="X139" s="13">
        <f t="shared" si="35"/>
        <v>398</v>
      </c>
      <c r="Y139" s="13" t="str">
        <f t="shared" si="37"/>
        <v>8E</v>
      </c>
      <c r="Z139" s="119"/>
      <c r="AA139" s="119"/>
      <c r="AB139" s="119"/>
      <c r="AC139" s="119"/>
      <c r="AD139" s="119"/>
      <c r="AE139" s="119"/>
      <c r="AF139" s="119"/>
      <c r="AG139" s="119"/>
      <c r="AH139" s="119"/>
      <c r="AJ139" s="64"/>
      <c r="AK139" s="64" t="s">
        <v>2181</v>
      </c>
    </row>
    <row r="140" spans="2:37" ht="16.5" customHeight="1">
      <c r="B140" s="12" t="s">
        <v>2072</v>
      </c>
      <c r="C140" s="12" t="str">
        <f t="shared" si="29"/>
        <v>FF02A0240003C9</v>
      </c>
      <c r="D140" s="60" t="s">
        <v>17</v>
      </c>
      <c r="E140" s="60" t="s">
        <v>23</v>
      </c>
      <c r="F140" s="60" t="s">
        <v>1768</v>
      </c>
      <c r="G140" s="60" t="s">
        <v>16</v>
      </c>
      <c r="H140" s="60" t="s">
        <v>91</v>
      </c>
      <c r="I140" s="12" t="str">
        <f t="shared" si="32"/>
        <v>C9</v>
      </c>
      <c r="J140" s="12"/>
      <c r="K140" s="12"/>
      <c r="L140" s="12"/>
      <c r="M140" s="12"/>
      <c r="N140" s="12"/>
      <c r="O140" s="12"/>
      <c r="P140" s="12"/>
      <c r="Q140" s="13">
        <f t="shared" si="41"/>
        <v>2</v>
      </c>
      <c r="R140" s="13">
        <f t="shared" si="40"/>
        <v>160</v>
      </c>
      <c r="S140" s="13">
        <f t="shared" si="40"/>
        <v>36</v>
      </c>
      <c r="T140" s="13">
        <f t="shared" si="40"/>
        <v>0</v>
      </c>
      <c r="U140" s="13">
        <f t="shared" si="40"/>
        <v>3</v>
      </c>
      <c r="V140" s="13">
        <f t="shared" si="42"/>
        <v>201</v>
      </c>
      <c r="W140" s="13" t="str">
        <f t="shared" si="34"/>
        <v>C9</v>
      </c>
      <c r="X140" s="13">
        <f t="shared" si="35"/>
        <v>400</v>
      </c>
      <c r="Y140" s="13" t="str">
        <f t="shared" si="37"/>
        <v>90</v>
      </c>
      <c r="Z140" s="119"/>
      <c r="AA140" s="119"/>
      <c r="AB140" s="119"/>
      <c r="AC140" s="119"/>
      <c r="AD140" s="119"/>
      <c r="AE140" s="119"/>
      <c r="AF140" s="119"/>
      <c r="AG140" s="119"/>
      <c r="AH140" s="119"/>
      <c r="AJ140" s="64"/>
      <c r="AK140" s="64" t="s">
        <v>2182</v>
      </c>
    </row>
    <row r="141" spans="2:37" ht="16.5" customHeight="1">
      <c r="B141" s="12" t="s">
        <v>2073</v>
      </c>
      <c r="C141" s="12" t="str">
        <f t="shared" si="29"/>
        <v>FF02A0240004CA</v>
      </c>
      <c r="D141" s="60" t="s">
        <v>17</v>
      </c>
      <c r="E141" s="60" t="s">
        <v>23</v>
      </c>
      <c r="F141" s="60" t="s">
        <v>1768</v>
      </c>
      <c r="G141" s="60" t="s">
        <v>16</v>
      </c>
      <c r="H141" s="60" t="s">
        <v>67</v>
      </c>
      <c r="I141" s="12" t="str">
        <f t="shared" si="32"/>
        <v>CA</v>
      </c>
      <c r="J141" s="12"/>
      <c r="K141" s="12"/>
      <c r="L141" s="12"/>
      <c r="M141" s="12"/>
      <c r="N141" s="12"/>
      <c r="O141" s="12"/>
      <c r="P141" s="12"/>
      <c r="Q141" s="13">
        <f t="shared" si="41"/>
        <v>2</v>
      </c>
      <c r="R141" s="13">
        <f t="shared" si="40"/>
        <v>160</v>
      </c>
      <c r="S141" s="13">
        <f t="shared" si="40"/>
        <v>36</v>
      </c>
      <c r="T141" s="13">
        <f t="shared" si="40"/>
        <v>0</v>
      </c>
      <c r="U141" s="13">
        <f t="shared" si="40"/>
        <v>4</v>
      </c>
      <c r="V141" s="13">
        <f t="shared" si="42"/>
        <v>202</v>
      </c>
      <c r="W141" s="13" t="str">
        <f t="shared" si="34"/>
        <v>CA</v>
      </c>
      <c r="X141" s="13">
        <f t="shared" si="35"/>
        <v>402</v>
      </c>
      <c r="Y141" s="13" t="str">
        <f t="shared" si="37"/>
        <v>92</v>
      </c>
      <c r="Z141" s="119"/>
      <c r="AA141" s="119"/>
      <c r="AB141" s="119"/>
      <c r="AC141" s="119"/>
      <c r="AD141" s="119"/>
      <c r="AE141" s="119"/>
      <c r="AF141" s="119"/>
      <c r="AG141" s="119"/>
      <c r="AH141" s="119"/>
      <c r="AJ141" s="64"/>
      <c r="AK141" s="64" t="s">
        <v>2183</v>
      </c>
    </row>
    <row r="142" spans="2:37" ht="16.5" customHeight="1">
      <c r="B142" s="12" t="s">
        <v>1200</v>
      </c>
      <c r="C142" s="12" t="str">
        <f t="shared" ref="C142:C205" si="43">"FF"&amp;D142&amp;E142&amp;""&amp;F142&amp;G142&amp;H142&amp;I142</f>
        <v>FF01A0250000C6</v>
      </c>
      <c r="D142" s="60" t="s">
        <v>24</v>
      </c>
      <c r="E142" s="60" t="s">
        <v>23</v>
      </c>
      <c r="F142" s="60" t="s">
        <v>51</v>
      </c>
      <c r="G142" s="60" t="s">
        <v>16</v>
      </c>
      <c r="H142" s="60" t="s">
        <v>16</v>
      </c>
      <c r="I142" s="12" t="str">
        <f t="shared" si="32"/>
        <v>C6</v>
      </c>
      <c r="J142" s="12"/>
      <c r="K142" s="12"/>
      <c r="L142" s="12"/>
      <c r="M142" s="12"/>
      <c r="N142" s="12"/>
      <c r="O142" s="12"/>
      <c r="P142" s="12"/>
      <c r="Q142" s="13">
        <f t="shared" si="41"/>
        <v>1</v>
      </c>
      <c r="R142" s="13">
        <f t="shared" si="40"/>
        <v>160</v>
      </c>
      <c r="S142" s="13">
        <f t="shared" si="40"/>
        <v>37</v>
      </c>
      <c r="T142" s="13">
        <f t="shared" si="40"/>
        <v>0</v>
      </c>
      <c r="U142" s="13">
        <f t="shared" si="40"/>
        <v>0</v>
      </c>
      <c r="V142" s="13">
        <f t="shared" si="42"/>
        <v>198</v>
      </c>
      <c r="W142" s="13" t="str">
        <f t="shared" si="34"/>
        <v>C6</v>
      </c>
      <c r="X142" s="13">
        <f t="shared" si="35"/>
        <v>395</v>
      </c>
      <c r="Y142" s="13" t="str">
        <f t="shared" si="37"/>
        <v>8B</v>
      </c>
      <c r="Z142" s="119"/>
      <c r="AA142" s="119"/>
      <c r="AB142" s="119"/>
      <c r="AC142" s="119"/>
      <c r="AD142" s="119"/>
      <c r="AE142" s="119"/>
      <c r="AF142" s="119"/>
      <c r="AG142" s="119"/>
      <c r="AH142" s="119"/>
      <c r="AJ142" s="64"/>
      <c r="AK142" s="64" t="s">
        <v>236</v>
      </c>
    </row>
    <row r="143" spans="2:37" ht="16.5" customHeight="1">
      <c r="B143" s="12" t="s">
        <v>1199</v>
      </c>
      <c r="C143" s="12" t="str">
        <f t="shared" si="43"/>
        <v>FF01A0250001C7</v>
      </c>
      <c r="D143" s="60" t="s">
        <v>24</v>
      </c>
      <c r="E143" s="60" t="s">
        <v>23</v>
      </c>
      <c r="F143" s="60" t="s">
        <v>51</v>
      </c>
      <c r="G143" s="60" t="s">
        <v>16</v>
      </c>
      <c r="H143" s="60" t="s">
        <v>24</v>
      </c>
      <c r="I143" s="12" t="str">
        <f t="shared" ref="I143:I206" si="44">W143</f>
        <v>C7</v>
      </c>
      <c r="J143" s="12"/>
      <c r="K143" s="12"/>
      <c r="L143" s="12"/>
      <c r="M143" s="12"/>
      <c r="N143" s="12"/>
      <c r="O143" s="12"/>
      <c r="P143" s="12"/>
      <c r="Q143" s="13">
        <f t="shared" si="41"/>
        <v>1</v>
      </c>
      <c r="R143" s="13">
        <f t="shared" si="40"/>
        <v>160</v>
      </c>
      <c r="S143" s="13">
        <f t="shared" si="40"/>
        <v>37</v>
      </c>
      <c r="T143" s="13">
        <f t="shared" si="40"/>
        <v>0</v>
      </c>
      <c r="U143" s="13">
        <f t="shared" si="40"/>
        <v>1</v>
      </c>
      <c r="V143" s="13">
        <f t="shared" si="42"/>
        <v>199</v>
      </c>
      <c r="W143" s="13" t="str">
        <f t="shared" ref="W143:W206" si="45">REPT("0",2-LEN(RIGHT(DEC2HEX(V143), 2)))&amp;RIGHT(DEC2HEX(V143), 2)</f>
        <v>C7</v>
      </c>
      <c r="X143" s="13">
        <f t="shared" ref="X143:X206" si="46">SUM(R143:W143)</f>
        <v>397</v>
      </c>
      <c r="Y143" s="13" t="str">
        <f t="shared" si="37"/>
        <v>8D</v>
      </c>
      <c r="Z143" s="119"/>
      <c r="AA143" s="119"/>
      <c r="AB143" s="119"/>
      <c r="AC143" s="119"/>
      <c r="AD143" s="119"/>
      <c r="AE143" s="119"/>
      <c r="AF143" s="119"/>
      <c r="AG143" s="119"/>
      <c r="AH143" s="119"/>
      <c r="AJ143" s="64"/>
      <c r="AK143" s="64" t="s">
        <v>237</v>
      </c>
    </row>
    <row r="144" spans="2:37" ht="16.5" customHeight="1">
      <c r="B144" s="111" t="s">
        <v>1769</v>
      </c>
      <c r="C144" s="111" t="str">
        <f t="shared" si="43"/>
        <v>FF01A160000002</v>
      </c>
      <c r="D144" s="60" t="s">
        <v>24</v>
      </c>
      <c r="E144" s="60" t="s">
        <v>80</v>
      </c>
      <c r="F144" s="60" t="s">
        <v>1701</v>
      </c>
      <c r="G144" s="60" t="s">
        <v>16</v>
      </c>
      <c r="H144" s="60" t="s">
        <v>16</v>
      </c>
      <c r="I144" s="12" t="str">
        <f t="shared" si="44"/>
        <v>02</v>
      </c>
      <c r="J144" s="12"/>
      <c r="K144" s="12"/>
      <c r="L144" s="12"/>
      <c r="M144" s="12"/>
      <c r="N144" s="12"/>
      <c r="O144" s="12"/>
      <c r="P144" s="12"/>
      <c r="Q144" s="13">
        <f t="shared" si="41"/>
        <v>1</v>
      </c>
      <c r="R144" s="13">
        <f t="shared" si="40"/>
        <v>161</v>
      </c>
      <c r="S144" s="13">
        <f t="shared" si="40"/>
        <v>96</v>
      </c>
      <c r="T144" s="13">
        <f t="shared" si="40"/>
        <v>0</v>
      </c>
      <c r="U144" s="13">
        <f t="shared" si="40"/>
        <v>0</v>
      </c>
      <c r="V144" s="13">
        <f t="shared" ref="V144:V161" si="47">SUM(Q144:U144)</f>
        <v>258</v>
      </c>
      <c r="W144" s="13" t="str">
        <f t="shared" si="45"/>
        <v>02</v>
      </c>
      <c r="X144" s="13">
        <f t="shared" si="46"/>
        <v>515</v>
      </c>
      <c r="Y144" s="13" t="str">
        <f t="shared" si="37"/>
        <v>03</v>
      </c>
      <c r="Z144" s="119"/>
      <c r="AA144" s="119"/>
      <c r="AB144" s="119"/>
      <c r="AC144" s="119"/>
      <c r="AD144" s="119"/>
      <c r="AE144" s="119"/>
      <c r="AF144" s="119"/>
      <c r="AG144" s="119"/>
      <c r="AH144" s="119"/>
      <c r="AJ144" s="64"/>
      <c r="AK144" s="64" t="s">
        <v>2184</v>
      </c>
    </row>
    <row r="145" spans="2:37" ht="16.5" customHeight="1">
      <c r="B145" s="12" t="s">
        <v>1771</v>
      </c>
      <c r="C145" s="12" t="str">
        <f t="shared" si="43"/>
        <v>FF01A061000002</v>
      </c>
      <c r="D145" s="60" t="s">
        <v>24</v>
      </c>
      <c r="E145" s="60" t="s">
        <v>23</v>
      </c>
      <c r="F145" s="60" t="s">
        <v>1777</v>
      </c>
      <c r="G145" s="60" t="s">
        <v>16</v>
      </c>
      <c r="H145" s="60" t="s">
        <v>16</v>
      </c>
      <c r="I145" s="12" t="str">
        <f t="shared" si="44"/>
        <v>02</v>
      </c>
      <c r="J145" s="12"/>
      <c r="K145" s="12"/>
      <c r="L145" s="12"/>
      <c r="M145" s="12"/>
      <c r="N145" s="12"/>
      <c r="O145" s="12"/>
      <c r="P145" s="12"/>
      <c r="Q145" s="13">
        <f t="shared" si="41"/>
        <v>1</v>
      </c>
      <c r="R145" s="13">
        <f t="shared" si="40"/>
        <v>160</v>
      </c>
      <c r="S145" s="13">
        <f t="shared" si="40"/>
        <v>97</v>
      </c>
      <c r="T145" s="13">
        <f t="shared" si="40"/>
        <v>0</v>
      </c>
      <c r="U145" s="13">
        <f t="shared" si="40"/>
        <v>0</v>
      </c>
      <c r="V145" s="13">
        <f t="shared" si="47"/>
        <v>258</v>
      </c>
      <c r="W145" s="13" t="str">
        <f t="shared" si="45"/>
        <v>02</v>
      </c>
      <c r="X145" s="13">
        <f t="shared" si="46"/>
        <v>515</v>
      </c>
      <c r="Y145" s="13" t="str">
        <f t="shared" si="37"/>
        <v>03</v>
      </c>
      <c r="Z145" s="119"/>
      <c r="AA145" s="119"/>
      <c r="AB145" s="119"/>
      <c r="AC145" s="119"/>
      <c r="AD145" s="119"/>
      <c r="AE145" s="119"/>
      <c r="AF145" s="119"/>
      <c r="AG145" s="119"/>
      <c r="AH145" s="119"/>
      <c r="AJ145" s="64"/>
      <c r="AK145" s="64" t="s">
        <v>2185</v>
      </c>
    </row>
    <row r="146" spans="2:37" ht="16.5" customHeight="1">
      <c r="B146" s="12" t="s">
        <v>1770</v>
      </c>
      <c r="C146" s="12" t="str">
        <f t="shared" si="43"/>
        <v>FF01A061000103</v>
      </c>
      <c r="D146" s="60" t="s">
        <v>24</v>
      </c>
      <c r="E146" s="60" t="s">
        <v>23</v>
      </c>
      <c r="F146" s="60" t="s">
        <v>1777</v>
      </c>
      <c r="G146" s="60" t="s">
        <v>16</v>
      </c>
      <c r="H146" s="60" t="s">
        <v>24</v>
      </c>
      <c r="I146" s="12" t="str">
        <f t="shared" si="44"/>
        <v>03</v>
      </c>
      <c r="J146" s="12"/>
      <c r="K146" s="12"/>
      <c r="L146" s="12"/>
      <c r="M146" s="12"/>
      <c r="N146" s="12"/>
      <c r="O146" s="12"/>
      <c r="P146" s="12"/>
      <c r="Q146" s="13">
        <f t="shared" si="41"/>
        <v>1</v>
      </c>
      <c r="R146" s="13">
        <f t="shared" si="40"/>
        <v>160</v>
      </c>
      <c r="S146" s="13">
        <f t="shared" si="40"/>
        <v>97</v>
      </c>
      <c r="T146" s="13">
        <f t="shared" si="40"/>
        <v>0</v>
      </c>
      <c r="U146" s="13">
        <f t="shared" si="40"/>
        <v>1</v>
      </c>
      <c r="V146" s="13">
        <f t="shared" si="47"/>
        <v>259</v>
      </c>
      <c r="W146" s="13" t="str">
        <f t="shared" si="45"/>
        <v>03</v>
      </c>
      <c r="X146" s="13">
        <f t="shared" si="46"/>
        <v>517</v>
      </c>
      <c r="Y146" s="13" t="str">
        <f t="shared" si="37"/>
        <v>05</v>
      </c>
      <c r="Z146" s="119"/>
      <c r="AA146" s="119"/>
      <c r="AB146" s="119"/>
      <c r="AC146" s="119"/>
      <c r="AD146" s="119"/>
      <c r="AE146" s="119"/>
      <c r="AF146" s="119"/>
      <c r="AG146" s="119"/>
      <c r="AH146" s="119"/>
      <c r="AJ146" s="64"/>
      <c r="AK146" s="64" t="s">
        <v>2186</v>
      </c>
    </row>
    <row r="147" spans="2:37" ht="16.5" customHeight="1">
      <c r="B147" s="12" t="s">
        <v>1772</v>
      </c>
      <c r="C147" s="12" t="str">
        <f t="shared" si="43"/>
        <v>FF01A062000003</v>
      </c>
      <c r="D147" s="60" t="s">
        <v>24</v>
      </c>
      <c r="E147" s="60" t="s">
        <v>23</v>
      </c>
      <c r="F147" s="60" t="s">
        <v>1778</v>
      </c>
      <c r="G147" s="60" t="s">
        <v>16</v>
      </c>
      <c r="H147" s="60" t="s">
        <v>16</v>
      </c>
      <c r="I147" s="12" t="str">
        <f t="shared" si="44"/>
        <v>03</v>
      </c>
      <c r="J147" s="12"/>
      <c r="K147" s="12"/>
      <c r="L147" s="12"/>
      <c r="M147" s="12"/>
      <c r="N147" s="12"/>
      <c r="O147" s="12"/>
      <c r="P147" s="12"/>
      <c r="Q147" s="13">
        <f t="shared" si="41"/>
        <v>1</v>
      </c>
      <c r="R147" s="13">
        <f t="shared" si="40"/>
        <v>160</v>
      </c>
      <c r="S147" s="13">
        <f t="shared" si="40"/>
        <v>98</v>
      </c>
      <c r="T147" s="13">
        <f t="shared" si="40"/>
        <v>0</v>
      </c>
      <c r="U147" s="13">
        <f t="shared" si="40"/>
        <v>0</v>
      </c>
      <c r="V147" s="13">
        <f t="shared" si="47"/>
        <v>259</v>
      </c>
      <c r="W147" s="13" t="str">
        <f t="shared" si="45"/>
        <v>03</v>
      </c>
      <c r="X147" s="13">
        <f t="shared" si="46"/>
        <v>517</v>
      </c>
      <c r="Y147" s="13" t="str">
        <f t="shared" si="37"/>
        <v>05</v>
      </c>
      <c r="Z147" s="119"/>
      <c r="AA147" s="119"/>
      <c r="AB147" s="119"/>
      <c r="AC147" s="119"/>
      <c r="AD147" s="119"/>
      <c r="AE147" s="119"/>
      <c r="AF147" s="119"/>
      <c r="AG147" s="119"/>
      <c r="AH147" s="119"/>
      <c r="AJ147" s="64"/>
      <c r="AK147" s="64" t="s">
        <v>2187</v>
      </c>
    </row>
    <row r="148" spans="2:37" ht="16.5" customHeight="1">
      <c r="B148" s="12" t="s">
        <v>2083</v>
      </c>
      <c r="C148" s="12" t="str">
        <f t="shared" si="43"/>
        <v>FF01A062000104</v>
      </c>
      <c r="D148" s="60" t="s">
        <v>24</v>
      </c>
      <c r="E148" s="60" t="s">
        <v>23</v>
      </c>
      <c r="F148" s="60" t="s">
        <v>1778</v>
      </c>
      <c r="G148" s="60" t="s">
        <v>16</v>
      </c>
      <c r="H148" s="60" t="s">
        <v>24</v>
      </c>
      <c r="I148" s="12" t="str">
        <f t="shared" si="44"/>
        <v>04</v>
      </c>
      <c r="J148" s="12"/>
      <c r="K148" s="12"/>
      <c r="L148" s="12"/>
      <c r="M148" s="12"/>
      <c r="N148" s="12"/>
      <c r="O148" s="12"/>
      <c r="P148" s="12"/>
      <c r="Q148" s="13">
        <f t="shared" si="41"/>
        <v>1</v>
      </c>
      <c r="R148" s="13">
        <f t="shared" si="40"/>
        <v>160</v>
      </c>
      <c r="S148" s="13">
        <f t="shared" si="40"/>
        <v>98</v>
      </c>
      <c r="T148" s="13">
        <f t="shared" si="40"/>
        <v>0</v>
      </c>
      <c r="U148" s="13">
        <f t="shared" si="40"/>
        <v>1</v>
      </c>
      <c r="V148" s="13">
        <f t="shared" si="47"/>
        <v>260</v>
      </c>
      <c r="W148" s="13" t="str">
        <f t="shared" si="45"/>
        <v>04</v>
      </c>
      <c r="X148" s="13">
        <f t="shared" si="46"/>
        <v>519</v>
      </c>
      <c r="Y148" s="13" t="str">
        <f t="shared" si="37"/>
        <v>07</v>
      </c>
      <c r="Z148" s="119"/>
      <c r="AA148" s="119"/>
      <c r="AB148" s="119"/>
      <c r="AC148" s="119"/>
      <c r="AD148" s="119"/>
      <c r="AE148" s="119"/>
      <c r="AF148" s="119"/>
      <c r="AG148" s="119"/>
      <c r="AH148" s="119"/>
      <c r="AJ148" s="64"/>
      <c r="AK148" s="64" t="s">
        <v>2188</v>
      </c>
    </row>
    <row r="149" spans="2:37" ht="16.5" customHeight="1">
      <c r="B149" s="12" t="s">
        <v>1773</v>
      </c>
      <c r="C149" s="12" t="str">
        <f t="shared" si="43"/>
        <v>FF01A063000004</v>
      </c>
      <c r="D149" s="60" t="s">
        <v>24</v>
      </c>
      <c r="E149" s="60" t="s">
        <v>23</v>
      </c>
      <c r="F149" s="60" t="s">
        <v>1779</v>
      </c>
      <c r="G149" s="60" t="s">
        <v>16</v>
      </c>
      <c r="H149" s="60" t="s">
        <v>16</v>
      </c>
      <c r="I149" s="12" t="str">
        <f t="shared" si="44"/>
        <v>04</v>
      </c>
      <c r="J149" s="12"/>
      <c r="K149" s="12"/>
      <c r="L149" s="12"/>
      <c r="M149" s="12"/>
      <c r="N149" s="12"/>
      <c r="O149" s="12"/>
      <c r="P149" s="12"/>
      <c r="Q149" s="13">
        <f t="shared" si="41"/>
        <v>1</v>
      </c>
      <c r="R149" s="13">
        <f t="shared" si="40"/>
        <v>160</v>
      </c>
      <c r="S149" s="13">
        <f t="shared" si="40"/>
        <v>99</v>
      </c>
      <c r="T149" s="13">
        <f t="shared" si="40"/>
        <v>0</v>
      </c>
      <c r="U149" s="13">
        <f t="shared" si="40"/>
        <v>0</v>
      </c>
      <c r="V149" s="13">
        <f t="shared" si="47"/>
        <v>260</v>
      </c>
      <c r="W149" s="13" t="str">
        <f t="shared" si="45"/>
        <v>04</v>
      </c>
      <c r="X149" s="13">
        <f t="shared" si="46"/>
        <v>519</v>
      </c>
      <c r="Y149" s="13" t="str">
        <f t="shared" si="37"/>
        <v>07</v>
      </c>
      <c r="Z149" s="119"/>
      <c r="AA149" s="119"/>
      <c r="AB149" s="119"/>
      <c r="AC149" s="119"/>
      <c r="AD149" s="119"/>
      <c r="AE149" s="119"/>
      <c r="AF149" s="119"/>
      <c r="AG149" s="119"/>
      <c r="AH149" s="119"/>
      <c r="AJ149" s="64"/>
      <c r="AK149" s="64" t="s">
        <v>2189</v>
      </c>
    </row>
    <row r="150" spans="2:37" ht="16.5" customHeight="1">
      <c r="B150" s="12" t="s">
        <v>1774</v>
      </c>
      <c r="C150" s="12" t="str">
        <f t="shared" si="43"/>
        <v>FF01A06300FF03</v>
      </c>
      <c r="D150" s="60" t="s">
        <v>24</v>
      </c>
      <c r="E150" s="60" t="s">
        <v>23</v>
      </c>
      <c r="F150" s="60" t="s">
        <v>1779</v>
      </c>
      <c r="G150" s="60" t="s">
        <v>16</v>
      </c>
      <c r="H150" s="60" t="s">
        <v>9</v>
      </c>
      <c r="I150" s="12" t="str">
        <f t="shared" si="44"/>
        <v>03</v>
      </c>
      <c r="J150" s="12"/>
      <c r="K150" s="12"/>
      <c r="L150" s="12"/>
      <c r="M150" s="12"/>
      <c r="N150" s="12"/>
      <c r="O150" s="12"/>
      <c r="P150" s="12"/>
      <c r="Q150" s="13">
        <f t="shared" si="41"/>
        <v>1</v>
      </c>
      <c r="R150" s="13">
        <f t="shared" si="40"/>
        <v>160</v>
      </c>
      <c r="S150" s="13">
        <f t="shared" si="40"/>
        <v>99</v>
      </c>
      <c r="T150" s="13">
        <f t="shared" si="40"/>
        <v>0</v>
      </c>
      <c r="U150" s="13">
        <f t="shared" si="40"/>
        <v>255</v>
      </c>
      <c r="V150" s="13">
        <f t="shared" si="47"/>
        <v>515</v>
      </c>
      <c r="W150" s="13" t="str">
        <f t="shared" si="45"/>
        <v>03</v>
      </c>
      <c r="X150" s="13">
        <f t="shared" si="46"/>
        <v>1029</v>
      </c>
      <c r="Y150" s="13" t="str">
        <f t="shared" si="37"/>
        <v>05</v>
      </c>
      <c r="Z150" s="119"/>
      <c r="AA150" s="119"/>
      <c r="AB150" s="119"/>
      <c r="AC150" s="119"/>
      <c r="AD150" s="119"/>
      <c r="AE150" s="119"/>
      <c r="AF150" s="119"/>
      <c r="AG150" s="119">
        <v>255</v>
      </c>
      <c r="AH150" s="119" t="str">
        <f>DEC2HEX(AG150)</f>
        <v>FF</v>
      </c>
      <c r="AJ150" s="64"/>
      <c r="AK150" s="64" t="s">
        <v>2190</v>
      </c>
    </row>
    <row r="151" spans="2:37" ht="16.5" customHeight="1">
      <c r="B151" s="12" t="s">
        <v>1775</v>
      </c>
      <c r="C151" s="12" t="str">
        <f t="shared" si="43"/>
        <v>FF01A064000005</v>
      </c>
      <c r="D151" s="60" t="s">
        <v>24</v>
      </c>
      <c r="E151" s="60" t="s">
        <v>23</v>
      </c>
      <c r="F151" s="60" t="s">
        <v>128</v>
      </c>
      <c r="G151" s="60" t="s">
        <v>16</v>
      </c>
      <c r="H151" s="60" t="s">
        <v>16</v>
      </c>
      <c r="I151" s="12" t="str">
        <f t="shared" si="44"/>
        <v>05</v>
      </c>
      <c r="J151" s="12"/>
      <c r="K151" s="12"/>
      <c r="L151" s="12"/>
      <c r="M151" s="12"/>
      <c r="N151" s="12"/>
      <c r="O151" s="12"/>
      <c r="P151" s="12"/>
      <c r="Q151" s="13">
        <f t="shared" si="41"/>
        <v>1</v>
      </c>
      <c r="R151" s="13">
        <f t="shared" si="40"/>
        <v>160</v>
      </c>
      <c r="S151" s="13">
        <f t="shared" si="40"/>
        <v>100</v>
      </c>
      <c r="T151" s="13">
        <f t="shared" si="40"/>
        <v>0</v>
      </c>
      <c r="U151" s="13">
        <f t="shared" si="40"/>
        <v>0</v>
      </c>
      <c r="V151" s="13">
        <f t="shared" si="47"/>
        <v>261</v>
      </c>
      <c r="W151" s="13" t="str">
        <f t="shared" si="45"/>
        <v>05</v>
      </c>
      <c r="X151" s="13">
        <f t="shared" si="46"/>
        <v>521</v>
      </c>
      <c r="Y151" s="13" t="str">
        <f t="shared" si="37"/>
        <v>09</v>
      </c>
      <c r="Z151" s="119"/>
      <c r="AA151" s="119"/>
      <c r="AB151" s="119"/>
      <c r="AC151" s="119"/>
      <c r="AD151" s="119"/>
      <c r="AE151" s="119"/>
      <c r="AF151" s="119"/>
      <c r="AG151" s="119"/>
      <c r="AH151" s="119"/>
      <c r="AJ151" s="64"/>
      <c r="AK151" s="64" t="s">
        <v>2191</v>
      </c>
    </row>
    <row r="152" spans="2:37" ht="16.5" customHeight="1">
      <c r="B152" s="12" t="s">
        <v>1776</v>
      </c>
      <c r="C152" s="12" t="str">
        <f t="shared" si="43"/>
        <v>FF01A064FFFF03</v>
      </c>
      <c r="D152" s="60" t="s">
        <v>24</v>
      </c>
      <c r="E152" s="60" t="s">
        <v>23</v>
      </c>
      <c r="F152" s="60" t="s">
        <v>128</v>
      </c>
      <c r="G152" s="60" t="s">
        <v>9</v>
      </c>
      <c r="H152" s="60" t="s">
        <v>9</v>
      </c>
      <c r="I152" s="12" t="str">
        <f t="shared" si="44"/>
        <v>03</v>
      </c>
      <c r="J152" s="12"/>
      <c r="K152" s="12"/>
      <c r="L152" s="12"/>
      <c r="M152" s="12"/>
      <c r="N152" s="12"/>
      <c r="O152" s="12"/>
      <c r="P152" s="12"/>
      <c r="Q152" s="13">
        <f t="shared" si="41"/>
        <v>1</v>
      </c>
      <c r="R152" s="13">
        <f t="shared" si="40"/>
        <v>160</v>
      </c>
      <c r="S152" s="13">
        <f t="shared" si="40"/>
        <v>100</v>
      </c>
      <c r="T152" s="13">
        <f t="shared" si="40"/>
        <v>255</v>
      </c>
      <c r="U152" s="13">
        <f t="shared" si="40"/>
        <v>255</v>
      </c>
      <c r="V152" s="13">
        <f t="shared" si="47"/>
        <v>771</v>
      </c>
      <c r="W152" s="13" t="str">
        <f t="shared" si="45"/>
        <v>03</v>
      </c>
      <c r="X152" s="13">
        <f t="shared" si="46"/>
        <v>1541</v>
      </c>
      <c r="Y152" s="13" t="str">
        <f t="shared" si="37"/>
        <v>05</v>
      </c>
      <c r="Z152" s="119"/>
      <c r="AA152" s="119"/>
      <c r="AB152" s="119"/>
      <c r="AC152" s="119"/>
      <c r="AD152" s="119"/>
      <c r="AE152" s="119"/>
      <c r="AF152" s="119"/>
      <c r="AG152" s="119">
        <v>65535</v>
      </c>
      <c r="AH152" s="119" t="str">
        <f>DEC2HEX(AG152)</f>
        <v>FFFF</v>
      </c>
      <c r="AJ152" s="64"/>
      <c r="AK152" s="64" t="s">
        <v>2192</v>
      </c>
    </row>
    <row r="153" spans="2:37" ht="16.5" customHeight="1">
      <c r="B153" s="111" t="s">
        <v>2077</v>
      </c>
      <c r="C153" s="111" t="str">
        <f t="shared" si="43"/>
        <v>FF02A160000003</v>
      </c>
      <c r="D153" s="60" t="s">
        <v>17</v>
      </c>
      <c r="E153" s="60" t="s">
        <v>80</v>
      </c>
      <c r="F153" s="60" t="s">
        <v>1701</v>
      </c>
      <c r="G153" s="60" t="s">
        <v>16</v>
      </c>
      <c r="H153" s="60" t="s">
        <v>16</v>
      </c>
      <c r="I153" s="12" t="str">
        <f t="shared" si="44"/>
        <v>03</v>
      </c>
      <c r="J153" s="12"/>
      <c r="K153" s="12"/>
      <c r="L153" s="12"/>
      <c r="M153" s="12"/>
      <c r="N153" s="12"/>
      <c r="O153" s="12"/>
      <c r="P153" s="12"/>
      <c r="Q153" s="13">
        <f t="shared" si="41"/>
        <v>2</v>
      </c>
      <c r="R153" s="13">
        <f t="shared" si="40"/>
        <v>161</v>
      </c>
      <c r="S153" s="13">
        <f t="shared" si="40"/>
        <v>96</v>
      </c>
      <c r="T153" s="13">
        <f t="shared" si="40"/>
        <v>0</v>
      </c>
      <c r="U153" s="13">
        <f t="shared" si="40"/>
        <v>0</v>
      </c>
      <c r="V153" s="13">
        <f t="shared" si="47"/>
        <v>259</v>
      </c>
      <c r="W153" s="13" t="str">
        <f t="shared" si="45"/>
        <v>03</v>
      </c>
      <c r="X153" s="13">
        <f t="shared" si="46"/>
        <v>516</v>
      </c>
      <c r="Y153" s="13" t="str">
        <f t="shared" ref="Y153:Y216" si="48">REPT("0",2-LEN(RIGHT(DEC2HEX(X153), 2)))&amp;RIGHT(DEC2HEX(X153), 2)</f>
        <v>04</v>
      </c>
      <c r="Z153" s="119"/>
      <c r="AA153" s="119"/>
      <c r="AB153" s="119"/>
      <c r="AC153" s="119"/>
      <c r="AD153" s="119"/>
      <c r="AE153" s="119"/>
      <c r="AF153" s="119"/>
      <c r="AG153" s="119"/>
      <c r="AH153" s="119"/>
      <c r="AJ153" s="64"/>
      <c r="AK153" s="64" t="s">
        <v>2087</v>
      </c>
    </row>
    <row r="154" spans="2:37" ht="16.5" customHeight="1">
      <c r="B154" s="12" t="s">
        <v>2078</v>
      </c>
      <c r="C154" s="12" t="str">
        <f t="shared" si="43"/>
        <v>FF02A061000003</v>
      </c>
      <c r="D154" s="60" t="s">
        <v>17</v>
      </c>
      <c r="E154" s="60" t="s">
        <v>23</v>
      </c>
      <c r="F154" s="60" t="s">
        <v>1777</v>
      </c>
      <c r="G154" s="60" t="s">
        <v>16</v>
      </c>
      <c r="H154" s="60" t="s">
        <v>16</v>
      </c>
      <c r="I154" s="12" t="str">
        <f t="shared" si="44"/>
        <v>03</v>
      </c>
      <c r="J154" s="12"/>
      <c r="K154" s="12"/>
      <c r="L154" s="12"/>
      <c r="M154" s="12"/>
      <c r="N154" s="12"/>
      <c r="O154" s="12"/>
      <c r="P154" s="12"/>
      <c r="Q154" s="13">
        <f t="shared" si="41"/>
        <v>2</v>
      </c>
      <c r="R154" s="13">
        <f t="shared" si="40"/>
        <v>160</v>
      </c>
      <c r="S154" s="13">
        <f t="shared" si="40"/>
        <v>97</v>
      </c>
      <c r="T154" s="13">
        <f t="shared" si="40"/>
        <v>0</v>
      </c>
      <c r="U154" s="13">
        <f t="shared" si="40"/>
        <v>0</v>
      </c>
      <c r="V154" s="13">
        <f t="shared" si="47"/>
        <v>259</v>
      </c>
      <c r="W154" s="13" t="str">
        <f t="shared" si="45"/>
        <v>03</v>
      </c>
      <c r="X154" s="13">
        <f t="shared" si="46"/>
        <v>516</v>
      </c>
      <c r="Y154" s="13" t="str">
        <f t="shared" si="48"/>
        <v>04</v>
      </c>
      <c r="Z154" s="119"/>
      <c r="AA154" s="119"/>
      <c r="AB154" s="119"/>
      <c r="AC154" s="119"/>
      <c r="AD154" s="119"/>
      <c r="AE154" s="119"/>
      <c r="AF154" s="119"/>
      <c r="AG154" s="119"/>
      <c r="AH154" s="119"/>
      <c r="AJ154" s="64"/>
      <c r="AK154" s="64" t="s">
        <v>2088</v>
      </c>
    </row>
    <row r="155" spans="2:37" ht="16.5" customHeight="1">
      <c r="B155" s="12" t="s">
        <v>2079</v>
      </c>
      <c r="C155" s="12" t="str">
        <f t="shared" si="43"/>
        <v>FF02A061000104</v>
      </c>
      <c r="D155" s="60" t="s">
        <v>17</v>
      </c>
      <c r="E155" s="60" t="s">
        <v>23</v>
      </c>
      <c r="F155" s="60" t="s">
        <v>1777</v>
      </c>
      <c r="G155" s="60" t="s">
        <v>16</v>
      </c>
      <c r="H155" s="60" t="s">
        <v>24</v>
      </c>
      <c r="I155" s="12" t="str">
        <f t="shared" si="44"/>
        <v>04</v>
      </c>
      <c r="J155" s="12"/>
      <c r="K155" s="12"/>
      <c r="L155" s="12"/>
      <c r="M155" s="12"/>
      <c r="N155" s="12"/>
      <c r="O155" s="12"/>
      <c r="P155" s="12"/>
      <c r="Q155" s="13">
        <f t="shared" si="41"/>
        <v>2</v>
      </c>
      <c r="R155" s="13">
        <f t="shared" si="40"/>
        <v>160</v>
      </c>
      <c r="S155" s="13">
        <f t="shared" si="40"/>
        <v>97</v>
      </c>
      <c r="T155" s="13">
        <f t="shared" si="40"/>
        <v>0</v>
      </c>
      <c r="U155" s="13">
        <f t="shared" si="40"/>
        <v>1</v>
      </c>
      <c r="V155" s="13">
        <f t="shared" si="47"/>
        <v>260</v>
      </c>
      <c r="W155" s="13" t="str">
        <f t="shared" si="45"/>
        <v>04</v>
      </c>
      <c r="X155" s="13">
        <f t="shared" si="46"/>
        <v>518</v>
      </c>
      <c r="Y155" s="13" t="str">
        <f t="shared" si="48"/>
        <v>06</v>
      </c>
      <c r="Z155" s="119"/>
      <c r="AA155" s="119"/>
      <c r="AB155" s="119"/>
      <c r="AC155" s="119"/>
      <c r="AD155" s="119"/>
      <c r="AE155" s="119"/>
      <c r="AF155" s="119"/>
      <c r="AG155" s="119"/>
      <c r="AH155" s="119"/>
      <c r="AJ155" s="64"/>
      <c r="AK155" s="64" t="s">
        <v>2089</v>
      </c>
    </row>
    <row r="156" spans="2:37" ht="16.5" customHeight="1">
      <c r="B156" s="12" t="s">
        <v>2076</v>
      </c>
      <c r="C156" s="12" t="str">
        <f t="shared" si="43"/>
        <v>FF02A062000004</v>
      </c>
      <c r="D156" s="60" t="s">
        <v>17</v>
      </c>
      <c r="E156" s="60" t="s">
        <v>23</v>
      </c>
      <c r="F156" s="60" t="s">
        <v>1778</v>
      </c>
      <c r="G156" s="60" t="s">
        <v>16</v>
      </c>
      <c r="H156" s="60" t="s">
        <v>16</v>
      </c>
      <c r="I156" s="12" t="str">
        <f t="shared" si="44"/>
        <v>04</v>
      </c>
      <c r="J156" s="12"/>
      <c r="K156" s="12"/>
      <c r="L156" s="12"/>
      <c r="M156" s="12"/>
      <c r="N156" s="12"/>
      <c r="O156" s="12"/>
      <c r="P156" s="12"/>
      <c r="Q156" s="13">
        <f t="shared" si="41"/>
        <v>2</v>
      </c>
      <c r="R156" s="13">
        <f t="shared" si="40"/>
        <v>160</v>
      </c>
      <c r="S156" s="13">
        <f t="shared" si="40"/>
        <v>98</v>
      </c>
      <c r="T156" s="13">
        <f t="shared" si="40"/>
        <v>0</v>
      </c>
      <c r="U156" s="13">
        <f t="shared" si="40"/>
        <v>0</v>
      </c>
      <c r="V156" s="13">
        <f t="shared" si="47"/>
        <v>260</v>
      </c>
      <c r="W156" s="13" t="str">
        <f t="shared" si="45"/>
        <v>04</v>
      </c>
      <c r="X156" s="13">
        <f t="shared" si="46"/>
        <v>518</v>
      </c>
      <c r="Y156" s="13" t="str">
        <f t="shared" si="48"/>
        <v>06</v>
      </c>
      <c r="Z156" s="119"/>
      <c r="AA156" s="119"/>
      <c r="AB156" s="119"/>
      <c r="AC156" s="119"/>
      <c r="AD156" s="119"/>
      <c r="AE156" s="119"/>
      <c r="AF156" s="119"/>
      <c r="AG156" s="119"/>
      <c r="AH156" s="119"/>
      <c r="AJ156" s="64"/>
      <c r="AK156" s="64" t="s">
        <v>2090</v>
      </c>
    </row>
    <row r="157" spans="2:37" ht="16.5" customHeight="1">
      <c r="B157" s="12" t="s">
        <v>2084</v>
      </c>
      <c r="C157" s="12" t="str">
        <f t="shared" si="43"/>
        <v>FF02A062000105</v>
      </c>
      <c r="D157" s="60" t="s">
        <v>17</v>
      </c>
      <c r="E157" s="60" t="s">
        <v>23</v>
      </c>
      <c r="F157" s="60" t="s">
        <v>1778</v>
      </c>
      <c r="G157" s="60" t="s">
        <v>16</v>
      </c>
      <c r="H157" s="60" t="s">
        <v>24</v>
      </c>
      <c r="I157" s="12" t="str">
        <f t="shared" si="44"/>
        <v>05</v>
      </c>
      <c r="J157" s="12"/>
      <c r="K157" s="12"/>
      <c r="L157" s="12"/>
      <c r="M157" s="12"/>
      <c r="N157" s="12"/>
      <c r="O157" s="12"/>
      <c r="P157" s="12"/>
      <c r="Q157" s="13">
        <f t="shared" si="41"/>
        <v>2</v>
      </c>
      <c r="R157" s="13">
        <f t="shared" si="40"/>
        <v>160</v>
      </c>
      <c r="S157" s="13">
        <f t="shared" si="40"/>
        <v>98</v>
      </c>
      <c r="T157" s="13">
        <f t="shared" si="40"/>
        <v>0</v>
      </c>
      <c r="U157" s="13">
        <f t="shared" si="40"/>
        <v>1</v>
      </c>
      <c r="V157" s="13">
        <f t="shared" si="47"/>
        <v>261</v>
      </c>
      <c r="W157" s="13" t="str">
        <f t="shared" si="45"/>
        <v>05</v>
      </c>
      <c r="X157" s="13">
        <f t="shared" si="46"/>
        <v>520</v>
      </c>
      <c r="Y157" s="13" t="str">
        <f t="shared" si="48"/>
        <v>08</v>
      </c>
      <c r="Z157" s="119"/>
      <c r="AA157" s="119"/>
      <c r="AB157" s="119"/>
      <c r="AC157" s="119"/>
      <c r="AD157" s="119"/>
      <c r="AE157" s="119"/>
      <c r="AF157" s="119"/>
      <c r="AG157" s="119"/>
      <c r="AH157" s="119"/>
      <c r="AJ157" s="64"/>
      <c r="AK157" s="64" t="s">
        <v>2091</v>
      </c>
    </row>
    <row r="158" spans="2:37" ht="16.5" customHeight="1">
      <c r="B158" s="12" t="s">
        <v>2080</v>
      </c>
      <c r="C158" s="12" t="str">
        <f t="shared" si="43"/>
        <v>FF02A063000005</v>
      </c>
      <c r="D158" s="60" t="s">
        <v>17</v>
      </c>
      <c r="E158" s="60" t="s">
        <v>23</v>
      </c>
      <c r="F158" s="60" t="s">
        <v>1779</v>
      </c>
      <c r="G158" s="60" t="s">
        <v>16</v>
      </c>
      <c r="H158" s="60" t="s">
        <v>16</v>
      </c>
      <c r="I158" s="12" t="str">
        <f t="shared" si="44"/>
        <v>05</v>
      </c>
      <c r="J158" s="12"/>
      <c r="K158" s="12"/>
      <c r="L158" s="12"/>
      <c r="M158" s="12"/>
      <c r="N158" s="12"/>
      <c r="O158" s="12"/>
      <c r="P158" s="12"/>
      <c r="Q158" s="13">
        <f t="shared" si="41"/>
        <v>2</v>
      </c>
      <c r="R158" s="13">
        <f t="shared" si="40"/>
        <v>160</v>
      </c>
      <c r="S158" s="13">
        <f t="shared" si="40"/>
        <v>99</v>
      </c>
      <c r="T158" s="13">
        <f t="shared" si="40"/>
        <v>0</v>
      </c>
      <c r="U158" s="13">
        <f t="shared" si="40"/>
        <v>0</v>
      </c>
      <c r="V158" s="13">
        <f t="shared" si="47"/>
        <v>261</v>
      </c>
      <c r="W158" s="13" t="str">
        <f t="shared" si="45"/>
        <v>05</v>
      </c>
      <c r="X158" s="13">
        <f t="shared" si="46"/>
        <v>520</v>
      </c>
      <c r="Y158" s="13" t="str">
        <f t="shared" si="48"/>
        <v>08</v>
      </c>
      <c r="Z158" s="119"/>
      <c r="AA158" s="119"/>
      <c r="AB158" s="119"/>
      <c r="AC158" s="119"/>
      <c r="AD158" s="119"/>
      <c r="AE158" s="119"/>
      <c r="AF158" s="119"/>
      <c r="AG158" s="119"/>
      <c r="AH158" s="119"/>
      <c r="AJ158" s="64"/>
      <c r="AK158" s="64" t="s">
        <v>2092</v>
      </c>
    </row>
    <row r="159" spans="2:37" ht="16.5" customHeight="1">
      <c r="B159" s="12" t="s">
        <v>2081</v>
      </c>
      <c r="C159" s="12" t="str">
        <f>"FF"&amp;D159&amp;E159&amp;""&amp;F159&amp;G159&amp;H159&amp;I159</f>
        <v>FF02A06300FF04</v>
      </c>
      <c r="D159" s="60" t="s">
        <v>17</v>
      </c>
      <c r="E159" s="60" t="s">
        <v>23</v>
      </c>
      <c r="F159" s="60" t="s">
        <v>1779</v>
      </c>
      <c r="G159" s="60" t="s">
        <v>16</v>
      </c>
      <c r="H159" s="60" t="s">
        <v>9</v>
      </c>
      <c r="I159" s="12" t="str">
        <f t="shared" si="44"/>
        <v>04</v>
      </c>
      <c r="J159" s="12"/>
      <c r="K159" s="12"/>
      <c r="L159" s="12"/>
      <c r="M159" s="12"/>
      <c r="N159" s="12"/>
      <c r="O159" s="12"/>
      <c r="P159" s="12"/>
      <c r="Q159" s="13">
        <f t="shared" si="41"/>
        <v>2</v>
      </c>
      <c r="R159" s="13">
        <f t="shared" si="40"/>
        <v>160</v>
      </c>
      <c r="S159" s="13">
        <f t="shared" si="40"/>
        <v>99</v>
      </c>
      <c r="T159" s="13">
        <f t="shared" si="40"/>
        <v>0</v>
      </c>
      <c r="U159" s="13">
        <f t="shared" si="40"/>
        <v>255</v>
      </c>
      <c r="V159" s="13">
        <f t="shared" si="47"/>
        <v>516</v>
      </c>
      <c r="W159" s="13" t="str">
        <f t="shared" si="45"/>
        <v>04</v>
      </c>
      <c r="X159" s="13">
        <f t="shared" si="46"/>
        <v>1030</v>
      </c>
      <c r="Y159" s="13" t="str">
        <f t="shared" si="48"/>
        <v>06</v>
      </c>
      <c r="Z159" s="119"/>
      <c r="AA159" s="119"/>
      <c r="AB159" s="119"/>
      <c r="AC159" s="119"/>
      <c r="AD159" s="119"/>
      <c r="AE159" s="119"/>
      <c r="AF159" s="119"/>
      <c r="AG159" s="119">
        <v>255</v>
      </c>
      <c r="AH159" s="119" t="str">
        <f>DEC2HEX(AG159)</f>
        <v>FF</v>
      </c>
      <c r="AJ159" s="64"/>
      <c r="AK159" s="64" t="s">
        <v>2093</v>
      </c>
    </row>
    <row r="160" spans="2:37" ht="16.5" customHeight="1">
      <c r="B160" s="128" t="s">
        <v>2086</v>
      </c>
      <c r="C160" s="12" t="str">
        <f t="shared" si="43"/>
        <v>FF02A064000107</v>
      </c>
      <c r="D160" s="60" t="s">
        <v>17</v>
      </c>
      <c r="E160" s="60" t="s">
        <v>23</v>
      </c>
      <c r="F160" s="60" t="s">
        <v>128</v>
      </c>
      <c r="G160" s="60" t="s">
        <v>16</v>
      </c>
      <c r="H160" s="60" t="s">
        <v>24</v>
      </c>
      <c r="I160" s="12" t="str">
        <f t="shared" si="44"/>
        <v>07</v>
      </c>
      <c r="J160" s="12"/>
      <c r="K160" s="12"/>
      <c r="L160" s="12"/>
      <c r="M160" s="12"/>
      <c r="N160" s="12"/>
      <c r="O160" s="12"/>
      <c r="P160" s="12"/>
      <c r="Q160" s="13">
        <f t="shared" si="41"/>
        <v>2</v>
      </c>
      <c r="R160" s="13">
        <f t="shared" si="40"/>
        <v>160</v>
      </c>
      <c r="S160" s="13">
        <f t="shared" si="40"/>
        <v>100</v>
      </c>
      <c r="T160" s="13">
        <f t="shared" si="40"/>
        <v>0</v>
      </c>
      <c r="U160" s="13">
        <f t="shared" si="40"/>
        <v>1</v>
      </c>
      <c r="V160" s="13">
        <f t="shared" si="47"/>
        <v>263</v>
      </c>
      <c r="W160" s="13" t="str">
        <f t="shared" si="45"/>
        <v>07</v>
      </c>
      <c r="X160" s="13">
        <f t="shared" si="46"/>
        <v>524</v>
      </c>
      <c r="Y160" s="13" t="str">
        <f t="shared" si="48"/>
        <v>0C</v>
      </c>
      <c r="Z160" s="119"/>
      <c r="AA160" s="119"/>
      <c r="AB160" s="119"/>
      <c r="AC160" s="119"/>
      <c r="AD160" s="119"/>
      <c r="AE160" s="119"/>
      <c r="AF160" s="119"/>
      <c r="AG160" s="119"/>
      <c r="AH160" s="119"/>
      <c r="AJ160" s="64"/>
      <c r="AK160" s="64" t="s">
        <v>2094</v>
      </c>
    </row>
    <row r="161" spans="2:37" ht="16.5" customHeight="1">
      <c r="B161" s="12" t="s">
        <v>2085</v>
      </c>
      <c r="C161" s="12" t="str">
        <f t="shared" si="43"/>
        <v>FF02A064058792</v>
      </c>
      <c r="D161" s="60" t="s">
        <v>17</v>
      </c>
      <c r="E161" s="60" t="s">
        <v>23</v>
      </c>
      <c r="F161" s="60" t="s">
        <v>128</v>
      </c>
      <c r="G161" s="60" t="s">
        <v>92</v>
      </c>
      <c r="H161" s="60" t="s">
        <v>2011</v>
      </c>
      <c r="I161" s="12" t="str">
        <f t="shared" si="44"/>
        <v>92</v>
      </c>
      <c r="J161" s="12"/>
      <c r="K161" s="12"/>
      <c r="L161" s="12"/>
      <c r="M161" s="12"/>
      <c r="N161" s="12"/>
      <c r="O161" s="12"/>
      <c r="P161" s="12"/>
      <c r="Q161" s="13">
        <f t="shared" si="41"/>
        <v>2</v>
      </c>
      <c r="R161" s="13">
        <f t="shared" si="40"/>
        <v>160</v>
      </c>
      <c r="S161" s="13">
        <f t="shared" si="40"/>
        <v>100</v>
      </c>
      <c r="T161" s="13">
        <f t="shared" si="40"/>
        <v>5</v>
      </c>
      <c r="U161" s="13">
        <f t="shared" si="40"/>
        <v>135</v>
      </c>
      <c r="V161" s="13">
        <f t="shared" si="47"/>
        <v>402</v>
      </c>
      <c r="W161" s="13" t="str">
        <f t="shared" si="45"/>
        <v>92</v>
      </c>
      <c r="X161" s="13">
        <f t="shared" si="46"/>
        <v>802</v>
      </c>
      <c r="Y161" s="13" t="str">
        <f t="shared" si="48"/>
        <v>22</v>
      </c>
      <c r="Z161" s="119"/>
      <c r="AA161" s="119"/>
      <c r="AB161" s="119"/>
      <c r="AC161" s="119"/>
      <c r="AD161" s="119"/>
      <c r="AE161" s="119"/>
      <c r="AF161" s="119"/>
      <c r="AG161" s="119">
        <v>65535</v>
      </c>
      <c r="AH161" s="119" t="str">
        <f>DEC2HEX(AG161)</f>
        <v>FFFF</v>
      </c>
      <c r="AJ161" s="64"/>
      <c r="AK161" s="64" t="s">
        <v>2095</v>
      </c>
    </row>
    <row r="162" spans="2:37" ht="16.5" customHeight="1">
      <c r="B162" s="111" t="s">
        <v>1780</v>
      </c>
      <c r="C162" s="111" t="str">
        <f t="shared" si="43"/>
        <v>FF01B1000000B2</v>
      </c>
      <c r="D162" s="60" t="s">
        <v>24</v>
      </c>
      <c r="E162" s="60" t="s">
        <v>32</v>
      </c>
      <c r="F162" s="60" t="s">
        <v>16</v>
      </c>
      <c r="G162" s="60" t="s">
        <v>16</v>
      </c>
      <c r="H162" s="60" t="s">
        <v>16</v>
      </c>
      <c r="I162" s="12" t="str">
        <f t="shared" si="44"/>
        <v>B2</v>
      </c>
      <c r="J162" s="12"/>
      <c r="K162" s="12"/>
      <c r="L162" s="12"/>
      <c r="M162" s="12"/>
      <c r="N162" s="12"/>
      <c r="O162" s="12"/>
      <c r="P162" s="12"/>
      <c r="Q162" s="13">
        <f t="shared" si="41"/>
        <v>1</v>
      </c>
      <c r="R162" s="13">
        <f t="shared" si="40"/>
        <v>177</v>
      </c>
      <c r="S162" s="13">
        <f t="shared" si="40"/>
        <v>0</v>
      </c>
      <c r="T162" s="13">
        <f t="shared" si="40"/>
        <v>0</v>
      </c>
      <c r="U162" s="13">
        <f t="shared" si="40"/>
        <v>0</v>
      </c>
      <c r="V162" s="13">
        <f t="shared" ref="V162:V185" si="49">SUM(Q162:U162)</f>
        <v>178</v>
      </c>
      <c r="W162" s="13" t="str">
        <f t="shared" si="45"/>
        <v>B2</v>
      </c>
      <c r="X162" s="13">
        <f t="shared" si="46"/>
        <v>355</v>
      </c>
      <c r="Y162" s="13" t="str">
        <f t="shared" si="48"/>
        <v>63</v>
      </c>
      <c r="Z162" s="119"/>
      <c r="AA162" s="119"/>
      <c r="AB162" s="119"/>
      <c r="AC162" s="119"/>
      <c r="AD162" s="119"/>
      <c r="AE162" s="119"/>
      <c r="AF162" s="119"/>
      <c r="AG162" s="119"/>
      <c r="AH162" s="119"/>
      <c r="AJ162" s="64"/>
      <c r="AK162" s="64" t="s">
        <v>2101</v>
      </c>
    </row>
    <row r="163" spans="2:37" ht="16.5" customHeight="1">
      <c r="B163" s="12" t="s">
        <v>1781</v>
      </c>
      <c r="C163" s="12" t="str">
        <f t="shared" si="43"/>
        <v>FF01B0010000B2</v>
      </c>
      <c r="D163" s="60" t="s">
        <v>24</v>
      </c>
      <c r="E163" s="60" t="s">
        <v>1275</v>
      </c>
      <c r="F163" s="60" t="s">
        <v>24</v>
      </c>
      <c r="G163" s="60" t="s">
        <v>16</v>
      </c>
      <c r="H163" s="60" t="s">
        <v>16</v>
      </c>
      <c r="I163" s="12" t="str">
        <f t="shared" si="44"/>
        <v>B2</v>
      </c>
      <c r="J163" s="12"/>
      <c r="K163" s="12"/>
      <c r="L163" s="12"/>
      <c r="M163" s="12"/>
      <c r="N163" s="12"/>
      <c r="O163" s="12"/>
      <c r="P163" s="12"/>
      <c r="Q163" s="13">
        <f t="shared" si="41"/>
        <v>1</v>
      </c>
      <c r="R163" s="13">
        <f t="shared" si="40"/>
        <v>176</v>
      </c>
      <c r="S163" s="13">
        <f t="shared" si="40"/>
        <v>1</v>
      </c>
      <c r="T163" s="13">
        <f t="shared" si="40"/>
        <v>0</v>
      </c>
      <c r="U163" s="13">
        <f t="shared" si="40"/>
        <v>0</v>
      </c>
      <c r="V163" s="13">
        <f t="shared" si="49"/>
        <v>178</v>
      </c>
      <c r="W163" s="13" t="str">
        <f t="shared" si="45"/>
        <v>B2</v>
      </c>
      <c r="X163" s="13">
        <f t="shared" si="46"/>
        <v>355</v>
      </c>
      <c r="Y163" s="13" t="str">
        <f t="shared" si="48"/>
        <v>63</v>
      </c>
      <c r="Z163" s="119"/>
      <c r="AA163" s="119"/>
      <c r="AB163" s="119"/>
      <c r="AC163" s="119"/>
      <c r="AD163" s="119"/>
      <c r="AE163" s="119"/>
      <c r="AF163" s="119"/>
      <c r="AG163" s="119"/>
      <c r="AH163" s="119"/>
      <c r="AJ163" s="64"/>
      <c r="AK163" s="64" t="s">
        <v>2102</v>
      </c>
    </row>
    <row r="164" spans="2:37" ht="16.5" customHeight="1">
      <c r="B164" s="12" t="s">
        <v>1782</v>
      </c>
      <c r="C164" s="12" t="str">
        <f t="shared" si="43"/>
        <v>FF01B0020000B3</v>
      </c>
      <c r="D164" s="60" t="s">
        <v>24</v>
      </c>
      <c r="E164" s="60" t="s">
        <v>1275</v>
      </c>
      <c r="F164" s="60" t="s">
        <v>17</v>
      </c>
      <c r="G164" s="60" t="s">
        <v>16</v>
      </c>
      <c r="H164" s="60" t="s">
        <v>16</v>
      </c>
      <c r="I164" s="12" t="str">
        <f t="shared" si="44"/>
        <v>B3</v>
      </c>
      <c r="J164" s="12"/>
      <c r="K164" s="12"/>
      <c r="L164" s="12"/>
      <c r="M164" s="12"/>
      <c r="N164" s="12"/>
      <c r="O164" s="12"/>
      <c r="P164" s="12"/>
      <c r="Q164" s="13">
        <f t="shared" si="41"/>
        <v>1</v>
      </c>
      <c r="R164" s="13">
        <f t="shared" si="40"/>
        <v>176</v>
      </c>
      <c r="S164" s="13">
        <f t="shared" si="40"/>
        <v>2</v>
      </c>
      <c r="T164" s="13">
        <f t="shared" si="40"/>
        <v>0</v>
      </c>
      <c r="U164" s="13">
        <f t="shared" si="40"/>
        <v>0</v>
      </c>
      <c r="V164" s="13">
        <f t="shared" si="49"/>
        <v>179</v>
      </c>
      <c r="W164" s="13" t="str">
        <f t="shared" si="45"/>
        <v>B3</v>
      </c>
      <c r="X164" s="13">
        <f t="shared" si="46"/>
        <v>357</v>
      </c>
      <c r="Y164" s="13" t="str">
        <f t="shared" si="48"/>
        <v>65</v>
      </c>
      <c r="Z164" s="119"/>
      <c r="AA164" s="119"/>
      <c r="AB164" s="119"/>
      <c r="AC164" s="119"/>
      <c r="AD164" s="119"/>
      <c r="AE164" s="119"/>
      <c r="AF164" s="119"/>
      <c r="AG164" s="119"/>
      <c r="AH164" s="119"/>
      <c r="AJ164" s="64"/>
      <c r="AK164" s="64" t="s">
        <v>2103</v>
      </c>
    </row>
    <row r="165" spans="2:37" ht="16.5" customHeight="1">
      <c r="B165" s="12" t="s">
        <v>1783</v>
      </c>
      <c r="C165" s="12" t="str">
        <f t="shared" si="43"/>
        <v>FF01B0020001B4</v>
      </c>
      <c r="D165" s="60" t="s">
        <v>24</v>
      </c>
      <c r="E165" s="60" t="s">
        <v>1275</v>
      </c>
      <c r="F165" s="60" t="s">
        <v>17</v>
      </c>
      <c r="G165" s="60" t="s">
        <v>16</v>
      </c>
      <c r="H165" s="60" t="s">
        <v>24</v>
      </c>
      <c r="I165" s="12" t="str">
        <f t="shared" si="44"/>
        <v>B4</v>
      </c>
      <c r="J165" s="12"/>
      <c r="K165" s="12"/>
      <c r="L165" s="12"/>
      <c r="M165" s="12"/>
      <c r="N165" s="12"/>
      <c r="O165" s="12"/>
      <c r="P165" s="12"/>
      <c r="Q165" s="13">
        <f t="shared" si="41"/>
        <v>1</v>
      </c>
      <c r="R165" s="13">
        <f t="shared" si="40"/>
        <v>176</v>
      </c>
      <c r="S165" s="13">
        <f t="shared" si="40"/>
        <v>2</v>
      </c>
      <c r="T165" s="13">
        <f t="shared" si="40"/>
        <v>0</v>
      </c>
      <c r="U165" s="13">
        <f t="shared" si="40"/>
        <v>1</v>
      </c>
      <c r="V165" s="13">
        <f t="shared" si="49"/>
        <v>180</v>
      </c>
      <c r="W165" s="13" t="str">
        <f t="shared" si="45"/>
        <v>B4</v>
      </c>
      <c r="X165" s="13">
        <f t="shared" si="46"/>
        <v>359</v>
      </c>
      <c r="Y165" s="13" t="str">
        <f t="shared" si="48"/>
        <v>67</v>
      </c>
      <c r="Z165" s="119"/>
      <c r="AA165" s="119"/>
      <c r="AB165" s="119"/>
      <c r="AC165" s="119"/>
      <c r="AD165" s="119"/>
      <c r="AE165" s="119"/>
      <c r="AF165" s="119"/>
      <c r="AG165" s="119"/>
      <c r="AH165" s="119"/>
      <c r="AJ165" s="64"/>
      <c r="AK165" s="64" t="s">
        <v>2104</v>
      </c>
    </row>
    <row r="166" spans="2:37" ht="16.5" customHeight="1">
      <c r="B166" s="12" t="s">
        <v>1785</v>
      </c>
      <c r="C166" s="12" t="str">
        <f t="shared" si="43"/>
        <v>FF01B0020002B5</v>
      </c>
      <c r="D166" s="60" t="s">
        <v>24</v>
      </c>
      <c r="E166" s="60" t="s">
        <v>1275</v>
      </c>
      <c r="F166" s="60" t="s">
        <v>17</v>
      </c>
      <c r="G166" s="60" t="s">
        <v>16</v>
      </c>
      <c r="H166" s="60" t="s">
        <v>17</v>
      </c>
      <c r="I166" s="12" t="str">
        <f t="shared" si="44"/>
        <v>B5</v>
      </c>
      <c r="J166" s="12"/>
      <c r="K166" s="12"/>
      <c r="L166" s="12"/>
      <c r="M166" s="12"/>
      <c r="N166" s="12"/>
      <c r="O166" s="12"/>
      <c r="P166" s="12"/>
      <c r="Q166" s="13">
        <f t="shared" si="41"/>
        <v>1</v>
      </c>
      <c r="R166" s="13">
        <f t="shared" si="40"/>
        <v>176</v>
      </c>
      <c r="S166" s="13">
        <f t="shared" si="40"/>
        <v>2</v>
      </c>
      <c r="T166" s="13">
        <f t="shared" si="40"/>
        <v>0</v>
      </c>
      <c r="U166" s="13">
        <f t="shared" si="40"/>
        <v>2</v>
      </c>
      <c r="V166" s="13">
        <f t="shared" si="49"/>
        <v>181</v>
      </c>
      <c r="W166" s="13" t="str">
        <f t="shared" si="45"/>
        <v>B5</v>
      </c>
      <c r="X166" s="13">
        <f t="shared" si="46"/>
        <v>361</v>
      </c>
      <c r="Y166" s="13" t="str">
        <f t="shared" si="48"/>
        <v>69</v>
      </c>
      <c r="Z166" s="119"/>
      <c r="AA166" s="119"/>
      <c r="AB166" s="119"/>
      <c r="AC166" s="119"/>
      <c r="AD166" s="119"/>
      <c r="AE166" s="119"/>
      <c r="AF166" s="119"/>
      <c r="AG166" s="119"/>
      <c r="AH166" s="119"/>
      <c r="AJ166" s="64"/>
      <c r="AK166" s="64" t="s">
        <v>2105</v>
      </c>
    </row>
    <row r="167" spans="2:37" ht="16.5" customHeight="1">
      <c r="B167" s="12" t="s">
        <v>1784</v>
      </c>
      <c r="C167" s="12" t="str">
        <f t="shared" si="43"/>
        <v>FF01B0020003B6</v>
      </c>
      <c r="D167" s="60" t="s">
        <v>24</v>
      </c>
      <c r="E167" s="60" t="s">
        <v>1275</v>
      </c>
      <c r="F167" s="60" t="s">
        <v>17</v>
      </c>
      <c r="G167" s="60" t="s">
        <v>16</v>
      </c>
      <c r="H167" s="60" t="s">
        <v>91</v>
      </c>
      <c r="I167" s="12" t="str">
        <f t="shared" si="44"/>
        <v>B6</v>
      </c>
      <c r="J167" s="12"/>
      <c r="K167" s="12"/>
      <c r="L167" s="12"/>
      <c r="M167" s="12"/>
      <c r="N167" s="12"/>
      <c r="O167" s="12"/>
      <c r="P167" s="12"/>
      <c r="Q167" s="13">
        <f t="shared" si="41"/>
        <v>1</v>
      </c>
      <c r="R167" s="13">
        <f t="shared" si="40"/>
        <v>176</v>
      </c>
      <c r="S167" s="13">
        <f t="shared" si="40"/>
        <v>2</v>
      </c>
      <c r="T167" s="13">
        <f t="shared" si="40"/>
        <v>0</v>
      </c>
      <c r="U167" s="13">
        <f t="shared" si="40"/>
        <v>3</v>
      </c>
      <c r="V167" s="13">
        <f t="shared" si="49"/>
        <v>182</v>
      </c>
      <c r="W167" s="13" t="str">
        <f t="shared" si="45"/>
        <v>B6</v>
      </c>
      <c r="X167" s="13">
        <f t="shared" si="46"/>
        <v>363</v>
      </c>
      <c r="Y167" s="13" t="str">
        <f t="shared" si="48"/>
        <v>6B</v>
      </c>
      <c r="Z167" s="119"/>
      <c r="AA167" s="119"/>
      <c r="AB167" s="119"/>
      <c r="AC167" s="119"/>
      <c r="AD167" s="119"/>
      <c r="AE167" s="119"/>
      <c r="AF167" s="119"/>
      <c r="AG167" s="119"/>
      <c r="AH167" s="119"/>
      <c r="AJ167" s="64"/>
      <c r="AK167" s="64" t="s">
        <v>2106</v>
      </c>
    </row>
    <row r="168" spans="2:37" ht="16.5" customHeight="1">
      <c r="B168" s="12" t="s">
        <v>1791</v>
      </c>
      <c r="C168" s="12" t="str">
        <f t="shared" si="43"/>
        <v>FF01B0030000B4</v>
      </c>
      <c r="D168" s="60" t="s">
        <v>24</v>
      </c>
      <c r="E168" s="60" t="s">
        <v>1275</v>
      </c>
      <c r="F168" s="60" t="s">
        <v>91</v>
      </c>
      <c r="G168" s="60" t="s">
        <v>16</v>
      </c>
      <c r="H168" s="60" t="s">
        <v>16</v>
      </c>
      <c r="I168" s="12" t="str">
        <f t="shared" si="44"/>
        <v>B4</v>
      </c>
      <c r="J168" s="12"/>
      <c r="K168" s="12"/>
      <c r="L168" s="12"/>
      <c r="M168" s="12"/>
      <c r="N168" s="12"/>
      <c r="O168" s="12"/>
      <c r="P168" s="12"/>
      <c r="Q168" s="13">
        <f t="shared" si="41"/>
        <v>1</v>
      </c>
      <c r="R168" s="13">
        <f t="shared" si="40"/>
        <v>176</v>
      </c>
      <c r="S168" s="13">
        <f t="shared" si="40"/>
        <v>3</v>
      </c>
      <c r="T168" s="13">
        <f t="shared" si="40"/>
        <v>0</v>
      </c>
      <c r="U168" s="13">
        <f t="shared" si="40"/>
        <v>0</v>
      </c>
      <c r="V168" s="13">
        <f t="shared" si="49"/>
        <v>180</v>
      </c>
      <c r="W168" s="13" t="str">
        <f t="shared" si="45"/>
        <v>B4</v>
      </c>
      <c r="X168" s="13">
        <f t="shared" si="46"/>
        <v>359</v>
      </c>
      <c r="Y168" s="13" t="str">
        <f t="shared" si="48"/>
        <v>67</v>
      </c>
      <c r="Z168" s="119"/>
      <c r="AA168" s="119"/>
      <c r="AB168" s="119"/>
      <c r="AC168" s="119"/>
      <c r="AD168" s="119"/>
      <c r="AE168" s="119"/>
      <c r="AF168" s="119"/>
      <c r="AG168" s="119"/>
      <c r="AH168" s="119"/>
      <c r="AJ168" s="64"/>
      <c r="AK168" s="64" t="s">
        <v>2107</v>
      </c>
    </row>
    <row r="169" spans="2:37" ht="16.5" customHeight="1">
      <c r="B169" s="12" t="s">
        <v>1792</v>
      </c>
      <c r="C169" s="12" t="str">
        <f t="shared" si="43"/>
        <v>FF01B0030040F4</v>
      </c>
      <c r="D169" s="60" t="s">
        <v>24</v>
      </c>
      <c r="E169" s="60" t="s">
        <v>1275</v>
      </c>
      <c r="F169" s="60" t="s">
        <v>91</v>
      </c>
      <c r="G169" s="60" t="s">
        <v>16</v>
      </c>
      <c r="H169" s="60" t="s">
        <v>1503</v>
      </c>
      <c r="I169" s="12" t="str">
        <f t="shared" si="44"/>
        <v>F4</v>
      </c>
      <c r="J169" s="12"/>
      <c r="K169" s="12"/>
      <c r="L169" s="12"/>
      <c r="M169" s="12"/>
      <c r="N169" s="12"/>
      <c r="O169" s="12"/>
      <c r="P169" s="12"/>
      <c r="Q169" s="13">
        <f t="shared" si="41"/>
        <v>1</v>
      </c>
      <c r="R169" s="13">
        <f t="shared" si="40"/>
        <v>176</v>
      </c>
      <c r="S169" s="13">
        <f t="shared" si="40"/>
        <v>3</v>
      </c>
      <c r="T169" s="13">
        <f t="shared" si="40"/>
        <v>0</v>
      </c>
      <c r="U169" s="13">
        <f t="shared" si="40"/>
        <v>64</v>
      </c>
      <c r="V169" s="13">
        <f t="shared" si="49"/>
        <v>244</v>
      </c>
      <c r="W169" s="13" t="str">
        <f t="shared" si="45"/>
        <v>F4</v>
      </c>
      <c r="X169" s="13">
        <f t="shared" si="46"/>
        <v>487</v>
      </c>
      <c r="Y169" s="13" t="str">
        <f t="shared" si="48"/>
        <v>E7</v>
      </c>
      <c r="Z169" s="119"/>
      <c r="AA169" s="119"/>
      <c r="AB169" s="119"/>
      <c r="AC169" s="119"/>
      <c r="AD169" s="119"/>
      <c r="AE169" s="119"/>
      <c r="AF169" s="119"/>
      <c r="AG169" s="119">
        <v>64</v>
      </c>
      <c r="AH169" s="119" t="str">
        <f>DEC2HEX(AG169)</f>
        <v>40</v>
      </c>
      <c r="AJ169" s="64"/>
      <c r="AK169" s="64" t="s">
        <v>2108</v>
      </c>
    </row>
    <row r="170" spans="2:37" ht="16.5" customHeight="1">
      <c r="B170" s="12" t="s">
        <v>1786</v>
      </c>
      <c r="C170" s="12" t="str">
        <f t="shared" si="43"/>
        <v>FF01B0040000B5</v>
      </c>
      <c r="D170" s="60" t="s">
        <v>24</v>
      </c>
      <c r="E170" s="60" t="s">
        <v>1275</v>
      </c>
      <c r="F170" s="60" t="s">
        <v>67</v>
      </c>
      <c r="G170" s="60" t="s">
        <v>16</v>
      </c>
      <c r="H170" s="60" t="s">
        <v>16</v>
      </c>
      <c r="I170" s="12" t="str">
        <f t="shared" si="44"/>
        <v>B5</v>
      </c>
      <c r="J170" s="12"/>
      <c r="K170" s="12"/>
      <c r="L170" s="12"/>
      <c r="M170" s="12"/>
      <c r="N170" s="12"/>
      <c r="O170" s="12"/>
      <c r="P170" s="12"/>
      <c r="Q170" s="13">
        <f t="shared" si="41"/>
        <v>1</v>
      </c>
      <c r="R170" s="13">
        <f t="shared" si="40"/>
        <v>176</v>
      </c>
      <c r="S170" s="13">
        <f t="shared" si="40"/>
        <v>4</v>
      </c>
      <c r="T170" s="13">
        <f t="shared" si="40"/>
        <v>0</v>
      </c>
      <c r="U170" s="13">
        <f t="shared" si="40"/>
        <v>0</v>
      </c>
      <c r="V170" s="13">
        <f t="shared" si="49"/>
        <v>181</v>
      </c>
      <c r="W170" s="13" t="str">
        <f t="shared" si="45"/>
        <v>B5</v>
      </c>
      <c r="X170" s="13">
        <f t="shared" si="46"/>
        <v>361</v>
      </c>
      <c r="Y170" s="13" t="str">
        <f t="shared" si="48"/>
        <v>69</v>
      </c>
      <c r="Z170" s="119"/>
      <c r="AA170" s="119"/>
      <c r="AB170" s="119"/>
      <c r="AC170" s="119"/>
      <c r="AD170" s="119"/>
      <c r="AE170" s="119"/>
      <c r="AF170" s="119"/>
      <c r="AG170" s="119"/>
      <c r="AH170" s="119"/>
      <c r="AJ170" s="64"/>
      <c r="AK170" s="64" t="s">
        <v>2109</v>
      </c>
    </row>
    <row r="171" spans="2:37" ht="17.25">
      <c r="B171" s="12" t="s">
        <v>1787</v>
      </c>
      <c r="C171" s="12" t="str">
        <f t="shared" si="43"/>
        <v>FF01B004A8C01D</v>
      </c>
      <c r="D171" s="60" t="s">
        <v>24</v>
      </c>
      <c r="E171" s="60" t="s">
        <v>1275</v>
      </c>
      <c r="F171" s="60" t="s">
        <v>67</v>
      </c>
      <c r="G171" s="60" t="s">
        <v>1725</v>
      </c>
      <c r="H171" s="60" t="s">
        <v>1276</v>
      </c>
      <c r="I171" s="12" t="str">
        <f t="shared" si="44"/>
        <v>1D</v>
      </c>
      <c r="J171" s="12"/>
      <c r="K171" s="12"/>
      <c r="L171" s="12"/>
      <c r="M171" s="12"/>
      <c r="N171" s="12"/>
      <c r="O171" s="12"/>
      <c r="P171" s="12"/>
      <c r="Q171" s="13">
        <f t="shared" si="41"/>
        <v>1</v>
      </c>
      <c r="R171" s="13">
        <f t="shared" si="40"/>
        <v>176</v>
      </c>
      <c r="S171" s="13">
        <f t="shared" si="40"/>
        <v>4</v>
      </c>
      <c r="T171" s="13">
        <f t="shared" si="40"/>
        <v>168</v>
      </c>
      <c r="U171" s="13">
        <f t="shared" si="40"/>
        <v>192</v>
      </c>
      <c r="V171" s="13">
        <f t="shared" si="49"/>
        <v>541</v>
      </c>
      <c r="W171" s="13" t="str">
        <f t="shared" si="45"/>
        <v>1D</v>
      </c>
      <c r="X171" s="13">
        <f t="shared" si="46"/>
        <v>1081</v>
      </c>
      <c r="Y171" s="13" t="str">
        <f t="shared" si="48"/>
        <v>39</v>
      </c>
      <c r="Z171" s="119"/>
      <c r="AA171" s="119"/>
      <c r="AB171" s="119"/>
      <c r="AC171" s="119"/>
      <c r="AD171" s="119"/>
      <c r="AE171" s="119"/>
      <c r="AF171" s="119"/>
      <c r="AG171" s="119">
        <v>43200</v>
      </c>
      <c r="AH171" s="119" t="str">
        <f>DEC2HEX(AG171)</f>
        <v>A8C0</v>
      </c>
      <c r="AJ171" s="64"/>
      <c r="AK171" s="64" t="s">
        <v>2110</v>
      </c>
    </row>
    <row r="172" spans="2:37" ht="17.25">
      <c r="B172" s="12" t="s">
        <v>2096</v>
      </c>
      <c r="C172" s="12" t="str">
        <f t="shared" si="43"/>
        <v>FF01B004003CF1</v>
      </c>
      <c r="D172" s="60" t="s">
        <v>24</v>
      </c>
      <c r="E172" s="60" t="s">
        <v>1275</v>
      </c>
      <c r="F172" s="60" t="s">
        <v>67</v>
      </c>
      <c r="G172" s="60" t="s">
        <v>16</v>
      </c>
      <c r="H172" s="60" t="s">
        <v>1325</v>
      </c>
      <c r="I172" s="12" t="str">
        <f t="shared" si="44"/>
        <v>F1</v>
      </c>
      <c r="J172" s="12"/>
      <c r="K172" s="12"/>
      <c r="L172" s="12"/>
      <c r="M172" s="12"/>
      <c r="N172" s="12"/>
      <c r="O172" s="12"/>
      <c r="P172" s="12"/>
      <c r="Q172" s="13">
        <f t="shared" si="41"/>
        <v>1</v>
      </c>
      <c r="R172" s="13">
        <f t="shared" si="40"/>
        <v>176</v>
      </c>
      <c r="S172" s="13">
        <f t="shared" si="40"/>
        <v>4</v>
      </c>
      <c r="T172" s="13">
        <f t="shared" si="40"/>
        <v>0</v>
      </c>
      <c r="U172" s="13">
        <f t="shared" si="40"/>
        <v>60</v>
      </c>
      <c r="V172" s="13">
        <f t="shared" si="49"/>
        <v>241</v>
      </c>
      <c r="W172" s="13" t="str">
        <f t="shared" si="45"/>
        <v>F1</v>
      </c>
      <c r="X172" s="13">
        <f t="shared" si="46"/>
        <v>481</v>
      </c>
      <c r="Y172" s="13" t="str">
        <f t="shared" si="48"/>
        <v>E1</v>
      </c>
      <c r="Z172" s="119"/>
      <c r="AA172" s="119"/>
      <c r="AB172" s="119"/>
      <c r="AC172" s="119"/>
      <c r="AD172" s="119"/>
      <c r="AE172" s="119"/>
      <c r="AF172" s="119"/>
      <c r="AG172" s="119">
        <v>43200</v>
      </c>
      <c r="AH172" s="119" t="str">
        <f>DEC2HEX(AG172)</f>
        <v>A8C0</v>
      </c>
      <c r="AJ172" s="64"/>
      <c r="AK172" s="64" t="s">
        <v>2111</v>
      </c>
    </row>
    <row r="173" spans="2:37" ht="17.25">
      <c r="B173" s="12" t="s">
        <v>2120</v>
      </c>
      <c r="C173" s="12" t="str">
        <f t="shared" si="43"/>
        <v>FF01B004000ABF</v>
      </c>
      <c r="D173" s="60" t="s">
        <v>24</v>
      </c>
      <c r="E173" s="60" t="s">
        <v>1275</v>
      </c>
      <c r="F173" s="60" t="s">
        <v>67</v>
      </c>
      <c r="G173" s="60" t="s">
        <v>16</v>
      </c>
      <c r="H173" s="60" t="s">
        <v>61</v>
      </c>
      <c r="I173" s="12" t="str">
        <f t="shared" si="44"/>
        <v>BF</v>
      </c>
      <c r="J173" s="12"/>
      <c r="K173" s="12"/>
      <c r="L173" s="12"/>
      <c r="M173" s="12"/>
      <c r="N173" s="12"/>
      <c r="O173" s="12"/>
      <c r="P173" s="12"/>
      <c r="Q173" s="13">
        <f t="shared" si="41"/>
        <v>1</v>
      </c>
      <c r="R173" s="13">
        <f t="shared" si="40"/>
        <v>176</v>
      </c>
      <c r="S173" s="13">
        <f t="shared" si="40"/>
        <v>4</v>
      </c>
      <c r="T173" s="13">
        <f t="shared" si="40"/>
        <v>0</v>
      </c>
      <c r="U173" s="13">
        <f t="shared" si="40"/>
        <v>10</v>
      </c>
      <c r="V173" s="13">
        <f t="shared" si="49"/>
        <v>191</v>
      </c>
      <c r="W173" s="13" t="str">
        <f t="shared" si="45"/>
        <v>BF</v>
      </c>
      <c r="X173" s="13">
        <f t="shared" si="46"/>
        <v>381</v>
      </c>
      <c r="Y173" s="13" t="str">
        <f t="shared" si="48"/>
        <v>7D</v>
      </c>
      <c r="Z173" s="119"/>
      <c r="AA173" s="119"/>
      <c r="AB173" s="119"/>
      <c r="AC173" s="119"/>
      <c r="AD173" s="119"/>
      <c r="AE173" s="119"/>
      <c r="AF173" s="119"/>
      <c r="AG173" s="119">
        <v>43200</v>
      </c>
      <c r="AH173" s="119" t="str">
        <f>DEC2HEX(AG173)</f>
        <v>A8C0</v>
      </c>
      <c r="AJ173" s="64"/>
      <c r="AK173" s="64" t="s">
        <v>2193</v>
      </c>
    </row>
    <row r="174" spans="2:37" ht="16.5" customHeight="1">
      <c r="B174" s="12" t="s">
        <v>1788</v>
      </c>
      <c r="C174" s="12" t="str">
        <f t="shared" si="43"/>
        <v>FF01B005FFFFB4</v>
      </c>
      <c r="D174" s="60" t="s">
        <v>24</v>
      </c>
      <c r="E174" s="60" t="s">
        <v>1275</v>
      </c>
      <c r="F174" s="60" t="s">
        <v>92</v>
      </c>
      <c r="G174" s="60" t="s">
        <v>9</v>
      </c>
      <c r="H174" s="60" t="s">
        <v>9</v>
      </c>
      <c r="I174" s="12" t="str">
        <f t="shared" si="44"/>
        <v>B4</v>
      </c>
      <c r="J174" s="12"/>
      <c r="K174" s="12"/>
      <c r="L174" s="12"/>
      <c r="M174" s="12"/>
      <c r="N174" s="12"/>
      <c r="O174" s="12"/>
      <c r="P174" s="12"/>
      <c r="Q174" s="13">
        <f t="shared" si="41"/>
        <v>1</v>
      </c>
      <c r="R174" s="13">
        <f t="shared" si="40"/>
        <v>176</v>
      </c>
      <c r="S174" s="13">
        <f t="shared" si="40"/>
        <v>5</v>
      </c>
      <c r="T174" s="13">
        <f t="shared" si="40"/>
        <v>255</v>
      </c>
      <c r="U174" s="13">
        <f t="shared" si="40"/>
        <v>255</v>
      </c>
      <c r="V174" s="13">
        <f t="shared" si="49"/>
        <v>692</v>
      </c>
      <c r="W174" s="13" t="str">
        <f t="shared" si="45"/>
        <v>B4</v>
      </c>
      <c r="X174" s="13">
        <f t="shared" si="46"/>
        <v>1383</v>
      </c>
      <c r="Y174" s="13" t="str">
        <f t="shared" si="48"/>
        <v>67</v>
      </c>
      <c r="Z174" s="119"/>
      <c r="AA174" s="119"/>
      <c r="AB174" s="119"/>
      <c r="AC174" s="119"/>
      <c r="AD174" s="119"/>
      <c r="AE174" s="119"/>
      <c r="AF174" s="119"/>
      <c r="AG174" s="119">
        <v>-1</v>
      </c>
      <c r="AH174" s="119"/>
      <c r="AI174" s="119" t="str">
        <f>TEXT(DEC2HEX(65536 + AG174), "0000")</f>
        <v>FFFF</v>
      </c>
      <c r="AJ174" s="64"/>
      <c r="AK174" s="64" t="s">
        <v>2112</v>
      </c>
    </row>
    <row r="175" spans="2:37" ht="16.5" customHeight="1">
      <c r="B175" s="12" t="s">
        <v>2099</v>
      </c>
      <c r="C175" s="12" t="str">
        <f t="shared" si="43"/>
        <v>FF01B006EE6C11</v>
      </c>
      <c r="D175" s="60" t="s">
        <v>24</v>
      </c>
      <c r="E175" s="60" t="s">
        <v>1275</v>
      </c>
      <c r="F175" s="60" t="s">
        <v>100</v>
      </c>
      <c r="G175" s="60" t="s">
        <v>1716</v>
      </c>
      <c r="H175" s="60" t="s">
        <v>1717</v>
      </c>
      <c r="I175" s="12" t="str">
        <f t="shared" si="44"/>
        <v>11</v>
      </c>
      <c r="J175" s="12"/>
      <c r="K175" s="12"/>
      <c r="L175" s="12"/>
      <c r="M175" s="12"/>
      <c r="N175" s="12"/>
      <c r="O175" s="12"/>
      <c r="P175" s="12"/>
      <c r="Q175" s="13">
        <f t="shared" si="41"/>
        <v>1</v>
      </c>
      <c r="R175" s="13">
        <f t="shared" si="40"/>
        <v>176</v>
      </c>
      <c r="S175" s="13">
        <f t="shared" si="40"/>
        <v>6</v>
      </c>
      <c r="T175" s="13">
        <f t="shared" si="40"/>
        <v>238</v>
      </c>
      <c r="U175" s="13">
        <f t="shared" si="40"/>
        <v>108</v>
      </c>
      <c r="V175" s="13">
        <f t="shared" si="49"/>
        <v>529</v>
      </c>
      <c r="W175" s="13" t="str">
        <f t="shared" si="45"/>
        <v>11</v>
      </c>
      <c r="X175" s="13">
        <f t="shared" si="46"/>
        <v>1057</v>
      </c>
      <c r="Y175" s="13" t="str">
        <f t="shared" si="48"/>
        <v>21</v>
      </c>
      <c r="Z175" s="119"/>
      <c r="AA175" s="119"/>
      <c r="AB175" s="119"/>
      <c r="AC175" s="119"/>
      <c r="AD175" s="119"/>
      <c r="AE175" s="119"/>
      <c r="AF175" s="119"/>
      <c r="AG175" s="119"/>
      <c r="AH175" s="119"/>
      <c r="AJ175" s="64"/>
      <c r="AK175" s="64" t="s">
        <v>2113</v>
      </c>
    </row>
    <row r="176" spans="2:37" ht="16.5" customHeight="1">
      <c r="B176" s="12" t="s">
        <v>2100</v>
      </c>
      <c r="C176" s="12" t="str">
        <f t="shared" si="43"/>
        <v>FF01B0DCD8288D</v>
      </c>
      <c r="D176" s="60" t="s">
        <v>24</v>
      </c>
      <c r="E176" s="60" t="s">
        <v>1275</v>
      </c>
      <c r="F176" s="60" t="s">
        <v>1694</v>
      </c>
      <c r="G176" s="60" t="s">
        <v>1695</v>
      </c>
      <c r="H176" s="60" t="s">
        <v>140</v>
      </c>
      <c r="I176" s="12" t="str">
        <f t="shared" si="44"/>
        <v>8D</v>
      </c>
      <c r="J176" s="12"/>
      <c r="K176" s="12"/>
      <c r="L176" s="12"/>
      <c r="M176" s="12"/>
      <c r="N176" s="12"/>
      <c r="O176" s="12"/>
      <c r="P176" s="12"/>
      <c r="Q176" s="13">
        <f t="shared" si="41"/>
        <v>1</v>
      </c>
      <c r="R176" s="13">
        <f t="shared" si="40"/>
        <v>176</v>
      </c>
      <c r="S176" s="13">
        <f t="shared" si="40"/>
        <v>220</v>
      </c>
      <c r="T176" s="13">
        <f t="shared" si="40"/>
        <v>216</v>
      </c>
      <c r="U176" s="13">
        <f t="shared" si="40"/>
        <v>40</v>
      </c>
      <c r="V176" s="13">
        <f t="shared" si="49"/>
        <v>653</v>
      </c>
      <c r="W176" s="13" t="str">
        <f t="shared" si="45"/>
        <v>8D</v>
      </c>
      <c r="X176" s="13">
        <f t="shared" si="46"/>
        <v>1305</v>
      </c>
      <c r="Y176" s="13" t="str">
        <f t="shared" si="48"/>
        <v>19</v>
      </c>
      <c r="Z176" s="119"/>
      <c r="AA176" s="119"/>
      <c r="AB176" s="119"/>
      <c r="AC176" s="119"/>
      <c r="AD176" s="119"/>
      <c r="AE176" s="119"/>
      <c r="AF176" s="119"/>
      <c r="AG176" s="119"/>
      <c r="AH176" s="119"/>
      <c r="AJ176" s="64"/>
      <c r="AK176" s="64" t="s">
        <v>2114</v>
      </c>
    </row>
    <row r="177" spans="2:37" ht="16.5" customHeight="1">
      <c r="B177" s="12" t="s">
        <v>1789</v>
      </c>
      <c r="C177" s="12" t="str">
        <f t="shared" si="43"/>
        <v>FF01B005B9B01F</v>
      </c>
      <c r="D177" s="60" t="s">
        <v>24</v>
      </c>
      <c r="E177" s="60" t="s">
        <v>1275</v>
      </c>
      <c r="F177" s="60" t="s">
        <v>92</v>
      </c>
      <c r="G177" s="60" t="s">
        <v>1693</v>
      </c>
      <c r="H177" s="60" t="s">
        <v>1275</v>
      </c>
      <c r="I177" s="12" t="str">
        <f t="shared" si="44"/>
        <v>1F</v>
      </c>
      <c r="J177" s="12"/>
      <c r="K177" s="12"/>
      <c r="L177" s="12"/>
      <c r="M177" s="12"/>
      <c r="N177" s="12"/>
      <c r="O177" s="12"/>
      <c r="P177" s="12"/>
      <c r="Q177" s="13">
        <f t="shared" si="41"/>
        <v>1</v>
      </c>
      <c r="R177" s="13">
        <f t="shared" si="40"/>
        <v>176</v>
      </c>
      <c r="S177" s="13">
        <f t="shared" si="40"/>
        <v>5</v>
      </c>
      <c r="T177" s="13">
        <f t="shared" si="40"/>
        <v>185</v>
      </c>
      <c r="U177" s="13">
        <f t="shared" si="40"/>
        <v>176</v>
      </c>
      <c r="V177" s="13">
        <f t="shared" si="49"/>
        <v>543</v>
      </c>
      <c r="W177" s="13" t="str">
        <f t="shared" si="45"/>
        <v>1F</v>
      </c>
      <c r="X177" s="13">
        <f t="shared" si="46"/>
        <v>1085</v>
      </c>
      <c r="Y177" s="13" t="str">
        <f t="shared" si="48"/>
        <v>3D</v>
      </c>
      <c r="Z177" s="119"/>
      <c r="AA177" s="119"/>
      <c r="AB177" s="119"/>
      <c r="AC177" s="119"/>
      <c r="AD177" s="119"/>
      <c r="AE177" s="119"/>
      <c r="AF177" s="119"/>
      <c r="AG177" s="119">
        <v>-18000</v>
      </c>
      <c r="AH177" s="119"/>
      <c r="AI177" s="119" t="str">
        <f>TEXT(DEC2HEX(65536 + AG177), "0000")</f>
        <v>B9B0</v>
      </c>
      <c r="AJ177" s="64"/>
      <c r="AK177" s="64" t="s">
        <v>2115</v>
      </c>
    </row>
    <row r="178" spans="2:37" ht="16.5" customHeight="1">
      <c r="B178" s="12" t="s">
        <v>1790</v>
      </c>
      <c r="C178" s="12" t="str">
        <f t="shared" si="43"/>
        <v>FF01B0060001B8</v>
      </c>
      <c r="D178" s="60" t="s">
        <v>24</v>
      </c>
      <c r="E178" s="60" t="s">
        <v>1275</v>
      </c>
      <c r="F178" s="60" t="s">
        <v>100</v>
      </c>
      <c r="G178" s="60" t="s">
        <v>16</v>
      </c>
      <c r="H178" s="60" t="s">
        <v>24</v>
      </c>
      <c r="I178" s="12" t="str">
        <f t="shared" si="44"/>
        <v>B8</v>
      </c>
      <c r="J178" s="12"/>
      <c r="K178" s="12"/>
      <c r="L178" s="12"/>
      <c r="M178" s="12"/>
      <c r="N178" s="12"/>
      <c r="O178" s="12"/>
      <c r="P178" s="12"/>
      <c r="Q178" s="13">
        <f t="shared" si="41"/>
        <v>1</v>
      </c>
      <c r="R178" s="13">
        <f t="shared" si="40"/>
        <v>176</v>
      </c>
      <c r="S178" s="13">
        <f t="shared" si="40"/>
        <v>6</v>
      </c>
      <c r="T178" s="13">
        <f t="shared" si="40"/>
        <v>0</v>
      </c>
      <c r="U178" s="13">
        <f t="shared" si="40"/>
        <v>1</v>
      </c>
      <c r="V178" s="13">
        <f t="shared" si="49"/>
        <v>184</v>
      </c>
      <c r="W178" s="13" t="str">
        <f t="shared" si="45"/>
        <v>B8</v>
      </c>
      <c r="X178" s="13">
        <f t="shared" si="46"/>
        <v>367</v>
      </c>
      <c r="Y178" s="13" t="str">
        <f t="shared" si="48"/>
        <v>6F</v>
      </c>
      <c r="Z178" s="119"/>
      <c r="AA178" s="119"/>
      <c r="AB178" s="119"/>
      <c r="AC178" s="119"/>
      <c r="AD178" s="119"/>
      <c r="AE178" s="119"/>
      <c r="AF178" s="119"/>
      <c r="AG178" s="119"/>
      <c r="AH178" s="119"/>
      <c r="AJ178" s="64"/>
      <c r="AK178" s="64" t="s">
        <v>2116</v>
      </c>
    </row>
    <row r="179" spans="2:37" ht="16.5" customHeight="1">
      <c r="B179" s="12" t="s">
        <v>2098</v>
      </c>
      <c r="C179" s="12" t="str">
        <f t="shared" si="43"/>
        <v>FF01B00611945C</v>
      </c>
      <c r="D179" s="60" t="s">
        <v>24</v>
      </c>
      <c r="E179" s="60" t="s">
        <v>1275</v>
      </c>
      <c r="F179" s="60" t="s">
        <v>100</v>
      </c>
      <c r="G179" s="60" t="s">
        <v>110</v>
      </c>
      <c r="H179" s="60" t="s">
        <v>175</v>
      </c>
      <c r="I179" s="12" t="str">
        <f t="shared" si="44"/>
        <v>5C</v>
      </c>
      <c r="J179" s="12"/>
      <c r="K179" s="12"/>
      <c r="L179" s="12"/>
      <c r="M179" s="12"/>
      <c r="N179" s="12"/>
      <c r="O179" s="12"/>
      <c r="P179" s="12"/>
      <c r="Q179" s="13">
        <f t="shared" si="41"/>
        <v>1</v>
      </c>
      <c r="R179" s="13">
        <f t="shared" si="40"/>
        <v>176</v>
      </c>
      <c r="S179" s="13">
        <f t="shared" si="40"/>
        <v>6</v>
      </c>
      <c r="T179" s="13">
        <f t="shared" si="40"/>
        <v>17</v>
      </c>
      <c r="U179" s="13">
        <f t="shared" si="40"/>
        <v>148</v>
      </c>
      <c r="V179" s="13">
        <f t="shared" si="49"/>
        <v>348</v>
      </c>
      <c r="W179" s="13" t="str">
        <f t="shared" si="45"/>
        <v>5C</v>
      </c>
      <c r="X179" s="13">
        <f t="shared" si="46"/>
        <v>695</v>
      </c>
      <c r="Y179" s="13" t="str">
        <f t="shared" si="48"/>
        <v>B7</v>
      </c>
      <c r="Z179" s="119"/>
      <c r="AA179" s="119"/>
      <c r="AB179" s="119"/>
      <c r="AC179" s="119"/>
      <c r="AD179" s="119"/>
      <c r="AE179" s="119"/>
      <c r="AF179" s="119"/>
      <c r="AG179" s="119"/>
      <c r="AH179" s="119"/>
      <c r="AJ179" s="64"/>
      <c r="AK179" s="64" t="s">
        <v>2117</v>
      </c>
    </row>
    <row r="180" spans="2:37" ht="16.5" customHeight="1">
      <c r="B180" s="12" t="s">
        <v>2097</v>
      </c>
      <c r="C180" s="12" t="str">
        <f t="shared" si="43"/>
        <v>FF01B006232802</v>
      </c>
      <c r="D180" s="60" t="s">
        <v>24</v>
      </c>
      <c r="E180" s="60" t="s">
        <v>1275</v>
      </c>
      <c r="F180" s="60" t="s">
        <v>100</v>
      </c>
      <c r="G180" s="60" t="s">
        <v>1692</v>
      </c>
      <c r="H180" s="60" t="s">
        <v>140</v>
      </c>
      <c r="I180" s="12" t="str">
        <f t="shared" si="44"/>
        <v>02</v>
      </c>
      <c r="J180" s="12"/>
      <c r="K180" s="12"/>
      <c r="L180" s="12"/>
      <c r="M180" s="12"/>
      <c r="N180" s="12"/>
      <c r="O180" s="12"/>
      <c r="P180" s="12"/>
      <c r="Q180" s="13">
        <f t="shared" si="41"/>
        <v>1</v>
      </c>
      <c r="R180" s="13">
        <f t="shared" si="40"/>
        <v>176</v>
      </c>
      <c r="S180" s="13">
        <f t="shared" si="40"/>
        <v>6</v>
      </c>
      <c r="T180" s="13">
        <f t="shared" si="40"/>
        <v>35</v>
      </c>
      <c r="U180" s="13">
        <f t="shared" si="40"/>
        <v>40</v>
      </c>
      <c r="V180" s="13">
        <f t="shared" si="49"/>
        <v>258</v>
      </c>
      <c r="W180" s="13" t="str">
        <f t="shared" si="45"/>
        <v>02</v>
      </c>
      <c r="X180" s="13">
        <f t="shared" si="46"/>
        <v>515</v>
      </c>
      <c r="Y180" s="13" t="str">
        <f t="shared" si="48"/>
        <v>03</v>
      </c>
      <c r="Z180" s="119"/>
      <c r="AA180" s="119"/>
      <c r="AB180" s="119"/>
      <c r="AC180" s="119"/>
      <c r="AD180" s="119"/>
      <c r="AE180" s="119"/>
      <c r="AF180" s="119"/>
      <c r="AG180" s="119"/>
      <c r="AH180" s="119"/>
      <c r="AJ180" s="64"/>
      <c r="AK180" s="64" t="s">
        <v>2118</v>
      </c>
    </row>
    <row r="181" spans="2:37" ht="16.5" customHeight="1">
      <c r="B181" s="12" t="s">
        <v>1793</v>
      </c>
      <c r="C181" s="12" t="str">
        <f t="shared" si="43"/>
        <v>FF01B00646504D</v>
      </c>
      <c r="D181" s="60" t="s">
        <v>24</v>
      </c>
      <c r="E181" s="60" t="s">
        <v>1275</v>
      </c>
      <c r="F181" s="60" t="s">
        <v>100</v>
      </c>
      <c r="G181" s="60" t="s">
        <v>1691</v>
      </c>
      <c r="H181" s="60" t="s">
        <v>162</v>
      </c>
      <c r="I181" s="12" t="str">
        <f t="shared" si="44"/>
        <v>4D</v>
      </c>
      <c r="J181" s="12"/>
      <c r="K181" s="12"/>
      <c r="L181" s="12"/>
      <c r="M181" s="12"/>
      <c r="N181" s="12"/>
      <c r="O181" s="12"/>
      <c r="P181" s="12"/>
      <c r="Q181" s="13">
        <f t="shared" si="41"/>
        <v>1</v>
      </c>
      <c r="R181" s="13">
        <f t="shared" si="40"/>
        <v>176</v>
      </c>
      <c r="S181" s="13">
        <f t="shared" si="40"/>
        <v>6</v>
      </c>
      <c r="T181" s="13">
        <f t="shared" si="40"/>
        <v>70</v>
      </c>
      <c r="U181" s="13">
        <f t="shared" si="40"/>
        <v>80</v>
      </c>
      <c r="V181" s="13">
        <f t="shared" si="49"/>
        <v>333</v>
      </c>
      <c r="W181" s="13" t="str">
        <f t="shared" si="45"/>
        <v>4D</v>
      </c>
      <c r="X181" s="13">
        <f t="shared" si="46"/>
        <v>665</v>
      </c>
      <c r="Y181" s="13" t="str">
        <f t="shared" si="48"/>
        <v>99</v>
      </c>
      <c r="Z181" s="119"/>
      <c r="AA181" s="119"/>
      <c r="AB181" s="119"/>
      <c r="AC181" s="119"/>
      <c r="AD181" s="119"/>
      <c r="AE181" s="119"/>
      <c r="AF181" s="119"/>
      <c r="AG181" s="119">
        <v>18000</v>
      </c>
      <c r="AH181" s="119" t="str">
        <f>DEC2HEX(AG181)</f>
        <v>4650</v>
      </c>
      <c r="AJ181" s="64"/>
      <c r="AK181" s="64" t="s">
        <v>2119</v>
      </c>
    </row>
    <row r="182" spans="2:37" ht="16.5" customHeight="1">
      <c r="B182" s="111" t="s">
        <v>1794</v>
      </c>
      <c r="C182" s="111" t="str">
        <f t="shared" si="43"/>
        <v>FF01B1100001C3</v>
      </c>
      <c r="D182" s="60" t="s">
        <v>24</v>
      </c>
      <c r="E182" s="60" t="s">
        <v>32</v>
      </c>
      <c r="F182" s="60" t="s">
        <v>109</v>
      </c>
      <c r="G182" s="60" t="s">
        <v>16</v>
      </c>
      <c r="H182" s="60" t="s">
        <v>24</v>
      </c>
      <c r="I182" s="12" t="str">
        <f t="shared" si="44"/>
        <v>C3</v>
      </c>
      <c r="J182" s="12"/>
      <c r="K182" s="12"/>
      <c r="L182" s="12"/>
      <c r="M182" s="12"/>
      <c r="N182" s="12"/>
      <c r="O182" s="12"/>
      <c r="P182" s="12"/>
      <c r="Q182" s="13">
        <f t="shared" si="41"/>
        <v>1</v>
      </c>
      <c r="R182" s="13">
        <f t="shared" si="40"/>
        <v>177</v>
      </c>
      <c r="S182" s="13">
        <f t="shared" si="40"/>
        <v>16</v>
      </c>
      <c r="T182" s="13">
        <f t="shared" si="40"/>
        <v>0</v>
      </c>
      <c r="U182" s="13">
        <f t="shared" si="40"/>
        <v>1</v>
      </c>
      <c r="V182" s="13">
        <f t="shared" si="49"/>
        <v>195</v>
      </c>
      <c r="W182" s="13" t="str">
        <f t="shared" si="45"/>
        <v>C3</v>
      </c>
      <c r="X182" s="13">
        <f t="shared" si="46"/>
        <v>389</v>
      </c>
      <c r="Y182" s="13" t="str">
        <f t="shared" si="48"/>
        <v>85</v>
      </c>
      <c r="Z182" s="119"/>
      <c r="AA182" s="119"/>
      <c r="AB182" s="119"/>
      <c r="AC182" s="119"/>
      <c r="AD182" s="119"/>
      <c r="AE182" s="119"/>
      <c r="AF182" s="119"/>
      <c r="AG182" s="119"/>
      <c r="AH182" s="119"/>
      <c r="AJ182" s="64"/>
      <c r="AK182" s="64" t="s">
        <v>2194</v>
      </c>
    </row>
    <row r="183" spans="2:37" ht="16.5" customHeight="1">
      <c r="B183" s="111" t="s">
        <v>1795</v>
      </c>
      <c r="C183" s="111" t="str">
        <f t="shared" si="43"/>
        <v>FF01B11000FFC1</v>
      </c>
      <c r="D183" s="60" t="s">
        <v>24</v>
      </c>
      <c r="E183" s="60" t="s">
        <v>32</v>
      </c>
      <c r="F183" s="60" t="s">
        <v>109</v>
      </c>
      <c r="G183" s="60" t="s">
        <v>16</v>
      </c>
      <c r="H183" s="60" t="s">
        <v>9</v>
      </c>
      <c r="I183" s="12" t="str">
        <f t="shared" si="44"/>
        <v>C1</v>
      </c>
      <c r="J183" s="12"/>
      <c r="K183" s="12"/>
      <c r="L183" s="12"/>
      <c r="M183" s="12"/>
      <c r="N183" s="12"/>
      <c r="O183" s="12"/>
      <c r="P183" s="12"/>
      <c r="Q183" s="13">
        <f t="shared" si="41"/>
        <v>1</v>
      </c>
      <c r="R183" s="13">
        <f t="shared" si="40"/>
        <v>177</v>
      </c>
      <c r="S183" s="13">
        <f t="shared" si="40"/>
        <v>16</v>
      </c>
      <c r="T183" s="13">
        <f t="shared" si="40"/>
        <v>0</v>
      </c>
      <c r="U183" s="13">
        <f t="shared" si="40"/>
        <v>255</v>
      </c>
      <c r="V183" s="13">
        <f t="shared" si="49"/>
        <v>449</v>
      </c>
      <c r="W183" s="13" t="str">
        <f t="shared" si="45"/>
        <v>C1</v>
      </c>
      <c r="X183" s="13">
        <f t="shared" si="46"/>
        <v>897</v>
      </c>
      <c r="Y183" s="13" t="str">
        <f t="shared" si="48"/>
        <v>81</v>
      </c>
      <c r="Z183" s="119"/>
      <c r="AA183" s="119"/>
      <c r="AB183" s="119"/>
      <c r="AC183" s="119"/>
      <c r="AD183" s="119"/>
      <c r="AE183" s="119"/>
      <c r="AF183" s="119"/>
      <c r="AG183" s="119"/>
      <c r="AH183" s="119"/>
      <c r="AJ183" s="64"/>
      <c r="AK183" s="64" t="s">
        <v>2195</v>
      </c>
    </row>
    <row r="184" spans="2:37" ht="16.5" customHeight="1">
      <c r="B184" s="12" t="s">
        <v>1796</v>
      </c>
      <c r="C184" s="12" t="str">
        <f t="shared" si="43"/>
        <v>FF01B0110001C3</v>
      </c>
      <c r="D184" s="60" t="s">
        <v>24</v>
      </c>
      <c r="E184" s="60" t="s">
        <v>1275</v>
      </c>
      <c r="F184" s="60" t="s">
        <v>110</v>
      </c>
      <c r="G184" s="60" t="s">
        <v>16</v>
      </c>
      <c r="H184" s="60" t="s">
        <v>24</v>
      </c>
      <c r="I184" s="12" t="str">
        <f t="shared" si="44"/>
        <v>C3</v>
      </c>
      <c r="J184" s="12"/>
      <c r="K184" s="12"/>
      <c r="L184" s="12"/>
      <c r="M184" s="12"/>
      <c r="N184" s="12"/>
      <c r="O184" s="12"/>
      <c r="P184" s="12"/>
      <c r="Q184" s="13">
        <f t="shared" si="41"/>
        <v>1</v>
      </c>
      <c r="R184" s="13">
        <f t="shared" si="40"/>
        <v>176</v>
      </c>
      <c r="S184" s="13">
        <f t="shared" si="40"/>
        <v>17</v>
      </c>
      <c r="T184" s="13">
        <f t="shared" si="40"/>
        <v>0</v>
      </c>
      <c r="U184" s="13">
        <f t="shared" si="40"/>
        <v>1</v>
      </c>
      <c r="V184" s="13">
        <f t="shared" si="49"/>
        <v>195</v>
      </c>
      <c r="W184" s="13" t="str">
        <f t="shared" si="45"/>
        <v>C3</v>
      </c>
      <c r="X184" s="13">
        <f t="shared" si="46"/>
        <v>389</v>
      </c>
      <c r="Y184" s="13" t="str">
        <f t="shared" si="48"/>
        <v>85</v>
      </c>
      <c r="Z184" s="119"/>
      <c r="AA184" s="119"/>
      <c r="AB184" s="119"/>
      <c r="AC184" s="119"/>
      <c r="AD184" s="119"/>
      <c r="AE184" s="119"/>
      <c r="AF184" s="119"/>
      <c r="AG184" s="119"/>
      <c r="AH184" s="119"/>
      <c r="AJ184" s="64"/>
      <c r="AK184" s="64" t="s">
        <v>2352</v>
      </c>
    </row>
    <row r="185" spans="2:37" ht="16.5" customHeight="1">
      <c r="B185" s="12" t="s">
        <v>1517</v>
      </c>
      <c r="C185" s="12" t="str">
        <f t="shared" si="43"/>
        <v>FF01B01100FFC1</v>
      </c>
      <c r="D185" s="60" t="s">
        <v>24</v>
      </c>
      <c r="E185" s="60" t="s">
        <v>1275</v>
      </c>
      <c r="F185" s="60" t="s">
        <v>110</v>
      </c>
      <c r="G185" s="60" t="s">
        <v>16</v>
      </c>
      <c r="H185" s="60" t="s">
        <v>9</v>
      </c>
      <c r="I185" s="12" t="str">
        <f t="shared" si="44"/>
        <v>C1</v>
      </c>
      <c r="J185" s="12"/>
      <c r="K185" s="12"/>
      <c r="L185" s="12"/>
      <c r="M185" s="12"/>
      <c r="N185" s="12"/>
      <c r="O185" s="12"/>
      <c r="P185" s="12"/>
      <c r="Q185" s="13">
        <f t="shared" si="41"/>
        <v>1</v>
      </c>
      <c r="R185" s="13">
        <f t="shared" si="40"/>
        <v>176</v>
      </c>
      <c r="S185" s="13">
        <f t="shared" si="40"/>
        <v>17</v>
      </c>
      <c r="T185" s="13">
        <f t="shared" si="40"/>
        <v>0</v>
      </c>
      <c r="U185" s="13">
        <f t="shared" si="40"/>
        <v>255</v>
      </c>
      <c r="V185" s="13">
        <f t="shared" si="49"/>
        <v>449</v>
      </c>
      <c r="W185" s="13" t="str">
        <f t="shared" si="45"/>
        <v>C1</v>
      </c>
      <c r="X185" s="13">
        <f t="shared" si="46"/>
        <v>897</v>
      </c>
      <c r="Y185" s="13" t="str">
        <f t="shared" si="48"/>
        <v>81</v>
      </c>
      <c r="Z185" s="119"/>
      <c r="AA185" s="119"/>
      <c r="AB185" s="119"/>
      <c r="AC185" s="119"/>
      <c r="AD185" s="119"/>
      <c r="AE185" s="119"/>
      <c r="AF185" s="119"/>
      <c r="AG185" s="119"/>
      <c r="AH185" s="119"/>
      <c r="AJ185" s="64"/>
      <c r="AK185" s="64" t="s">
        <v>2197</v>
      </c>
    </row>
    <row r="186" spans="2:37" ht="16.5" customHeight="1">
      <c r="B186" s="12" t="s">
        <v>1797</v>
      </c>
      <c r="C186" s="12" t="str">
        <f t="shared" si="43"/>
        <v>FF01B012000C3</v>
      </c>
      <c r="D186" s="60" t="s">
        <v>24</v>
      </c>
      <c r="E186" s="60" t="s">
        <v>1275</v>
      </c>
      <c r="F186" s="60" t="s">
        <v>111</v>
      </c>
      <c r="G186" s="60" t="s">
        <v>16</v>
      </c>
      <c r="H186" s="60" t="s">
        <v>1804</v>
      </c>
      <c r="I186" s="12" t="str">
        <f t="shared" si="44"/>
        <v>C3</v>
      </c>
      <c r="J186" s="12"/>
      <c r="K186" s="12"/>
      <c r="L186" s="12"/>
      <c r="M186" s="12"/>
      <c r="N186" s="12"/>
      <c r="O186" s="12"/>
      <c r="P186" s="12"/>
      <c r="Q186" s="13">
        <f t="shared" si="41"/>
        <v>1</v>
      </c>
      <c r="R186" s="13">
        <f t="shared" si="40"/>
        <v>176</v>
      </c>
      <c r="S186" s="13">
        <f t="shared" si="40"/>
        <v>18</v>
      </c>
      <c r="T186" s="13">
        <f t="shared" si="40"/>
        <v>0</v>
      </c>
      <c r="U186" s="13">
        <f t="shared" si="40"/>
        <v>0</v>
      </c>
      <c r="V186" s="13">
        <f t="shared" ref="V186:V204" si="50">SUM(Q186:U186)</f>
        <v>195</v>
      </c>
      <c r="W186" s="13" t="str">
        <f t="shared" si="45"/>
        <v>C3</v>
      </c>
      <c r="X186" s="13">
        <f t="shared" si="46"/>
        <v>389</v>
      </c>
      <c r="Y186" s="13" t="str">
        <f t="shared" si="48"/>
        <v>85</v>
      </c>
      <c r="Z186" s="119"/>
      <c r="AA186" s="119"/>
      <c r="AB186" s="119"/>
      <c r="AC186" s="119"/>
      <c r="AD186" s="119"/>
      <c r="AE186" s="119"/>
      <c r="AF186" s="119"/>
      <c r="AG186" s="119"/>
      <c r="AH186" s="119"/>
      <c r="AJ186" s="64"/>
      <c r="AK186" s="64" t="s">
        <v>2198</v>
      </c>
    </row>
    <row r="187" spans="2:37" ht="16.5" customHeight="1">
      <c r="B187" s="12" t="s">
        <v>1798</v>
      </c>
      <c r="C187" s="12" t="str">
        <f t="shared" si="43"/>
        <v>FF01B012004003</v>
      </c>
      <c r="D187" s="60" t="s">
        <v>24</v>
      </c>
      <c r="E187" s="60" t="s">
        <v>1275</v>
      </c>
      <c r="F187" s="60" t="s">
        <v>111</v>
      </c>
      <c r="G187" s="60" t="s">
        <v>16</v>
      </c>
      <c r="H187" s="60" t="s">
        <v>1503</v>
      </c>
      <c r="I187" s="12" t="str">
        <f t="shared" si="44"/>
        <v>03</v>
      </c>
      <c r="J187" s="12"/>
      <c r="K187" s="12"/>
      <c r="L187" s="12"/>
      <c r="M187" s="12"/>
      <c r="N187" s="12"/>
      <c r="O187" s="12"/>
      <c r="P187" s="12"/>
      <c r="Q187" s="13">
        <f t="shared" si="41"/>
        <v>1</v>
      </c>
      <c r="R187" s="13">
        <f t="shared" si="40"/>
        <v>176</v>
      </c>
      <c r="S187" s="13">
        <f t="shared" si="40"/>
        <v>18</v>
      </c>
      <c r="T187" s="13">
        <f t="shared" si="40"/>
        <v>0</v>
      </c>
      <c r="U187" s="13">
        <f t="shared" si="40"/>
        <v>64</v>
      </c>
      <c r="V187" s="13">
        <f t="shared" si="50"/>
        <v>259</v>
      </c>
      <c r="W187" s="13" t="str">
        <f t="shared" si="45"/>
        <v>03</v>
      </c>
      <c r="X187" s="13">
        <f t="shared" si="46"/>
        <v>517</v>
      </c>
      <c r="Y187" s="13" t="str">
        <f t="shared" si="48"/>
        <v>05</v>
      </c>
      <c r="Z187" s="119"/>
      <c r="AA187" s="119"/>
      <c r="AB187" s="119"/>
      <c r="AC187" s="119"/>
      <c r="AD187" s="119"/>
      <c r="AE187" s="119"/>
      <c r="AF187" s="119"/>
      <c r="AG187" s="119">
        <v>64</v>
      </c>
      <c r="AH187" s="119" t="str">
        <f>DEC2HEX(AG187)</f>
        <v>40</v>
      </c>
      <c r="AJ187" s="64"/>
      <c r="AK187" s="64" t="s">
        <v>2199</v>
      </c>
    </row>
    <row r="188" spans="2:37" ht="16.5" customHeight="1">
      <c r="B188" s="12" t="s">
        <v>1799</v>
      </c>
      <c r="C188" s="12" t="str">
        <f t="shared" si="43"/>
        <v>FF01B0130000C4</v>
      </c>
      <c r="D188" s="60" t="s">
        <v>24</v>
      </c>
      <c r="E188" s="60" t="s">
        <v>1275</v>
      </c>
      <c r="F188" s="60" t="s">
        <v>116</v>
      </c>
      <c r="G188" s="60" t="s">
        <v>16</v>
      </c>
      <c r="H188" s="60" t="s">
        <v>16</v>
      </c>
      <c r="I188" s="12" t="str">
        <f t="shared" si="44"/>
        <v>C4</v>
      </c>
      <c r="J188" s="12"/>
      <c r="K188" s="12"/>
      <c r="L188" s="12"/>
      <c r="M188" s="12"/>
      <c r="N188" s="12"/>
      <c r="O188" s="12"/>
      <c r="P188" s="12"/>
      <c r="Q188" s="13">
        <f t="shared" si="41"/>
        <v>1</v>
      </c>
      <c r="R188" s="13">
        <f t="shared" si="40"/>
        <v>176</v>
      </c>
      <c r="S188" s="13">
        <f t="shared" si="40"/>
        <v>19</v>
      </c>
      <c r="T188" s="13">
        <f t="shared" si="40"/>
        <v>0</v>
      </c>
      <c r="U188" s="13">
        <f t="shared" si="40"/>
        <v>0</v>
      </c>
      <c r="V188" s="13">
        <f t="shared" si="50"/>
        <v>196</v>
      </c>
      <c r="W188" s="13" t="str">
        <f t="shared" si="45"/>
        <v>C4</v>
      </c>
      <c r="X188" s="13">
        <f t="shared" si="46"/>
        <v>391</v>
      </c>
      <c r="Y188" s="13" t="str">
        <f t="shared" si="48"/>
        <v>87</v>
      </c>
      <c r="Z188" s="119"/>
      <c r="AA188" s="119"/>
      <c r="AB188" s="119"/>
      <c r="AC188" s="119"/>
      <c r="AD188" s="119"/>
      <c r="AE188" s="119"/>
      <c r="AF188" s="119"/>
      <c r="AG188" s="119"/>
      <c r="AH188" s="119"/>
      <c r="AJ188" s="64"/>
      <c r="AK188" s="64" t="s">
        <v>2200</v>
      </c>
    </row>
    <row r="189" spans="2:37" ht="17.25">
      <c r="B189" s="12" t="s">
        <v>1968</v>
      </c>
      <c r="C189" s="12" t="str">
        <f t="shared" si="43"/>
        <v>FF01B013A8C02C</v>
      </c>
      <c r="D189" s="60" t="s">
        <v>24</v>
      </c>
      <c r="E189" s="60" t="s">
        <v>1275</v>
      </c>
      <c r="F189" s="60" t="s">
        <v>116</v>
      </c>
      <c r="G189" s="60" t="s">
        <v>1725</v>
      </c>
      <c r="H189" s="60" t="s">
        <v>1276</v>
      </c>
      <c r="I189" s="12" t="str">
        <f t="shared" si="44"/>
        <v>2C</v>
      </c>
      <c r="J189" s="12"/>
      <c r="K189" s="12"/>
      <c r="L189" s="12"/>
      <c r="M189" s="12"/>
      <c r="N189" s="12"/>
      <c r="O189" s="12"/>
      <c r="P189" s="12"/>
      <c r="Q189" s="13">
        <f t="shared" si="41"/>
        <v>1</v>
      </c>
      <c r="R189" s="13">
        <f t="shared" si="40"/>
        <v>176</v>
      </c>
      <c r="S189" s="13">
        <f t="shared" si="40"/>
        <v>19</v>
      </c>
      <c r="T189" s="13">
        <f t="shared" si="40"/>
        <v>168</v>
      </c>
      <c r="U189" s="13">
        <f t="shared" si="40"/>
        <v>192</v>
      </c>
      <c r="V189" s="13">
        <f t="shared" si="50"/>
        <v>556</v>
      </c>
      <c r="W189" s="13" t="str">
        <f t="shared" si="45"/>
        <v>2C</v>
      </c>
      <c r="X189" s="13">
        <f t="shared" si="46"/>
        <v>1111</v>
      </c>
      <c r="Y189" s="13" t="str">
        <f t="shared" si="48"/>
        <v>57</v>
      </c>
      <c r="Z189" s="119"/>
      <c r="AA189" s="119"/>
      <c r="AB189" s="119"/>
      <c r="AC189" s="119"/>
      <c r="AD189" s="119"/>
      <c r="AE189" s="119"/>
      <c r="AF189" s="119"/>
      <c r="AG189" s="119">
        <v>43200</v>
      </c>
      <c r="AH189" s="119" t="str">
        <f>DEC2HEX(AG189)</f>
        <v>A8C0</v>
      </c>
      <c r="AI189" s="119"/>
      <c r="AJ189" s="64"/>
      <c r="AK189" s="64" t="s">
        <v>2201</v>
      </c>
    </row>
    <row r="190" spans="2:37" ht="17.25">
      <c r="B190" s="12" t="s">
        <v>1969</v>
      </c>
      <c r="C190" s="12" t="str">
        <f t="shared" si="43"/>
        <v>FF01B0160000C7</v>
      </c>
      <c r="D190" s="60" t="s">
        <v>24</v>
      </c>
      <c r="E190" s="60" t="s">
        <v>1275</v>
      </c>
      <c r="F190" s="60" t="s">
        <v>127</v>
      </c>
      <c r="G190" s="60" t="s">
        <v>16</v>
      </c>
      <c r="H190" s="60" t="s">
        <v>16</v>
      </c>
      <c r="I190" s="12" t="str">
        <f t="shared" si="44"/>
        <v>C7</v>
      </c>
      <c r="J190" s="12"/>
      <c r="K190" s="12"/>
      <c r="L190" s="12"/>
      <c r="M190" s="12"/>
      <c r="N190" s="12"/>
      <c r="O190" s="12"/>
      <c r="P190" s="12"/>
      <c r="Q190" s="13">
        <f t="shared" si="41"/>
        <v>1</v>
      </c>
      <c r="R190" s="13">
        <f t="shared" si="40"/>
        <v>176</v>
      </c>
      <c r="S190" s="13">
        <f t="shared" si="40"/>
        <v>22</v>
      </c>
      <c r="T190" s="13">
        <f t="shared" si="40"/>
        <v>0</v>
      </c>
      <c r="U190" s="13">
        <f t="shared" si="40"/>
        <v>0</v>
      </c>
      <c r="V190" s="13">
        <f t="shared" si="50"/>
        <v>199</v>
      </c>
      <c r="W190" s="13" t="str">
        <f t="shared" si="45"/>
        <v>C7</v>
      </c>
      <c r="X190" s="13">
        <f t="shared" si="46"/>
        <v>397</v>
      </c>
      <c r="Y190" s="13" t="str">
        <f t="shared" si="48"/>
        <v>8D</v>
      </c>
      <c r="Z190" s="119"/>
      <c r="AA190" s="119"/>
      <c r="AB190" s="119"/>
      <c r="AC190" s="119"/>
      <c r="AD190" s="119"/>
      <c r="AE190" s="119"/>
      <c r="AF190" s="119"/>
      <c r="AG190" s="119"/>
      <c r="AH190" s="119"/>
      <c r="AJ190" s="64"/>
      <c r="AK190" s="64" t="s">
        <v>2202</v>
      </c>
    </row>
    <row r="191" spans="2:37" ht="17.25">
      <c r="B191" s="12" t="s">
        <v>1970</v>
      </c>
      <c r="C191" s="12" t="str">
        <f t="shared" si="43"/>
        <v>FF01B016400007</v>
      </c>
      <c r="D191" s="60" t="s">
        <v>24</v>
      </c>
      <c r="E191" s="60" t="s">
        <v>1275</v>
      </c>
      <c r="F191" s="60" t="s">
        <v>127</v>
      </c>
      <c r="G191" s="60" t="s">
        <v>1503</v>
      </c>
      <c r="H191" s="60" t="s">
        <v>16</v>
      </c>
      <c r="I191" s="12" t="str">
        <f t="shared" si="44"/>
        <v>07</v>
      </c>
      <c r="J191" s="12"/>
      <c r="K191" s="12"/>
      <c r="L191" s="12"/>
      <c r="M191" s="12"/>
      <c r="N191" s="12"/>
      <c r="O191" s="12"/>
      <c r="P191" s="12"/>
      <c r="Q191" s="13">
        <f t="shared" si="41"/>
        <v>1</v>
      </c>
      <c r="R191" s="13">
        <f t="shared" si="40"/>
        <v>176</v>
      </c>
      <c r="S191" s="13">
        <f t="shared" si="40"/>
        <v>22</v>
      </c>
      <c r="T191" s="13">
        <f t="shared" si="40"/>
        <v>64</v>
      </c>
      <c r="U191" s="13">
        <f t="shared" si="40"/>
        <v>0</v>
      </c>
      <c r="V191" s="13">
        <f t="shared" si="50"/>
        <v>263</v>
      </c>
      <c r="W191" s="13" t="str">
        <f t="shared" si="45"/>
        <v>07</v>
      </c>
      <c r="X191" s="13">
        <f t="shared" si="46"/>
        <v>525</v>
      </c>
      <c r="Y191" s="13" t="str">
        <f t="shared" si="48"/>
        <v>0D</v>
      </c>
      <c r="Z191" s="119"/>
      <c r="AA191" s="119"/>
      <c r="AB191" s="119"/>
      <c r="AC191" s="119"/>
      <c r="AD191" s="119"/>
      <c r="AE191" s="119"/>
      <c r="AF191" s="119"/>
      <c r="AG191" s="119">
        <v>16384</v>
      </c>
      <c r="AH191" s="119" t="str">
        <f>DEC2HEX(AG191)</f>
        <v>4000</v>
      </c>
      <c r="AJ191" s="64"/>
      <c r="AK191" s="64" t="s">
        <v>2203</v>
      </c>
    </row>
    <row r="192" spans="2:37" ht="17.25">
      <c r="B192" s="12" t="s">
        <v>1971</v>
      </c>
      <c r="C192" s="12" t="str">
        <f t="shared" si="43"/>
        <v>FF01B016FFFFC5</v>
      </c>
      <c r="D192" s="60" t="s">
        <v>24</v>
      </c>
      <c r="E192" s="60" t="s">
        <v>1275</v>
      </c>
      <c r="F192" s="60" t="s">
        <v>127</v>
      </c>
      <c r="G192" s="60" t="s">
        <v>9</v>
      </c>
      <c r="H192" s="60" t="s">
        <v>9</v>
      </c>
      <c r="I192" s="12" t="str">
        <f t="shared" si="44"/>
        <v>C5</v>
      </c>
      <c r="J192" s="12"/>
      <c r="K192" s="12"/>
      <c r="L192" s="12"/>
      <c r="M192" s="12"/>
      <c r="N192" s="12"/>
      <c r="O192" s="12"/>
      <c r="P192" s="12"/>
      <c r="Q192" s="13">
        <f t="shared" si="41"/>
        <v>1</v>
      </c>
      <c r="R192" s="13">
        <f t="shared" si="40"/>
        <v>176</v>
      </c>
      <c r="S192" s="13">
        <f t="shared" si="40"/>
        <v>22</v>
      </c>
      <c r="T192" s="13">
        <f t="shared" si="40"/>
        <v>255</v>
      </c>
      <c r="U192" s="13">
        <f t="shared" ref="U192:U272" si="51">HEX2DEC(H192)</f>
        <v>255</v>
      </c>
      <c r="V192" s="13">
        <f t="shared" si="50"/>
        <v>709</v>
      </c>
      <c r="W192" s="13" t="str">
        <f t="shared" si="45"/>
        <v>C5</v>
      </c>
      <c r="X192" s="13">
        <f t="shared" si="46"/>
        <v>1417</v>
      </c>
      <c r="Y192" s="13" t="str">
        <f t="shared" si="48"/>
        <v>89</v>
      </c>
      <c r="Z192" s="119"/>
      <c r="AA192" s="119"/>
      <c r="AB192" s="119"/>
      <c r="AC192" s="119"/>
      <c r="AD192" s="119"/>
      <c r="AE192" s="119"/>
      <c r="AF192" s="119"/>
      <c r="AG192" s="119"/>
      <c r="AH192" s="119"/>
      <c r="AJ192" s="64"/>
      <c r="AK192" s="64" t="s">
        <v>2204</v>
      </c>
    </row>
    <row r="193" spans="2:37" ht="17.25">
      <c r="B193" s="12" t="s">
        <v>1972</v>
      </c>
      <c r="C193" s="12" t="str">
        <f t="shared" si="43"/>
        <v>FF01B0180000C9</v>
      </c>
      <c r="D193" s="60" t="s">
        <v>24</v>
      </c>
      <c r="E193" s="60" t="s">
        <v>1275</v>
      </c>
      <c r="F193" s="60" t="s">
        <v>1252</v>
      </c>
      <c r="G193" s="60" t="s">
        <v>16</v>
      </c>
      <c r="H193" s="60" t="s">
        <v>16</v>
      </c>
      <c r="I193" s="12" t="str">
        <f t="shared" si="44"/>
        <v>C9</v>
      </c>
      <c r="J193" s="12"/>
      <c r="K193" s="12"/>
      <c r="L193" s="12"/>
      <c r="M193" s="12"/>
      <c r="N193" s="12"/>
      <c r="O193" s="12"/>
      <c r="P193" s="12"/>
      <c r="Q193" s="13">
        <f t="shared" si="41"/>
        <v>1</v>
      </c>
      <c r="R193" s="13">
        <f t="shared" si="41"/>
        <v>176</v>
      </c>
      <c r="S193" s="13">
        <f t="shared" si="41"/>
        <v>24</v>
      </c>
      <c r="T193" s="13">
        <f t="shared" si="41"/>
        <v>0</v>
      </c>
      <c r="U193" s="13">
        <f t="shared" si="51"/>
        <v>0</v>
      </c>
      <c r="V193" s="13">
        <f t="shared" si="50"/>
        <v>201</v>
      </c>
      <c r="W193" s="13" t="str">
        <f t="shared" si="45"/>
        <v>C9</v>
      </c>
      <c r="X193" s="13">
        <f t="shared" si="46"/>
        <v>401</v>
      </c>
      <c r="Y193" s="13" t="str">
        <f t="shared" si="48"/>
        <v>91</v>
      </c>
      <c r="Z193" s="119"/>
      <c r="AA193" s="119"/>
      <c r="AB193" s="119"/>
      <c r="AC193" s="119"/>
      <c r="AD193" s="119"/>
      <c r="AE193" s="119"/>
      <c r="AF193" s="119"/>
      <c r="AG193" s="119"/>
      <c r="AH193" s="119"/>
      <c r="AJ193" s="64"/>
      <c r="AK193" s="64" t="s">
        <v>2205</v>
      </c>
    </row>
    <row r="194" spans="2:37" ht="17.25">
      <c r="B194" s="12" t="s">
        <v>1973</v>
      </c>
      <c r="C194" s="12" t="str">
        <f t="shared" si="43"/>
        <v>FF01B018400009</v>
      </c>
      <c r="D194" s="60" t="s">
        <v>24</v>
      </c>
      <c r="E194" s="60" t="s">
        <v>1275</v>
      </c>
      <c r="F194" s="60" t="s">
        <v>1252</v>
      </c>
      <c r="G194" s="60" t="s">
        <v>1503</v>
      </c>
      <c r="H194" s="60" t="s">
        <v>16</v>
      </c>
      <c r="I194" s="12" t="str">
        <f t="shared" si="44"/>
        <v>09</v>
      </c>
      <c r="J194" s="12"/>
      <c r="K194" s="12"/>
      <c r="L194" s="12"/>
      <c r="M194" s="12"/>
      <c r="N194" s="12"/>
      <c r="O194" s="12"/>
      <c r="P194" s="12"/>
      <c r="Q194" s="13">
        <f t="shared" si="41"/>
        <v>1</v>
      </c>
      <c r="R194" s="13">
        <f t="shared" si="41"/>
        <v>176</v>
      </c>
      <c r="S194" s="13">
        <f t="shared" si="41"/>
        <v>24</v>
      </c>
      <c r="T194" s="13">
        <f t="shared" si="41"/>
        <v>64</v>
      </c>
      <c r="U194" s="13">
        <f t="shared" si="51"/>
        <v>0</v>
      </c>
      <c r="V194" s="13">
        <f t="shared" si="50"/>
        <v>265</v>
      </c>
      <c r="W194" s="13" t="str">
        <f t="shared" si="45"/>
        <v>09</v>
      </c>
      <c r="X194" s="13">
        <f t="shared" si="46"/>
        <v>529</v>
      </c>
      <c r="Y194" s="13" t="str">
        <f t="shared" si="48"/>
        <v>11</v>
      </c>
      <c r="Z194" s="119"/>
      <c r="AA194" s="119"/>
      <c r="AB194" s="119"/>
      <c r="AC194" s="119"/>
      <c r="AD194" s="119"/>
      <c r="AE194" s="119"/>
      <c r="AF194" s="119"/>
      <c r="AG194" s="119"/>
      <c r="AH194" s="119"/>
      <c r="AJ194" s="64"/>
      <c r="AK194" s="64" t="s">
        <v>2206</v>
      </c>
    </row>
    <row r="195" spans="2:37" ht="17.25">
      <c r="B195" s="12" t="s">
        <v>1974</v>
      </c>
      <c r="C195" s="12" t="str">
        <f t="shared" si="43"/>
        <v>FF01B018FFFFC7</v>
      </c>
      <c r="D195" s="60" t="s">
        <v>24</v>
      </c>
      <c r="E195" s="60" t="s">
        <v>1275</v>
      </c>
      <c r="F195" s="60" t="s">
        <v>1252</v>
      </c>
      <c r="G195" s="60" t="s">
        <v>9</v>
      </c>
      <c r="H195" s="60" t="s">
        <v>9</v>
      </c>
      <c r="I195" s="12" t="str">
        <f t="shared" si="44"/>
        <v>C7</v>
      </c>
      <c r="J195" s="12"/>
      <c r="K195" s="12"/>
      <c r="L195" s="12"/>
      <c r="M195" s="12"/>
      <c r="N195" s="12"/>
      <c r="O195" s="12"/>
      <c r="P195" s="12"/>
      <c r="Q195" s="13">
        <f t="shared" si="41"/>
        <v>1</v>
      </c>
      <c r="R195" s="13">
        <f t="shared" si="41"/>
        <v>176</v>
      </c>
      <c r="S195" s="13">
        <f t="shared" si="41"/>
        <v>24</v>
      </c>
      <c r="T195" s="13">
        <f t="shared" si="41"/>
        <v>255</v>
      </c>
      <c r="U195" s="13">
        <f t="shared" si="51"/>
        <v>255</v>
      </c>
      <c r="V195" s="13">
        <f t="shared" si="50"/>
        <v>711</v>
      </c>
      <c r="W195" s="13" t="str">
        <f t="shared" si="45"/>
        <v>C7</v>
      </c>
      <c r="X195" s="13">
        <f t="shared" si="46"/>
        <v>1421</v>
      </c>
      <c r="Y195" s="13" t="str">
        <f t="shared" si="48"/>
        <v>8D</v>
      </c>
      <c r="Z195" s="119"/>
      <c r="AA195" s="119"/>
      <c r="AB195" s="119"/>
      <c r="AC195" s="119"/>
      <c r="AD195" s="119"/>
      <c r="AE195" s="119"/>
      <c r="AF195" s="119"/>
      <c r="AG195" s="119"/>
      <c r="AH195" s="119"/>
      <c r="AJ195" s="64"/>
      <c r="AK195" s="64" t="s">
        <v>2207</v>
      </c>
    </row>
    <row r="196" spans="2:37" ht="16.5" customHeight="1">
      <c r="B196" s="12" t="s">
        <v>2082</v>
      </c>
      <c r="C196" s="12" t="str">
        <f t="shared" si="43"/>
        <v>FF01B01A0000CB</v>
      </c>
      <c r="D196" s="60" t="s">
        <v>24</v>
      </c>
      <c r="E196" s="60" t="s">
        <v>1275</v>
      </c>
      <c r="F196" s="60" t="s">
        <v>1802</v>
      </c>
      <c r="G196" s="60" t="s">
        <v>16</v>
      </c>
      <c r="H196" s="60" t="s">
        <v>16</v>
      </c>
      <c r="I196" s="12" t="str">
        <f t="shared" si="44"/>
        <v>CB</v>
      </c>
      <c r="J196" s="12"/>
      <c r="K196" s="12"/>
      <c r="L196" s="12"/>
      <c r="M196" s="12"/>
      <c r="N196" s="12"/>
      <c r="O196" s="12"/>
      <c r="P196" s="12"/>
      <c r="Q196" s="13">
        <f t="shared" ref="Q196:T259" si="52">HEX2DEC(D196)</f>
        <v>1</v>
      </c>
      <c r="R196" s="13">
        <f t="shared" si="52"/>
        <v>176</v>
      </c>
      <c r="S196" s="13">
        <f t="shared" si="52"/>
        <v>26</v>
      </c>
      <c r="T196" s="13">
        <f t="shared" si="52"/>
        <v>0</v>
      </c>
      <c r="U196" s="13">
        <f t="shared" si="51"/>
        <v>0</v>
      </c>
      <c r="V196" s="13">
        <f t="shared" si="50"/>
        <v>203</v>
      </c>
      <c r="W196" s="13" t="str">
        <f t="shared" si="45"/>
        <v>CB</v>
      </c>
      <c r="X196" s="13">
        <f t="shared" si="46"/>
        <v>405</v>
      </c>
      <c r="Y196" s="13" t="str">
        <f t="shared" si="48"/>
        <v>95</v>
      </c>
      <c r="Z196" s="119"/>
      <c r="AA196" s="119"/>
      <c r="AB196" s="119"/>
      <c r="AC196" s="119"/>
      <c r="AD196" s="119"/>
      <c r="AE196" s="119"/>
      <c r="AF196" s="119"/>
      <c r="AG196" s="119"/>
      <c r="AH196" s="119"/>
      <c r="AJ196" s="64"/>
      <c r="AK196" s="64" t="s">
        <v>2208</v>
      </c>
    </row>
    <row r="197" spans="2:37" ht="16.5" customHeight="1">
      <c r="B197" s="12" t="s">
        <v>1800</v>
      </c>
      <c r="C197" s="12" t="str">
        <f t="shared" si="43"/>
        <v>FF01B01AFFFFC9</v>
      </c>
      <c r="D197" s="60" t="s">
        <v>24</v>
      </c>
      <c r="E197" s="60" t="s">
        <v>1275</v>
      </c>
      <c r="F197" s="60" t="s">
        <v>1802</v>
      </c>
      <c r="G197" s="60" t="s">
        <v>9</v>
      </c>
      <c r="H197" s="60" t="s">
        <v>9</v>
      </c>
      <c r="I197" s="12" t="str">
        <f t="shared" si="44"/>
        <v>C9</v>
      </c>
      <c r="J197" s="12"/>
      <c r="K197" s="12"/>
      <c r="L197" s="12"/>
      <c r="M197" s="12"/>
      <c r="N197" s="12"/>
      <c r="O197" s="12"/>
      <c r="P197" s="12"/>
      <c r="Q197" s="13">
        <f t="shared" si="52"/>
        <v>1</v>
      </c>
      <c r="R197" s="13">
        <f t="shared" si="52"/>
        <v>176</v>
      </c>
      <c r="S197" s="13">
        <f t="shared" si="52"/>
        <v>26</v>
      </c>
      <c r="T197" s="13">
        <f t="shared" si="52"/>
        <v>255</v>
      </c>
      <c r="U197" s="13">
        <f t="shared" si="51"/>
        <v>255</v>
      </c>
      <c r="V197" s="13">
        <f t="shared" si="50"/>
        <v>713</v>
      </c>
      <c r="W197" s="13" t="str">
        <f t="shared" si="45"/>
        <v>C9</v>
      </c>
      <c r="X197" s="13">
        <f t="shared" si="46"/>
        <v>1425</v>
      </c>
      <c r="Y197" s="13" t="str">
        <f t="shared" si="48"/>
        <v>91</v>
      </c>
      <c r="Z197" s="119"/>
      <c r="AA197" s="119"/>
      <c r="AB197" s="119"/>
      <c r="AC197" s="119"/>
      <c r="AD197" s="119"/>
      <c r="AE197" s="119"/>
      <c r="AF197" s="119"/>
      <c r="AG197" s="119"/>
      <c r="AH197" s="119"/>
      <c r="AJ197" s="64"/>
      <c r="AK197" s="64" t="s">
        <v>2209</v>
      </c>
    </row>
    <row r="198" spans="2:37" ht="16.5" customHeight="1">
      <c r="B198" s="12" t="s">
        <v>1801</v>
      </c>
      <c r="C198" s="12" t="str">
        <f t="shared" si="43"/>
        <v>FF01B01F0000D0</v>
      </c>
      <c r="D198" s="60" t="s">
        <v>24</v>
      </c>
      <c r="E198" s="60" t="s">
        <v>1275</v>
      </c>
      <c r="F198" s="60" t="s">
        <v>1803</v>
      </c>
      <c r="G198" s="60" t="s">
        <v>16</v>
      </c>
      <c r="H198" s="60" t="s">
        <v>16</v>
      </c>
      <c r="I198" s="12" t="str">
        <f t="shared" si="44"/>
        <v>D0</v>
      </c>
      <c r="J198" s="12"/>
      <c r="K198" s="12"/>
      <c r="L198" s="12"/>
      <c r="M198" s="12"/>
      <c r="N198" s="12"/>
      <c r="O198" s="12"/>
      <c r="P198" s="12"/>
      <c r="Q198" s="13">
        <f t="shared" si="52"/>
        <v>1</v>
      </c>
      <c r="R198" s="13">
        <f t="shared" si="52"/>
        <v>176</v>
      </c>
      <c r="S198" s="13">
        <f t="shared" si="52"/>
        <v>31</v>
      </c>
      <c r="T198" s="13">
        <f t="shared" si="52"/>
        <v>0</v>
      </c>
      <c r="U198" s="13">
        <f t="shared" si="51"/>
        <v>0</v>
      </c>
      <c r="V198" s="13">
        <f t="shared" si="50"/>
        <v>208</v>
      </c>
      <c r="W198" s="13" t="str">
        <f t="shared" si="45"/>
        <v>D0</v>
      </c>
      <c r="X198" s="13">
        <f t="shared" si="46"/>
        <v>415</v>
      </c>
      <c r="Y198" s="13" t="str">
        <f t="shared" si="48"/>
        <v>9F</v>
      </c>
      <c r="Z198" s="119"/>
      <c r="AA198" s="119"/>
      <c r="AB198" s="119"/>
      <c r="AC198" s="119"/>
      <c r="AD198" s="119"/>
      <c r="AE198" s="119"/>
      <c r="AF198" s="119"/>
      <c r="AG198" s="119"/>
      <c r="AH198" s="119"/>
      <c r="AJ198" s="64"/>
      <c r="AK198" s="64" t="s">
        <v>2210</v>
      </c>
    </row>
    <row r="199" spans="2:37" ht="16.5" customHeight="1">
      <c r="B199" s="111" t="s">
        <v>1805</v>
      </c>
      <c r="C199" s="111" t="str">
        <f t="shared" si="43"/>
        <v>FF01B1200001D3</v>
      </c>
      <c r="D199" s="60" t="s">
        <v>24</v>
      </c>
      <c r="E199" s="60" t="s">
        <v>32</v>
      </c>
      <c r="F199" s="60" t="s">
        <v>133</v>
      </c>
      <c r="G199" s="60" t="s">
        <v>16</v>
      </c>
      <c r="H199" s="60" t="s">
        <v>24</v>
      </c>
      <c r="I199" s="12" t="str">
        <f t="shared" si="44"/>
        <v>D3</v>
      </c>
      <c r="J199" s="12"/>
      <c r="K199" s="12"/>
      <c r="L199" s="12"/>
      <c r="M199" s="12"/>
      <c r="N199" s="12"/>
      <c r="O199" s="12"/>
      <c r="P199" s="12"/>
      <c r="Q199" s="13">
        <f t="shared" si="52"/>
        <v>1</v>
      </c>
      <c r="R199" s="13">
        <f t="shared" si="52"/>
        <v>177</v>
      </c>
      <c r="S199" s="13">
        <f t="shared" si="52"/>
        <v>32</v>
      </c>
      <c r="T199" s="13">
        <f t="shared" si="52"/>
        <v>0</v>
      </c>
      <c r="U199" s="13">
        <f t="shared" si="51"/>
        <v>1</v>
      </c>
      <c r="V199" s="13">
        <f t="shared" si="50"/>
        <v>211</v>
      </c>
      <c r="W199" s="13" t="str">
        <f t="shared" si="45"/>
        <v>D3</v>
      </c>
      <c r="X199" s="13">
        <f t="shared" si="46"/>
        <v>421</v>
      </c>
      <c r="Y199" s="13" t="str">
        <f t="shared" si="48"/>
        <v>A5</v>
      </c>
      <c r="Z199" s="119"/>
      <c r="AA199" s="119"/>
      <c r="AB199" s="119"/>
      <c r="AC199" s="119"/>
      <c r="AD199" s="119"/>
      <c r="AE199" s="119"/>
      <c r="AF199" s="119"/>
      <c r="AG199" s="119"/>
      <c r="AH199" s="119"/>
      <c r="AJ199" s="64"/>
      <c r="AK199" s="64" t="s">
        <v>2211</v>
      </c>
    </row>
    <row r="200" spans="2:37" ht="16.5" customHeight="1">
      <c r="B200" s="12" t="s">
        <v>1806</v>
      </c>
      <c r="C200" s="12" t="str">
        <f t="shared" si="43"/>
        <v>FF0101</v>
      </c>
      <c r="D200" s="60" t="s">
        <v>24</v>
      </c>
      <c r="E200" s="60"/>
      <c r="F200" s="60"/>
      <c r="G200" s="60"/>
      <c r="H200" s="60"/>
      <c r="I200" s="12" t="str">
        <f t="shared" si="44"/>
        <v>01</v>
      </c>
      <c r="J200" s="12"/>
      <c r="K200" s="12"/>
      <c r="L200" s="12"/>
      <c r="M200" s="12"/>
      <c r="N200" s="12"/>
      <c r="O200" s="12"/>
      <c r="P200" s="12"/>
      <c r="Q200" s="13">
        <f t="shared" si="52"/>
        <v>1</v>
      </c>
      <c r="R200" s="13">
        <f t="shared" si="52"/>
        <v>0</v>
      </c>
      <c r="S200" s="13">
        <f t="shared" si="52"/>
        <v>0</v>
      </c>
      <c r="T200" s="13">
        <f t="shared" si="52"/>
        <v>0</v>
      </c>
      <c r="U200" s="13">
        <f t="shared" si="51"/>
        <v>0</v>
      </c>
      <c r="V200" s="13">
        <f t="shared" si="50"/>
        <v>1</v>
      </c>
      <c r="W200" s="13" t="str">
        <f t="shared" si="45"/>
        <v>01</v>
      </c>
      <c r="X200" s="13">
        <f t="shared" si="46"/>
        <v>1</v>
      </c>
      <c r="Y200" s="13" t="str">
        <f t="shared" si="48"/>
        <v>01</v>
      </c>
      <c r="Z200" s="119"/>
      <c r="AA200" s="119"/>
      <c r="AB200" s="119"/>
      <c r="AC200" s="119"/>
      <c r="AD200" s="119"/>
      <c r="AE200" s="119"/>
      <c r="AF200" s="119"/>
      <c r="AG200" s="119"/>
      <c r="AH200" s="119"/>
      <c r="AJ200" s="64"/>
      <c r="AK200" s="64" t="s">
        <v>2212</v>
      </c>
    </row>
    <row r="201" spans="2:37" ht="25.5">
      <c r="B201" s="12" t="s">
        <v>1811</v>
      </c>
      <c r="C201" s="12" t="str">
        <f t="shared" si="43"/>
        <v>FF0101</v>
      </c>
      <c r="D201" s="60" t="s">
        <v>24</v>
      </c>
      <c r="E201" s="60"/>
      <c r="F201" s="60"/>
      <c r="G201" s="60"/>
      <c r="H201" s="60"/>
      <c r="I201" s="12" t="str">
        <f t="shared" si="44"/>
        <v>01</v>
      </c>
      <c r="J201" s="12"/>
      <c r="K201" s="12"/>
      <c r="L201" s="12"/>
      <c r="M201" s="12"/>
      <c r="N201" s="12"/>
      <c r="O201" s="12"/>
      <c r="P201" s="12"/>
      <c r="Q201" s="13">
        <f t="shared" si="52"/>
        <v>1</v>
      </c>
      <c r="R201" s="13">
        <f t="shared" si="52"/>
        <v>0</v>
      </c>
      <c r="S201" s="13">
        <f t="shared" si="52"/>
        <v>0</v>
      </c>
      <c r="T201" s="13">
        <f t="shared" si="52"/>
        <v>0</v>
      </c>
      <c r="U201" s="13">
        <f t="shared" si="51"/>
        <v>0</v>
      </c>
      <c r="V201" s="13">
        <f t="shared" si="50"/>
        <v>1</v>
      </c>
      <c r="W201" s="13" t="str">
        <f t="shared" si="45"/>
        <v>01</v>
      </c>
      <c r="X201" s="13">
        <f t="shared" si="46"/>
        <v>1</v>
      </c>
      <c r="Y201" s="13" t="str">
        <f t="shared" si="48"/>
        <v>01</v>
      </c>
      <c r="Z201" s="119"/>
      <c r="AA201" s="119"/>
      <c r="AB201" s="119"/>
      <c r="AC201" s="119"/>
      <c r="AD201" s="119"/>
      <c r="AE201" s="119"/>
      <c r="AF201" s="119"/>
      <c r="AG201" s="119"/>
      <c r="AH201" s="119"/>
      <c r="AJ201" s="64"/>
      <c r="AK201" s="64" t="s">
        <v>2212</v>
      </c>
    </row>
    <row r="202" spans="2:37" ht="16.5" customHeight="1">
      <c r="B202" s="12" t="s">
        <v>1807</v>
      </c>
      <c r="C202" s="12" t="str">
        <f t="shared" si="43"/>
        <v>FF0101</v>
      </c>
      <c r="D202" s="60" t="s">
        <v>24</v>
      </c>
      <c r="E202" s="60"/>
      <c r="F202" s="60"/>
      <c r="G202" s="60"/>
      <c r="H202" s="60"/>
      <c r="I202" s="12" t="str">
        <f t="shared" si="44"/>
        <v>01</v>
      </c>
      <c r="J202" s="12"/>
      <c r="K202" s="12"/>
      <c r="L202" s="12"/>
      <c r="M202" s="12"/>
      <c r="N202" s="12"/>
      <c r="O202" s="12"/>
      <c r="P202" s="12"/>
      <c r="Q202" s="13">
        <f t="shared" si="52"/>
        <v>1</v>
      </c>
      <c r="R202" s="13">
        <f t="shared" si="52"/>
        <v>0</v>
      </c>
      <c r="S202" s="13">
        <f t="shared" si="52"/>
        <v>0</v>
      </c>
      <c r="T202" s="13">
        <f t="shared" si="52"/>
        <v>0</v>
      </c>
      <c r="U202" s="13">
        <f t="shared" si="51"/>
        <v>0</v>
      </c>
      <c r="V202" s="13">
        <f t="shared" si="50"/>
        <v>1</v>
      </c>
      <c r="W202" s="13" t="str">
        <f t="shared" si="45"/>
        <v>01</v>
      </c>
      <c r="X202" s="13">
        <f t="shared" si="46"/>
        <v>1</v>
      </c>
      <c r="Y202" s="13" t="str">
        <f t="shared" si="48"/>
        <v>01</v>
      </c>
      <c r="Z202" s="119"/>
      <c r="AA202" s="119"/>
      <c r="AB202" s="119"/>
      <c r="AC202" s="119"/>
      <c r="AD202" s="119"/>
      <c r="AE202" s="119"/>
      <c r="AF202" s="119"/>
      <c r="AG202" s="119"/>
      <c r="AH202" s="119"/>
      <c r="AJ202" s="64"/>
      <c r="AK202" s="64" t="s">
        <v>2212</v>
      </c>
    </row>
    <row r="203" spans="2:37" ht="16.5" customHeight="1">
      <c r="B203" s="12" t="s">
        <v>1808</v>
      </c>
      <c r="C203" s="12" t="str">
        <f t="shared" si="43"/>
        <v>FF0101</v>
      </c>
      <c r="D203" s="60" t="s">
        <v>24</v>
      </c>
      <c r="E203" s="60"/>
      <c r="F203" s="60"/>
      <c r="G203" s="60"/>
      <c r="H203" s="60"/>
      <c r="I203" s="12" t="str">
        <f t="shared" si="44"/>
        <v>01</v>
      </c>
      <c r="J203" s="12"/>
      <c r="K203" s="12"/>
      <c r="L203" s="12"/>
      <c r="M203" s="12"/>
      <c r="N203" s="12"/>
      <c r="O203" s="12"/>
      <c r="P203" s="12"/>
      <c r="Q203" s="13">
        <f t="shared" si="52"/>
        <v>1</v>
      </c>
      <c r="R203" s="13">
        <f t="shared" si="52"/>
        <v>0</v>
      </c>
      <c r="S203" s="13">
        <f t="shared" si="52"/>
        <v>0</v>
      </c>
      <c r="T203" s="13">
        <f t="shared" si="52"/>
        <v>0</v>
      </c>
      <c r="U203" s="13">
        <f t="shared" si="51"/>
        <v>0</v>
      </c>
      <c r="V203" s="13">
        <f t="shared" si="50"/>
        <v>1</v>
      </c>
      <c r="W203" s="13" t="str">
        <f t="shared" si="45"/>
        <v>01</v>
      </c>
      <c r="X203" s="13">
        <f t="shared" si="46"/>
        <v>1</v>
      </c>
      <c r="Y203" s="13" t="str">
        <f t="shared" si="48"/>
        <v>01</v>
      </c>
      <c r="Z203" s="119"/>
      <c r="AA203" s="119"/>
      <c r="AB203" s="119"/>
      <c r="AC203" s="119"/>
      <c r="AD203" s="119"/>
      <c r="AE203" s="119"/>
      <c r="AF203" s="119"/>
      <c r="AG203" s="119"/>
      <c r="AH203" s="119"/>
      <c r="AJ203" s="64"/>
      <c r="AK203" s="64" t="s">
        <v>2212</v>
      </c>
    </row>
    <row r="204" spans="2:37" ht="16.5" customHeight="1">
      <c r="B204" s="12" t="s">
        <v>1809</v>
      </c>
      <c r="C204" s="12" t="str">
        <f t="shared" si="43"/>
        <v>FF0101</v>
      </c>
      <c r="D204" s="60" t="s">
        <v>24</v>
      </c>
      <c r="E204" s="60"/>
      <c r="F204" s="60"/>
      <c r="G204" s="60"/>
      <c r="H204" s="60"/>
      <c r="I204" s="12" t="str">
        <f t="shared" si="44"/>
        <v>01</v>
      </c>
      <c r="J204" s="12"/>
      <c r="K204" s="12"/>
      <c r="L204" s="12"/>
      <c r="M204" s="12"/>
      <c r="N204" s="12"/>
      <c r="O204" s="12"/>
      <c r="P204" s="12"/>
      <c r="Q204" s="13">
        <f t="shared" si="52"/>
        <v>1</v>
      </c>
      <c r="R204" s="13">
        <f t="shared" si="52"/>
        <v>0</v>
      </c>
      <c r="S204" s="13">
        <f t="shared" si="52"/>
        <v>0</v>
      </c>
      <c r="T204" s="13">
        <f t="shared" si="52"/>
        <v>0</v>
      </c>
      <c r="U204" s="13">
        <f t="shared" si="51"/>
        <v>0</v>
      </c>
      <c r="V204" s="13">
        <f t="shared" si="50"/>
        <v>1</v>
      </c>
      <c r="W204" s="13" t="str">
        <f t="shared" si="45"/>
        <v>01</v>
      </c>
      <c r="X204" s="13">
        <f t="shared" si="46"/>
        <v>1</v>
      </c>
      <c r="Y204" s="13" t="str">
        <f t="shared" si="48"/>
        <v>01</v>
      </c>
      <c r="Z204" s="119"/>
      <c r="AA204" s="119"/>
      <c r="AB204" s="119"/>
      <c r="AC204" s="119"/>
      <c r="AD204" s="119"/>
      <c r="AE204" s="119"/>
      <c r="AF204" s="119"/>
      <c r="AG204" s="119"/>
      <c r="AH204" s="119"/>
      <c r="AJ204" s="64"/>
      <c r="AK204" s="64" t="s">
        <v>2212</v>
      </c>
    </row>
    <row r="205" spans="2:37" ht="16.5" customHeight="1">
      <c r="B205" s="12" t="s">
        <v>1810</v>
      </c>
      <c r="C205" s="12" t="str">
        <f t="shared" si="43"/>
        <v>FF0101</v>
      </c>
      <c r="D205" s="60" t="s">
        <v>24</v>
      </c>
      <c r="E205" s="60"/>
      <c r="F205" s="60"/>
      <c r="G205" s="60"/>
      <c r="H205" s="60"/>
      <c r="I205" s="12" t="str">
        <f t="shared" si="44"/>
        <v>01</v>
      </c>
      <c r="J205" s="12"/>
      <c r="K205" s="12"/>
      <c r="L205" s="12"/>
      <c r="M205" s="12"/>
      <c r="N205" s="12"/>
      <c r="O205" s="12"/>
      <c r="P205" s="12"/>
      <c r="Q205" s="13">
        <f t="shared" si="52"/>
        <v>1</v>
      </c>
      <c r="R205" s="13">
        <f t="shared" si="52"/>
        <v>0</v>
      </c>
      <c r="S205" s="13">
        <f t="shared" si="52"/>
        <v>0</v>
      </c>
      <c r="T205" s="13">
        <f t="shared" si="52"/>
        <v>0</v>
      </c>
      <c r="U205" s="13">
        <f t="shared" si="51"/>
        <v>0</v>
      </c>
      <c r="V205" s="13">
        <f t="shared" ref="V205:V221" si="53">SUM(Q205:U205)</f>
        <v>1</v>
      </c>
      <c r="W205" s="13" t="str">
        <f t="shared" si="45"/>
        <v>01</v>
      </c>
      <c r="X205" s="13">
        <f t="shared" si="46"/>
        <v>1</v>
      </c>
      <c r="Y205" s="13" t="str">
        <f t="shared" si="48"/>
        <v>01</v>
      </c>
      <c r="Z205" s="119"/>
      <c r="AA205" s="119"/>
      <c r="AB205" s="119"/>
      <c r="AC205" s="119"/>
      <c r="AD205" s="119"/>
      <c r="AE205" s="119"/>
      <c r="AF205" s="119"/>
      <c r="AG205" s="119"/>
      <c r="AH205" s="119"/>
      <c r="AJ205" s="64"/>
      <c r="AK205" s="64" t="s">
        <v>2212</v>
      </c>
    </row>
    <row r="206" spans="2:37" ht="16.5" customHeight="1">
      <c r="B206" s="111" t="s">
        <v>159</v>
      </c>
      <c r="C206" s="111" t="str">
        <f t="shared" ref="C206:C214" si="54">"FF"&amp;D206&amp;E206&amp;""&amp;F206&amp;G206&amp;H206&amp;I206</f>
        <v>FF01E1000000E2</v>
      </c>
      <c r="D206" s="60" t="s">
        <v>24</v>
      </c>
      <c r="E206" s="60" t="s">
        <v>161</v>
      </c>
      <c r="F206" s="60" t="s">
        <v>16</v>
      </c>
      <c r="G206" s="60" t="s">
        <v>16</v>
      </c>
      <c r="H206" s="60" t="s">
        <v>16</v>
      </c>
      <c r="I206" s="12" t="str">
        <f t="shared" si="44"/>
        <v>E2</v>
      </c>
      <c r="J206" s="12"/>
      <c r="K206" s="12"/>
      <c r="L206" s="12"/>
      <c r="M206" s="12"/>
      <c r="N206" s="12"/>
      <c r="O206" s="12"/>
      <c r="P206" s="12"/>
      <c r="Q206" s="13">
        <f t="shared" si="52"/>
        <v>1</v>
      </c>
      <c r="R206" s="13">
        <f t="shared" si="52"/>
        <v>225</v>
      </c>
      <c r="S206" s="13">
        <f t="shared" si="52"/>
        <v>0</v>
      </c>
      <c r="T206" s="13">
        <f t="shared" si="52"/>
        <v>0</v>
      </c>
      <c r="U206" s="13">
        <f t="shared" si="51"/>
        <v>0</v>
      </c>
      <c r="V206" s="13">
        <f t="shared" si="53"/>
        <v>226</v>
      </c>
      <c r="W206" s="13" t="str">
        <f t="shared" si="45"/>
        <v>E2</v>
      </c>
      <c r="X206" s="13">
        <f t="shared" si="46"/>
        <v>451</v>
      </c>
      <c r="Y206" s="13" t="str">
        <f t="shared" si="48"/>
        <v>C3</v>
      </c>
      <c r="Z206" s="119"/>
      <c r="AA206" s="119"/>
      <c r="AB206" s="119"/>
      <c r="AC206" s="119"/>
      <c r="AD206" s="119"/>
      <c r="AE206" s="119"/>
      <c r="AF206" s="119"/>
      <c r="AG206" s="119"/>
      <c r="AH206" s="119"/>
      <c r="AJ206" s="64"/>
      <c r="AK206" s="64" t="s">
        <v>2213</v>
      </c>
    </row>
    <row r="207" spans="2:37" ht="16.5" customHeight="1">
      <c r="B207" s="111" t="s">
        <v>2062</v>
      </c>
      <c r="C207" s="111" t="str">
        <f t="shared" si="54"/>
        <v>FF01E1100000F2</v>
      </c>
      <c r="D207" s="60" t="s">
        <v>24</v>
      </c>
      <c r="E207" s="60" t="s">
        <v>161</v>
      </c>
      <c r="F207" s="60" t="s">
        <v>109</v>
      </c>
      <c r="G207" s="60" t="s">
        <v>16</v>
      </c>
      <c r="H207" s="60" t="s">
        <v>16</v>
      </c>
      <c r="I207" s="12" t="str">
        <f t="shared" ref="I207:I270" si="55">W207</f>
        <v>F2</v>
      </c>
      <c r="J207" s="12"/>
      <c r="K207" s="12"/>
      <c r="L207" s="12"/>
      <c r="M207" s="12"/>
      <c r="N207" s="12"/>
      <c r="O207" s="12"/>
      <c r="P207" s="12"/>
      <c r="Q207" s="13">
        <f t="shared" si="52"/>
        <v>1</v>
      </c>
      <c r="R207" s="13">
        <f t="shared" si="52"/>
        <v>225</v>
      </c>
      <c r="S207" s="13">
        <f t="shared" si="52"/>
        <v>16</v>
      </c>
      <c r="T207" s="13">
        <f t="shared" si="52"/>
        <v>0</v>
      </c>
      <c r="U207" s="13">
        <f t="shared" si="51"/>
        <v>0</v>
      </c>
      <c r="V207" s="13">
        <f t="shared" si="53"/>
        <v>242</v>
      </c>
      <c r="W207" s="13" t="str">
        <f t="shared" ref="W207:W270" si="56">REPT("0",2-LEN(RIGHT(DEC2HEX(V207), 2)))&amp;RIGHT(DEC2HEX(V207), 2)</f>
        <v>F2</v>
      </c>
      <c r="X207" s="13">
        <f t="shared" ref="X207:X270" si="57">SUM(R207:W207)</f>
        <v>483</v>
      </c>
      <c r="Y207" s="13" t="str">
        <f t="shared" si="48"/>
        <v>E3</v>
      </c>
      <c r="Z207" s="119"/>
      <c r="AA207" s="119"/>
      <c r="AB207" s="119"/>
      <c r="AC207" s="119"/>
      <c r="AD207" s="119"/>
      <c r="AE207" s="119"/>
      <c r="AF207" s="119"/>
      <c r="AG207" s="119"/>
      <c r="AH207" s="119"/>
      <c r="AJ207" s="64"/>
      <c r="AK207" s="64" t="s">
        <v>272</v>
      </c>
    </row>
    <row r="208" spans="2:37" ht="16.5" customHeight="1">
      <c r="B208" s="111" t="s">
        <v>2063</v>
      </c>
      <c r="C208" s="111" t="str">
        <f t="shared" si="54"/>
        <v>FF02E1100000F3</v>
      </c>
      <c r="D208" s="60" t="s">
        <v>17</v>
      </c>
      <c r="E208" s="60" t="s">
        <v>161</v>
      </c>
      <c r="F208" s="60" t="s">
        <v>109</v>
      </c>
      <c r="G208" s="60" t="s">
        <v>16</v>
      </c>
      <c r="H208" s="60" t="s">
        <v>16</v>
      </c>
      <c r="I208" s="12" t="str">
        <f t="shared" si="55"/>
        <v>F3</v>
      </c>
      <c r="J208" s="12"/>
      <c r="K208" s="12"/>
      <c r="L208" s="12"/>
      <c r="M208" s="12"/>
      <c r="N208" s="12"/>
      <c r="O208" s="12"/>
      <c r="P208" s="12"/>
      <c r="Q208" s="13">
        <f t="shared" si="52"/>
        <v>2</v>
      </c>
      <c r="R208" s="13">
        <f t="shared" si="52"/>
        <v>225</v>
      </c>
      <c r="S208" s="13">
        <f t="shared" si="52"/>
        <v>16</v>
      </c>
      <c r="T208" s="13">
        <f t="shared" si="52"/>
        <v>0</v>
      </c>
      <c r="U208" s="13">
        <f t="shared" si="51"/>
        <v>0</v>
      </c>
      <c r="V208" s="13">
        <f t="shared" ref="V208:V209" si="58">SUM(Q208:U208)</f>
        <v>243</v>
      </c>
      <c r="W208" s="13" t="str">
        <f t="shared" si="56"/>
        <v>F3</v>
      </c>
      <c r="X208" s="13">
        <f t="shared" si="57"/>
        <v>484</v>
      </c>
      <c r="Y208" s="13" t="str">
        <f t="shared" si="48"/>
        <v>E4</v>
      </c>
      <c r="Z208" s="119"/>
      <c r="AA208" s="119"/>
      <c r="AB208" s="119"/>
      <c r="AC208" s="119"/>
      <c r="AD208" s="119"/>
      <c r="AE208" s="119"/>
      <c r="AF208" s="119"/>
      <c r="AG208" s="119"/>
      <c r="AH208" s="119"/>
      <c r="AJ208" s="64"/>
      <c r="AK208" s="64" t="s">
        <v>2214</v>
      </c>
    </row>
    <row r="209" spans="2:37" ht="16.5" customHeight="1">
      <c r="B209" s="111" t="s">
        <v>2064</v>
      </c>
      <c r="C209" s="111" t="str">
        <f t="shared" si="54"/>
        <v>FF03E1100000F4</v>
      </c>
      <c r="D209" s="60" t="s">
        <v>91</v>
      </c>
      <c r="E209" s="60" t="s">
        <v>161</v>
      </c>
      <c r="F209" s="60" t="s">
        <v>109</v>
      </c>
      <c r="G209" s="60" t="s">
        <v>16</v>
      </c>
      <c r="H209" s="60" t="s">
        <v>16</v>
      </c>
      <c r="I209" s="12" t="str">
        <f t="shared" si="55"/>
        <v>F4</v>
      </c>
      <c r="J209" s="12"/>
      <c r="K209" s="12"/>
      <c r="L209" s="12"/>
      <c r="M209" s="12"/>
      <c r="N209" s="12"/>
      <c r="O209" s="12"/>
      <c r="P209" s="12"/>
      <c r="Q209" s="13">
        <f t="shared" si="52"/>
        <v>3</v>
      </c>
      <c r="R209" s="13">
        <f t="shared" si="52"/>
        <v>225</v>
      </c>
      <c r="S209" s="13">
        <f t="shared" si="52"/>
        <v>16</v>
      </c>
      <c r="T209" s="13">
        <f t="shared" si="52"/>
        <v>0</v>
      </c>
      <c r="U209" s="13">
        <f t="shared" si="51"/>
        <v>0</v>
      </c>
      <c r="V209" s="13">
        <f t="shared" si="58"/>
        <v>244</v>
      </c>
      <c r="W209" s="13" t="str">
        <f t="shared" si="56"/>
        <v>F4</v>
      </c>
      <c r="X209" s="13">
        <f t="shared" si="57"/>
        <v>485</v>
      </c>
      <c r="Y209" s="13" t="str">
        <f t="shared" si="48"/>
        <v>E5</v>
      </c>
      <c r="Z209" s="119"/>
      <c r="AA209" s="119"/>
      <c r="AB209" s="119"/>
      <c r="AC209" s="119"/>
      <c r="AD209" s="119"/>
      <c r="AE209" s="119"/>
      <c r="AF209" s="119"/>
      <c r="AG209" s="119"/>
      <c r="AH209" s="119"/>
      <c r="AJ209" s="64"/>
      <c r="AK209" s="64" t="s">
        <v>2215</v>
      </c>
    </row>
    <row r="210" spans="2:37" ht="16.5" customHeight="1">
      <c r="B210" s="12" t="s">
        <v>1812</v>
      </c>
      <c r="C210" s="12" t="str">
        <f t="shared" si="54"/>
        <v>FF03E021000004</v>
      </c>
      <c r="D210" s="60" t="s">
        <v>91</v>
      </c>
      <c r="E210" s="60" t="s">
        <v>15</v>
      </c>
      <c r="F210" s="60" t="s">
        <v>18</v>
      </c>
      <c r="G210" s="60" t="s">
        <v>16</v>
      </c>
      <c r="H210" s="60" t="s">
        <v>16</v>
      </c>
      <c r="I210" s="12" t="str">
        <f t="shared" si="55"/>
        <v>04</v>
      </c>
      <c r="J210" s="12"/>
      <c r="K210" s="12"/>
      <c r="L210" s="12"/>
      <c r="M210" s="12"/>
      <c r="N210" s="12"/>
      <c r="O210" s="12"/>
      <c r="P210" s="12"/>
      <c r="Q210" s="13">
        <f t="shared" si="52"/>
        <v>3</v>
      </c>
      <c r="R210" s="13">
        <f t="shared" si="52"/>
        <v>224</v>
      </c>
      <c r="S210" s="13">
        <f t="shared" si="52"/>
        <v>33</v>
      </c>
      <c r="T210" s="13">
        <f t="shared" si="52"/>
        <v>0</v>
      </c>
      <c r="U210" s="13">
        <f t="shared" si="51"/>
        <v>0</v>
      </c>
      <c r="V210" s="13">
        <f t="shared" si="53"/>
        <v>260</v>
      </c>
      <c r="W210" s="13" t="str">
        <f t="shared" si="56"/>
        <v>04</v>
      </c>
      <c r="X210" s="13">
        <f t="shared" si="57"/>
        <v>517</v>
      </c>
      <c r="Y210" s="13" t="str">
        <f t="shared" si="48"/>
        <v>05</v>
      </c>
      <c r="Z210" s="119"/>
      <c r="AA210" s="119"/>
      <c r="AB210" s="119"/>
      <c r="AC210" s="119"/>
      <c r="AD210" s="119"/>
      <c r="AE210" s="119"/>
      <c r="AF210" s="119"/>
      <c r="AG210" s="119"/>
      <c r="AH210" s="119"/>
      <c r="AJ210" s="64"/>
      <c r="AK210" s="64" t="s">
        <v>2216</v>
      </c>
    </row>
    <row r="211" spans="2:37" ht="16.5" customHeight="1">
      <c r="B211" s="12" t="s">
        <v>1813</v>
      </c>
      <c r="C211" s="12" t="str">
        <f t="shared" si="54"/>
        <v>FF03E022000005</v>
      </c>
      <c r="D211" s="60" t="s">
        <v>91</v>
      </c>
      <c r="E211" s="60" t="s">
        <v>15</v>
      </c>
      <c r="F211" s="60" t="s">
        <v>49</v>
      </c>
      <c r="G211" s="60" t="s">
        <v>16</v>
      </c>
      <c r="H211" s="60" t="s">
        <v>16</v>
      </c>
      <c r="I211" s="12" t="str">
        <f t="shared" si="55"/>
        <v>05</v>
      </c>
      <c r="J211" s="12"/>
      <c r="K211" s="12"/>
      <c r="L211" s="12"/>
      <c r="M211" s="12"/>
      <c r="N211" s="12"/>
      <c r="O211" s="12"/>
      <c r="P211" s="12"/>
      <c r="Q211" s="13">
        <f t="shared" si="52"/>
        <v>3</v>
      </c>
      <c r="R211" s="13">
        <f t="shared" si="52"/>
        <v>224</v>
      </c>
      <c r="S211" s="13">
        <f t="shared" si="52"/>
        <v>34</v>
      </c>
      <c r="T211" s="13">
        <f t="shared" si="52"/>
        <v>0</v>
      </c>
      <c r="U211" s="13">
        <f t="shared" si="51"/>
        <v>0</v>
      </c>
      <c r="V211" s="13">
        <f t="shared" si="53"/>
        <v>261</v>
      </c>
      <c r="W211" s="13" t="str">
        <f t="shared" si="56"/>
        <v>05</v>
      </c>
      <c r="X211" s="13">
        <f t="shared" si="57"/>
        <v>519</v>
      </c>
      <c r="Y211" s="13" t="str">
        <f t="shared" si="48"/>
        <v>07</v>
      </c>
      <c r="Z211" s="119"/>
      <c r="AA211" s="119"/>
      <c r="AB211" s="119"/>
      <c r="AC211" s="119"/>
      <c r="AD211" s="119"/>
      <c r="AE211" s="119"/>
      <c r="AF211" s="119"/>
      <c r="AG211" s="119"/>
      <c r="AH211" s="119"/>
      <c r="AJ211" s="64"/>
      <c r="AK211" s="64" t="s">
        <v>2217</v>
      </c>
    </row>
    <row r="212" spans="2:37" ht="16.5" customHeight="1">
      <c r="B212" s="12" t="s">
        <v>1814</v>
      </c>
      <c r="C212" s="12" t="str">
        <f t="shared" si="54"/>
        <v>FF03E023000006</v>
      </c>
      <c r="D212" s="60" t="s">
        <v>91</v>
      </c>
      <c r="E212" s="60" t="s">
        <v>15</v>
      </c>
      <c r="F212" s="60" t="s">
        <v>1692</v>
      </c>
      <c r="G212" s="60" t="s">
        <v>16</v>
      </c>
      <c r="H212" s="60" t="s">
        <v>16</v>
      </c>
      <c r="I212" s="12" t="str">
        <f t="shared" si="55"/>
        <v>06</v>
      </c>
      <c r="J212" s="12"/>
      <c r="K212" s="12"/>
      <c r="L212" s="12"/>
      <c r="M212" s="12"/>
      <c r="N212" s="12"/>
      <c r="O212" s="12"/>
      <c r="P212" s="12"/>
      <c r="Q212" s="13">
        <f t="shared" si="52"/>
        <v>3</v>
      </c>
      <c r="R212" s="13">
        <f t="shared" si="52"/>
        <v>224</v>
      </c>
      <c r="S212" s="13">
        <f t="shared" si="52"/>
        <v>35</v>
      </c>
      <c r="T212" s="13">
        <f t="shared" si="52"/>
        <v>0</v>
      </c>
      <c r="U212" s="13">
        <f t="shared" si="51"/>
        <v>0</v>
      </c>
      <c r="V212" s="13">
        <f t="shared" si="53"/>
        <v>262</v>
      </c>
      <c r="W212" s="13" t="str">
        <f t="shared" si="56"/>
        <v>06</v>
      </c>
      <c r="X212" s="13">
        <f t="shared" si="57"/>
        <v>521</v>
      </c>
      <c r="Y212" s="13" t="str">
        <f t="shared" si="48"/>
        <v>09</v>
      </c>
      <c r="Z212" s="119"/>
      <c r="AA212" s="119"/>
      <c r="AB212" s="119"/>
      <c r="AC212" s="119"/>
      <c r="AD212" s="119"/>
      <c r="AE212" s="119"/>
      <c r="AF212" s="119"/>
      <c r="AG212" s="119"/>
      <c r="AH212" s="119"/>
      <c r="AJ212" s="64"/>
      <c r="AK212" s="64" t="s">
        <v>2218</v>
      </c>
    </row>
    <row r="213" spans="2:37" ht="16.5" customHeight="1">
      <c r="B213" s="12" t="s">
        <v>1815</v>
      </c>
      <c r="C213" s="12" t="str">
        <f t="shared" si="54"/>
        <v>FF03E024000007</v>
      </c>
      <c r="D213" s="60" t="s">
        <v>91</v>
      </c>
      <c r="E213" s="60" t="s">
        <v>15</v>
      </c>
      <c r="F213" s="60" t="s">
        <v>1768</v>
      </c>
      <c r="G213" s="60" t="s">
        <v>16</v>
      </c>
      <c r="H213" s="60" t="s">
        <v>16</v>
      </c>
      <c r="I213" s="12" t="str">
        <f t="shared" si="55"/>
        <v>07</v>
      </c>
      <c r="J213" s="12"/>
      <c r="K213" s="12"/>
      <c r="L213" s="12"/>
      <c r="M213" s="12"/>
      <c r="N213" s="12"/>
      <c r="O213" s="12"/>
      <c r="P213" s="12"/>
      <c r="Q213" s="13">
        <f t="shared" si="52"/>
        <v>3</v>
      </c>
      <c r="R213" s="13">
        <f t="shared" si="52"/>
        <v>224</v>
      </c>
      <c r="S213" s="13">
        <f t="shared" si="52"/>
        <v>36</v>
      </c>
      <c r="T213" s="13">
        <f t="shared" si="52"/>
        <v>0</v>
      </c>
      <c r="U213" s="13">
        <f t="shared" si="51"/>
        <v>0</v>
      </c>
      <c r="V213" s="13">
        <f t="shared" si="53"/>
        <v>263</v>
      </c>
      <c r="W213" s="13" t="str">
        <f t="shared" si="56"/>
        <v>07</v>
      </c>
      <c r="X213" s="13">
        <f t="shared" si="57"/>
        <v>523</v>
      </c>
      <c r="Y213" s="13" t="str">
        <f t="shared" si="48"/>
        <v>0B</v>
      </c>
      <c r="Z213" s="119"/>
      <c r="AA213" s="119"/>
      <c r="AB213" s="119"/>
      <c r="AC213" s="119"/>
      <c r="AD213" s="119"/>
      <c r="AE213" s="119"/>
      <c r="AF213" s="119"/>
      <c r="AG213" s="119"/>
      <c r="AH213" s="119"/>
      <c r="AJ213" s="64"/>
      <c r="AK213" s="64" t="s">
        <v>2219</v>
      </c>
    </row>
    <row r="214" spans="2:37" ht="16.5" customHeight="1">
      <c r="B214" s="12" t="s">
        <v>1816</v>
      </c>
      <c r="C214" s="12" t="str">
        <f t="shared" si="54"/>
        <v>FF03E025000008</v>
      </c>
      <c r="D214" s="60" t="s">
        <v>91</v>
      </c>
      <c r="E214" s="60" t="s">
        <v>15</v>
      </c>
      <c r="F214" s="60" t="s">
        <v>51</v>
      </c>
      <c r="G214" s="60" t="s">
        <v>16</v>
      </c>
      <c r="H214" s="60" t="s">
        <v>16</v>
      </c>
      <c r="I214" s="12" t="str">
        <f t="shared" si="55"/>
        <v>08</v>
      </c>
      <c r="J214" s="12"/>
      <c r="K214" s="12"/>
      <c r="L214" s="12"/>
      <c r="M214" s="12"/>
      <c r="N214" s="12"/>
      <c r="O214" s="12"/>
      <c r="P214" s="12"/>
      <c r="Q214" s="13">
        <f t="shared" si="52"/>
        <v>3</v>
      </c>
      <c r="R214" s="13">
        <f t="shared" si="52"/>
        <v>224</v>
      </c>
      <c r="S214" s="13">
        <f t="shared" si="52"/>
        <v>37</v>
      </c>
      <c r="T214" s="13">
        <f t="shared" si="52"/>
        <v>0</v>
      </c>
      <c r="U214" s="13">
        <f t="shared" si="51"/>
        <v>0</v>
      </c>
      <c r="V214" s="13">
        <f t="shared" si="53"/>
        <v>264</v>
      </c>
      <c r="W214" s="13" t="str">
        <f t="shared" si="56"/>
        <v>08</v>
      </c>
      <c r="X214" s="13">
        <f t="shared" si="57"/>
        <v>525</v>
      </c>
      <c r="Y214" s="13" t="str">
        <f t="shared" si="48"/>
        <v>0D</v>
      </c>
      <c r="Z214" s="119"/>
      <c r="AA214" s="119"/>
      <c r="AB214" s="119"/>
      <c r="AC214" s="119"/>
      <c r="AD214" s="119"/>
      <c r="AE214" s="119"/>
      <c r="AF214" s="119"/>
      <c r="AG214" s="119"/>
      <c r="AH214" s="119"/>
      <c r="AJ214" s="64"/>
      <c r="AK214" s="64" t="s">
        <v>2220</v>
      </c>
    </row>
    <row r="215" spans="2:37" s="115" customFormat="1" ht="16.5" customHeight="1">
      <c r="B215" s="112" t="s">
        <v>1817</v>
      </c>
      <c r="C215" s="112" t="s">
        <v>1614</v>
      </c>
      <c r="D215" s="113" t="s">
        <v>17</v>
      </c>
      <c r="E215" s="113"/>
      <c r="F215" s="113"/>
      <c r="G215" s="113"/>
      <c r="H215" s="113"/>
      <c r="I215" s="112" t="str">
        <f t="shared" si="55"/>
        <v>02</v>
      </c>
      <c r="J215" s="112"/>
      <c r="K215" s="112"/>
      <c r="L215" s="112"/>
      <c r="M215" s="112"/>
      <c r="N215" s="112"/>
      <c r="O215" s="112"/>
      <c r="P215" s="112"/>
      <c r="Q215" s="114">
        <f t="shared" si="52"/>
        <v>2</v>
      </c>
      <c r="R215" s="114">
        <f t="shared" si="52"/>
        <v>0</v>
      </c>
      <c r="S215" s="114">
        <f t="shared" si="52"/>
        <v>0</v>
      </c>
      <c r="T215" s="114">
        <f t="shared" si="52"/>
        <v>0</v>
      </c>
      <c r="U215" s="114">
        <f t="shared" si="51"/>
        <v>0</v>
      </c>
      <c r="V215" s="114">
        <f t="shared" si="53"/>
        <v>2</v>
      </c>
      <c r="W215" s="114" t="str">
        <f t="shared" si="56"/>
        <v>02</v>
      </c>
      <c r="X215" s="114">
        <f t="shared" si="57"/>
        <v>2</v>
      </c>
      <c r="Y215" s="114" t="str">
        <f t="shared" si="48"/>
        <v>02</v>
      </c>
      <c r="Z215" s="118"/>
      <c r="AA215" s="118"/>
      <c r="AB215" s="118"/>
      <c r="AC215" s="118"/>
      <c r="AD215" s="118"/>
      <c r="AE215" s="118"/>
      <c r="AF215" s="118"/>
      <c r="AG215" s="118"/>
      <c r="AH215" s="118"/>
      <c r="AJ215" s="116"/>
      <c r="AK215" s="116" t="s">
        <v>1613</v>
      </c>
    </row>
    <row r="216" spans="2:37" ht="16.5" customHeight="1">
      <c r="B216" s="111" t="s">
        <v>1818</v>
      </c>
      <c r="C216" s="111" t="str">
        <f t="shared" ref="C216:C250" si="59">"FF"&amp;D216&amp;E216&amp;""&amp;F216&amp;G216&amp;H216&amp;I216</f>
        <v>FF02E130000013</v>
      </c>
      <c r="D216" s="60" t="s">
        <v>17</v>
      </c>
      <c r="E216" s="60" t="s">
        <v>161</v>
      </c>
      <c r="F216" s="60" t="s">
        <v>172</v>
      </c>
      <c r="G216" s="60" t="s">
        <v>16</v>
      </c>
      <c r="H216" s="60" t="s">
        <v>16</v>
      </c>
      <c r="I216" s="12" t="str">
        <f t="shared" si="55"/>
        <v>13</v>
      </c>
      <c r="J216" s="12"/>
      <c r="K216" s="12"/>
      <c r="L216" s="12"/>
      <c r="M216" s="12"/>
      <c r="N216" s="12"/>
      <c r="O216" s="12"/>
      <c r="P216" s="12"/>
      <c r="Q216" s="13">
        <f t="shared" si="52"/>
        <v>2</v>
      </c>
      <c r="R216" s="13">
        <f t="shared" si="52"/>
        <v>225</v>
      </c>
      <c r="S216" s="13">
        <f t="shared" si="52"/>
        <v>48</v>
      </c>
      <c r="T216" s="13">
        <f t="shared" si="52"/>
        <v>0</v>
      </c>
      <c r="U216" s="13">
        <f t="shared" si="51"/>
        <v>0</v>
      </c>
      <c r="V216" s="13">
        <f t="shared" si="53"/>
        <v>275</v>
      </c>
      <c r="W216" s="13" t="str">
        <f t="shared" si="56"/>
        <v>13</v>
      </c>
      <c r="X216" s="13">
        <f t="shared" si="57"/>
        <v>548</v>
      </c>
      <c r="Y216" s="13" t="str">
        <f t="shared" si="48"/>
        <v>24</v>
      </c>
      <c r="Z216" s="119"/>
      <c r="AA216" s="119"/>
      <c r="AB216" s="119"/>
      <c r="AC216" s="119"/>
      <c r="AD216" s="119"/>
      <c r="AE216" s="119"/>
      <c r="AF216" s="119"/>
      <c r="AG216" s="119"/>
      <c r="AH216" s="119"/>
      <c r="AJ216" s="64"/>
      <c r="AK216" s="64" t="s">
        <v>2221</v>
      </c>
    </row>
    <row r="217" spans="2:37" ht="16.5" customHeight="1">
      <c r="B217" s="12" t="s">
        <v>1819</v>
      </c>
      <c r="C217" s="12" t="str">
        <f t="shared" si="59"/>
        <v>FF02E032000014</v>
      </c>
      <c r="D217" s="60" t="s">
        <v>17</v>
      </c>
      <c r="E217" s="60" t="s">
        <v>15</v>
      </c>
      <c r="F217" s="60" t="s">
        <v>1330</v>
      </c>
      <c r="G217" s="60" t="s">
        <v>16</v>
      </c>
      <c r="H217" s="60" t="s">
        <v>16</v>
      </c>
      <c r="I217" s="12" t="str">
        <f t="shared" si="55"/>
        <v>14</v>
      </c>
      <c r="J217" s="12"/>
      <c r="K217" s="12"/>
      <c r="L217" s="12"/>
      <c r="M217" s="12"/>
      <c r="N217" s="12"/>
      <c r="O217" s="12"/>
      <c r="P217" s="12"/>
      <c r="Q217" s="13">
        <f t="shared" si="52"/>
        <v>2</v>
      </c>
      <c r="R217" s="13">
        <f t="shared" si="52"/>
        <v>224</v>
      </c>
      <c r="S217" s="13">
        <f t="shared" si="52"/>
        <v>50</v>
      </c>
      <c r="T217" s="13">
        <f t="shared" si="52"/>
        <v>0</v>
      </c>
      <c r="U217" s="13">
        <f t="shared" si="51"/>
        <v>0</v>
      </c>
      <c r="V217" s="13">
        <f t="shared" si="53"/>
        <v>276</v>
      </c>
      <c r="W217" s="13" t="str">
        <f t="shared" si="56"/>
        <v>14</v>
      </c>
      <c r="X217" s="13">
        <f t="shared" si="57"/>
        <v>550</v>
      </c>
      <c r="Y217" s="13" t="str">
        <f t="shared" ref="Y217:Y280" si="60">REPT("0",2-LEN(RIGHT(DEC2HEX(X217), 2)))&amp;RIGHT(DEC2HEX(X217), 2)</f>
        <v>26</v>
      </c>
      <c r="Z217" s="119"/>
      <c r="AA217" s="119"/>
      <c r="AB217" s="119"/>
      <c r="AC217" s="119"/>
      <c r="AD217" s="119"/>
      <c r="AE217" s="119"/>
      <c r="AF217" s="119"/>
      <c r="AG217" s="119"/>
      <c r="AH217" s="119"/>
      <c r="AJ217" s="64"/>
      <c r="AK217" s="64" t="s">
        <v>2222</v>
      </c>
    </row>
    <row r="218" spans="2:37" ht="16.5" customHeight="1">
      <c r="B218" s="12" t="s">
        <v>1820</v>
      </c>
      <c r="C218" s="12" t="str">
        <f t="shared" si="59"/>
        <v>FF02E032000115</v>
      </c>
      <c r="D218" s="60" t="s">
        <v>17</v>
      </c>
      <c r="E218" s="60" t="s">
        <v>15</v>
      </c>
      <c r="F218" s="60" t="s">
        <v>1330</v>
      </c>
      <c r="G218" s="60" t="s">
        <v>16</v>
      </c>
      <c r="H218" s="60" t="s">
        <v>24</v>
      </c>
      <c r="I218" s="12" t="str">
        <f t="shared" si="55"/>
        <v>15</v>
      </c>
      <c r="J218" s="12"/>
      <c r="K218" s="12"/>
      <c r="L218" s="12"/>
      <c r="M218" s="12"/>
      <c r="N218" s="12"/>
      <c r="O218" s="12"/>
      <c r="P218" s="12"/>
      <c r="Q218" s="13">
        <f t="shared" si="52"/>
        <v>2</v>
      </c>
      <c r="R218" s="13">
        <f t="shared" si="52"/>
        <v>224</v>
      </c>
      <c r="S218" s="13">
        <f t="shared" si="52"/>
        <v>50</v>
      </c>
      <c r="T218" s="13">
        <f t="shared" si="52"/>
        <v>0</v>
      </c>
      <c r="U218" s="13">
        <f t="shared" si="51"/>
        <v>1</v>
      </c>
      <c r="V218" s="13">
        <f t="shared" si="53"/>
        <v>277</v>
      </c>
      <c r="W218" s="13" t="str">
        <f t="shared" si="56"/>
        <v>15</v>
      </c>
      <c r="X218" s="13">
        <f t="shared" si="57"/>
        <v>552</v>
      </c>
      <c r="Y218" s="13" t="str">
        <f t="shared" si="60"/>
        <v>28</v>
      </c>
      <c r="Z218" s="119"/>
      <c r="AA218" s="119"/>
      <c r="AB218" s="119"/>
      <c r="AC218" s="119"/>
      <c r="AD218" s="119"/>
      <c r="AE218" s="119"/>
      <c r="AF218" s="119"/>
      <c r="AG218" s="119"/>
      <c r="AH218" s="119"/>
      <c r="AJ218" s="64"/>
      <c r="AK218" s="64" t="s">
        <v>2223</v>
      </c>
    </row>
    <row r="219" spans="2:37" ht="16.5" customHeight="1">
      <c r="B219" s="12" t="s">
        <v>1821</v>
      </c>
      <c r="C219" s="12" t="str">
        <f t="shared" si="59"/>
        <v>FF02E032000216</v>
      </c>
      <c r="D219" s="60" t="s">
        <v>17</v>
      </c>
      <c r="E219" s="60" t="s">
        <v>15</v>
      </c>
      <c r="F219" s="60" t="s">
        <v>1330</v>
      </c>
      <c r="G219" s="60" t="s">
        <v>16</v>
      </c>
      <c r="H219" s="60" t="s">
        <v>17</v>
      </c>
      <c r="I219" s="12" t="str">
        <f t="shared" si="55"/>
        <v>16</v>
      </c>
      <c r="J219" s="12"/>
      <c r="K219" s="12"/>
      <c r="L219" s="12"/>
      <c r="M219" s="12"/>
      <c r="N219" s="12"/>
      <c r="O219" s="12"/>
      <c r="P219" s="12"/>
      <c r="Q219" s="13">
        <f t="shared" si="52"/>
        <v>2</v>
      </c>
      <c r="R219" s="13">
        <f t="shared" si="52"/>
        <v>224</v>
      </c>
      <c r="S219" s="13">
        <f t="shared" si="52"/>
        <v>50</v>
      </c>
      <c r="T219" s="13">
        <f t="shared" si="52"/>
        <v>0</v>
      </c>
      <c r="U219" s="13">
        <f t="shared" si="51"/>
        <v>2</v>
      </c>
      <c r="V219" s="13">
        <f t="shared" si="53"/>
        <v>278</v>
      </c>
      <c r="W219" s="13" t="str">
        <f t="shared" si="56"/>
        <v>16</v>
      </c>
      <c r="X219" s="13">
        <f t="shared" si="57"/>
        <v>554</v>
      </c>
      <c r="Y219" s="13" t="str">
        <f t="shared" si="60"/>
        <v>2A</v>
      </c>
      <c r="Z219" s="119"/>
      <c r="AA219" s="119"/>
      <c r="AB219" s="119"/>
      <c r="AC219" s="119"/>
      <c r="AD219" s="119"/>
      <c r="AE219" s="119"/>
      <c r="AF219" s="119"/>
      <c r="AG219" s="119"/>
      <c r="AH219" s="119"/>
      <c r="AJ219" s="64"/>
      <c r="AK219" s="64" t="s">
        <v>2224</v>
      </c>
    </row>
    <row r="220" spans="2:37" ht="16.5" customHeight="1">
      <c r="B220" s="12" t="s">
        <v>1822</v>
      </c>
      <c r="C220" s="12" t="str">
        <f t="shared" si="59"/>
        <v>FF02E032000317</v>
      </c>
      <c r="D220" s="60" t="s">
        <v>17</v>
      </c>
      <c r="E220" s="60" t="s">
        <v>15</v>
      </c>
      <c r="F220" s="60" t="s">
        <v>1330</v>
      </c>
      <c r="G220" s="60" t="s">
        <v>16</v>
      </c>
      <c r="H220" s="60" t="s">
        <v>91</v>
      </c>
      <c r="I220" s="12" t="str">
        <f t="shared" si="55"/>
        <v>17</v>
      </c>
      <c r="J220" s="12"/>
      <c r="K220" s="12"/>
      <c r="L220" s="12"/>
      <c r="M220" s="12"/>
      <c r="N220" s="12"/>
      <c r="O220" s="12"/>
      <c r="P220" s="12"/>
      <c r="Q220" s="13">
        <f t="shared" si="52"/>
        <v>2</v>
      </c>
      <c r="R220" s="13">
        <f t="shared" si="52"/>
        <v>224</v>
      </c>
      <c r="S220" s="13">
        <f t="shared" si="52"/>
        <v>50</v>
      </c>
      <c r="T220" s="13">
        <f t="shared" si="52"/>
        <v>0</v>
      </c>
      <c r="U220" s="13">
        <f t="shared" si="51"/>
        <v>3</v>
      </c>
      <c r="V220" s="13">
        <f t="shared" si="53"/>
        <v>279</v>
      </c>
      <c r="W220" s="13" t="str">
        <f t="shared" si="56"/>
        <v>17</v>
      </c>
      <c r="X220" s="13">
        <f t="shared" si="57"/>
        <v>556</v>
      </c>
      <c r="Y220" s="13" t="str">
        <f t="shared" si="60"/>
        <v>2C</v>
      </c>
      <c r="Z220" s="119"/>
      <c r="AA220" s="119"/>
      <c r="AB220" s="119"/>
      <c r="AC220" s="119"/>
      <c r="AD220" s="119"/>
      <c r="AE220" s="119"/>
      <c r="AF220" s="119"/>
      <c r="AG220" s="119"/>
      <c r="AH220" s="119"/>
      <c r="AJ220" s="64"/>
      <c r="AK220" s="64" t="s">
        <v>2225</v>
      </c>
    </row>
    <row r="221" spans="2:37" ht="16.5" customHeight="1">
      <c r="B221" s="12" t="s">
        <v>1823</v>
      </c>
      <c r="C221" s="12" t="str">
        <f t="shared" si="59"/>
        <v>FF02E033000015</v>
      </c>
      <c r="D221" s="60" t="s">
        <v>17</v>
      </c>
      <c r="E221" s="60" t="s">
        <v>15</v>
      </c>
      <c r="F221" s="60" t="s">
        <v>1853</v>
      </c>
      <c r="G221" s="60" t="s">
        <v>16</v>
      </c>
      <c r="H221" s="60" t="s">
        <v>16</v>
      </c>
      <c r="I221" s="12" t="str">
        <f t="shared" si="55"/>
        <v>15</v>
      </c>
      <c r="J221" s="12"/>
      <c r="K221" s="12"/>
      <c r="L221" s="12"/>
      <c r="M221" s="12"/>
      <c r="N221" s="12"/>
      <c r="O221" s="12"/>
      <c r="P221" s="12"/>
      <c r="Q221" s="13">
        <f t="shared" si="52"/>
        <v>2</v>
      </c>
      <c r="R221" s="13">
        <f t="shared" si="52"/>
        <v>224</v>
      </c>
      <c r="S221" s="13">
        <f t="shared" si="52"/>
        <v>51</v>
      </c>
      <c r="T221" s="13">
        <f t="shared" si="52"/>
        <v>0</v>
      </c>
      <c r="U221" s="13">
        <f t="shared" si="51"/>
        <v>0</v>
      </c>
      <c r="V221" s="13">
        <f t="shared" si="53"/>
        <v>277</v>
      </c>
      <c r="W221" s="13" t="str">
        <f t="shared" si="56"/>
        <v>15</v>
      </c>
      <c r="X221" s="13">
        <f t="shared" si="57"/>
        <v>552</v>
      </c>
      <c r="Y221" s="13" t="str">
        <f t="shared" si="60"/>
        <v>28</v>
      </c>
      <c r="Z221" s="119"/>
      <c r="AA221" s="119"/>
      <c r="AB221" s="119"/>
      <c r="AC221" s="119"/>
      <c r="AD221" s="119"/>
      <c r="AE221" s="119"/>
      <c r="AF221" s="119"/>
      <c r="AG221" s="119"/>
      <c r="AH221" s="119"/>
      <c r="AJ221" s="64"/>
      <c r="AK221" s="64" t="s">
        <v>2226</v>
      </c>
    </row>
    <row r="222" spans="2:37" ht="16.5" customHeight="1">
      <c r="B222" s="12" t="s">
        <v>1824</v>
      </c>
      <c r="C222" s="12" t="str">
        <f t="shared" si="59"/>
        <v>FF02E033000116</v>
      </c>
      <c r="D222" s="60" t="s">
        <v>17</v>
      </c>
      <c r="E222" s="60" t="s">
        <v>15</v>
      </c>
      <c r="F222" s="60" t="s">
        <v>1853</v>
      </c>
      <c r="G222" s="60" t="s">
        <v>16</v>
      </c>
      <c r="H222" s="60" t="s">
        <v>24</v>
      </c>
      <c r="I222" s="12" t="str">
        <f t="shared" si="55"/>
        <v>16</v>
      </c>
      <c r="J222" s="12"/>
      <c r="K222" s="12"/>
      <c r="L222" s="12"/>
      <c r="M222" s="12"/>
      <c r="N222" s="12"/>
      <c r="O222" s="12"/>
      <c r="P222" s="12"/>
      <c r="Q222" s="13">
        <f t="shared" si="52"/>
        <v>2</v>
      </c>
      <c r="R222" s="13">
        <f t="shared" si="52"/>
        <v>224</v>
      </c>
      <c r="S222" s="13">
        <f t="shared" si="52"/>
        <v>51</v>
      </c>
      <c r="T222" s="13">
        <f t="shared" si="52"/>
        <v>0</v>
      </c>
      <c r="U222" s="13">
        <f t="shared" si="51"/>
        <v>1</v>
      </c>
      <c r="V222" s="13">
        <f t="shared" ref="V222:V239" si="61">SUM(Q222:U222)</f>
        <v>278</v>
      </c>
      <c r="W222" s="13" t="str">
        <f t="shared" si="56"/>
        <v>16</v>
      </c>
      <c r="X222" s="13">
        <f t="shared" si="57"/>
        <v>554</v>
      </c>
      <c r="Y222" s="13" t="str">
        <f t="shared" si="60"/>
        <v>2A</v>
      </c>
      <c r="Z222" s="119"/>
      <c r="AA222" s="119"/>
      <c r="AB222" s="119"/>
      <c r="AC222" s="119"/>
      <c r="AD222" s="119"/>
      <c r="AE222" s="119"/>
      <c r="AF222" s="119"/>
      <c r="AG222" s="119"/>
      <c r="AH222" s="119"/>
      <c r="AJ222" s="64"/>
      <c r="AK222" s="64" t="s">
        <v>2227</v>
      </c>
    </row>
    <row r="223" spans="2:37" ht="16.5" customHeight="1">
      <c r="B223" s="12" t="s">
        <v>1825</v>
      </c>
      <c r="C223" s="12" t="str">
        <f t="shared" si="59"/>
        <v>FF02E033000217</v>
      </c>
      <c r="D223" s="60" t="s">
        <v>17</v>
      </c>
      <c r="E223" s="60" t="s">
        <v>15</v>
      </c>
      <c r="F223" s="60" t="s">
        <v>1853</v>
      </c>
      <c r="G223" s="60" t="s">
        <v>16</v>
      </c>
      <c r="H223" s="60" t="s">
        <v>17</v>
      </c>
      <c r="I223" s="12" t="str">
        <f t="shared" si="55"/>
        <v>17</v>
      </c>
      <c r="J223" s="12"/>
      <c r="K223" s="12"/>
      <c r="L223" s="12"/>
      <c r="M223" s="12"/>
      <c r="N223" s="12"/>
      <c r="O223" s="12"/>
      <c r="P223" s="12"/>
      <c r="Q223" s="13">
        <f t="shared" si="52"/>
        <v>2</v>
      </c>
      <c r="R223" s="13">
        <f t="shared" si="52"/>
        <v>224</v>
      </c>
      <c r="S223" s="13">
        <f t="shared" si="52"/>
        <v>51</v>
      </c>
      <c r="T223" s="13">
        <f t="shared" si="52"/>
        <v>0</v>
      </c>
      <c r="U223" s="13">
        <f t="shared" si="51"/>
        <v>2</v>
      </c>
      <c r="V223" s="13">
        <f t="shared" si="61"/>
        <v>279</v>
      </c>
      <c r="W223" s="13" t="str">
        <f t="shared" si="56"/>
        <v>17</v>
      </c>
      <c r="X223" s="13">
        <f t="shared" si="57"/>
        <v>556</v>
      </c>
      <c r="Y223" s="13" t="str">
        <f t="shared" si="60"/>
        <v>2C</v>
      </c>
      <c r="Z223" s="119"/>
      <c r="AA223" s="119"/>
      <c r="AB223" s="119"/>
      <c r="AC223" s="119"/>
      <c r="AD223" s="119"/>
      <c r="AE223" s="119"/>
      <c r="AF223" s="119"/>
      <c r="AG223" s="119"/>
      <c r="AH223" s="119"/>
      <c r="AJ223" s="64"/>
      <c r="AK223" s="64" t="s">
        <v>2228</v>
      </c>
    </row>
    <row r="224" spans="2:37" ht="16.5" customHeight="1">
      <c r="B224" s="12" t="s">
        <v>1826</v>
      </c>
      <c r="C224" s="12" t="str">
        <f t="shared" si="59"/>
        <v>FF02E034000016</v>
      </c>
      <c r="D224" s="60" t="s">
        <v>17</v>
      </c>
      <c r="E224" s="60" t="s">
        <v>15</v>
      </c>
      <c r="F224" s="60" t="s">
        <v>1854</v>
      </c>
      <c r="G224" s="60" t="s">
        <v>16</v>
      </c>
      <c r="H224" s="60" t="s">
        <v>16</v>
      </c>
      <c r="I224" s="12" t="str">
        <f t="shared" si="55"/>
        <v>16</v>
      </c>
      <c r="J224" s="12"/>
      <c r="K224" s="12"/>
      <c r="L224" s="12"/>
      <c r="M224" s="12"/>
      <c r="N224" s="12"/>
      <c r="O224" s="12"/>
      <c r="P224" s="12"/>
      <c r="Q224" s="13">
        <f t="shared" si="52"/>
        <v>2</v>
      </c>
      <c r="R224" s="13">
        <f t="shared" si="52"/>
        <v>224</v>
      </c>
      <c r="S224" s="13">
        <f t="shared" si="52"/>
        <v>52</v>
      </c>
      <c r="T224" s="13">
        <f t="shared" si="52"/>
        <v>0</v>
      </c>
      <c r="U224" s="13">
        <f t="shared" si="51"/>
        <v>0</v>
      </c>
      <c r="V224" s="13">
        <f t="shared" si="61"/>
        <v>278</v>
      </c>
      <c r="W224" s="13" t="str">
        <f t="shared" si="56"/>
        <v>16</v>
      </c>
      <c r="X224" s="13">
        <f t="shared" si="57"/>
        <v>554</v>
      </c>
      <c r="Y224" s="13" t="str">
        <f t="shared" si="60"/>
        <v>2A</v>
      </c>
      <c r="Z224" s="119"/>
      <c r="AA224" s="119"/>
      <c r="AB224" s="119"/>
      <c r="AC224" s="119"/>
      <c r="AD224" s="119"/>
      <c r="AE224" s="119"/>
      <c r="AF224" s="119"/>
      <c r="AG224" s="119"/>
      <c r="AH224" s="119"/>
      <c r="AJ224" s="64"/>
      <c r="AK224" s="64" t="s">
        <v>2229</v>
      </c>
    </row>
    <row r="225" spans="2:37" ht="16.5" customHeight="1">
      <c r="B225" s="12" t="s">
        <v>1827</v>
      </c>
      <c r="C225" s="12" t="str">
        <f t="shared" si="59"/>
        <v>FF02E034000117</v>
      </c>
      <c r="D225" s="60" t="s">
        <v>17</v>
      </c>
      <c r="E225" s="60" t="s">
        <v>15</v>
      </c>
      <c r="F225" s="60" t="s">
        <v>1854</v>
      </c>
      <c r="G225" s="60" t="s">
        <v>16</v>
      </c>
      <c r="H225" s="60" t="s">
        <v>24</v>
      </c>
      <c r="I225" s="12" t="str">
        <f t="shared" si="55"/>
        <v>17</v>
      </c>
      <c r="J225" s="12"/>
      <c r="K225" s="12"/>
      <c r="L225" s="12"/>
      <c r="M225" s="12"/>
      <c r="N225" s="12"/>
      <c r="O225" s="12"/>
      <c r="P225" s="12"/>
      <c r="Q225" s="13">
        <f t="shared" si="52"/>
        <v>2</v>
      </c>
      <c r="R225" s="13">
        <f t="shared" si="52"/>
        <v>224</v>
      </c>
      <c r="S225" s="13">
        <f t="shared" si="52"/>
        <v>52</v>
      </c>
      <c r="T225" s="13">
        <f t="shared" si="52"/>
        <v>0</v>
      </c>
      <c r="U225" s="13">
        <f t="shared" si="51"/>
        <v>1</v>
      </c>
      <c r="V225" s="13">
        <f t="shared" si="61"/>
        <v>279</v>
      </c>
      <c r="W225" s="13" t="str">
        <f t="shared" si="56"/>
        <v>17</v>
      </c>
      <c r="X225" s="13">
        <f t="shared" si="57"/>
        <v>556</v>
      </c>
      <c r="Y225" s="13" t="str">
        <f t="shared" si="60"/>
        <v>2C</v>
      </c>
      <c r="Z225" s="119"/>
      <c r="AA225" s="119"/>
      <c r="AB225" s="119"/>
      <c r="AC225" s="119"/>
      <c r="AD225" s="119"/>
      <c r="AE225" s="119"/>
      <c r="AF225" s="119"/>
      <c r="AG225" s="119"/>
      <c r="AH225" s="119"/>
      <c r="AJ225" s="64"/>
      <c r="AK225" s="64" t="s">
        <v>2230</v>
      </c>
    </row>
    <row r="226" spans="2:37" ht="16.5" customHeight="1">
      <c r="B226" s="12" t="s">
        <v>1828</v>
      </c>
      <c r="C226" s="12" t="str">
        <f t="shared" si="59"/>
        <v>FF02E035000017</v>
      </c>
      <c r="D226" s="60" t="s">
        <v>17</v>
      </c>
      <c r="E226" s="60" t="s">
        <v>15</v>
      </c>
      <c r="F226" s="60" t="s">
        <v>1855</v>
      </c>
      <c r="G226" s="60" t="s">
        <v>16</v>
      </c>
      <c r="H226" s="60" t="s">
        <v>16</v>
      </c>
      <c r="I226" s="12" t="str">
        <f t="shared" si="55"/>
        <v>17</v>
      </c>
      <c r="J226" s="12"/>
      <c r="K226" s="12"/>
      <c r="L226" s="12"/>
      <c r="M226" s="12"/>
      <c r="N226" s="12"/>
      <c r="O226" s="12"/>
      <c r="P226" s="12"/>
      <c r="Q226" s="13">
        <f t="shared" si="52"/>
        <v>2</v>
      </c>
      <c r="R226" s="13">
        <f t="shared" si="52"/>
        <v>224</v>
      </c>
      <c r="S226" s="13">
        <f t="shared" si="52"/>
        <v>53</v>
      </c>
      <c r="T226" s="13">
        <f t="shared" si="52"/>
        <v>0</v>
      </c>
      <c r="U226" s="13">
        <f t="shared" si="51"/>
        <v>0</v>
      </c>
      <c r="V226" s="13">
        <f t="shared" si="61"/>
        <v>279</v>
      </c>
      <c r="W226" s="13" t="str">
        <f t="shared" si="56"/>
        <v>17</v>
      </c>
      <c r="X226" s="13">
        <f t="shared" si="57"/>
        <v>556</v>
      </c>
      <c r="Y226" s="13" t="str">
        <f t="shared" si="60"/>
        <v>2C</v>
      </c>
      <c r="Z226" s="119"/>
      <c r="AA226" s="119"/>
      <c r="AB226" s="119"/>
      <c r="AC226" s="119"/>
      <c r="AD226" s="119"/>
      <c r="AE226" s="119"/>
      <c r="AF226" s="119"/>
      <c r="AG226" s="119"/>
      <c r="AH226" s="119"/>
      <c r="AJ226" s="64"/>
      <c r="AK226" s="64" t="s">
        <v>2231</v>
      </c>
    </row>
    <row r="227" spans="2:37" ht="16.5" customHeight="1">
      <c r="B227" s="12" t="s">
        <v>1829</v>
      </c>
      <c r="C227" s="12" t="str">
        <f t="shared" si="59"/>
        <v>FF02E035000118</v>
      </c>
      <c r="D227" s="60" t="s">
        <v>17</v>
      </c>
      <c r="E227" s="60" t="s">
        <v>15</v>
      </c>
      <c r="F227" s="60" t="s">
        <v>1855</v>
      </c>
      <c r="G227" s="60" t="s">
        <v>16</v>
      </c>
      <c r="H227" s="60" t="s">
        <v>24</v>
      </c>
      <c r="I227" s="12" t="str">
        <f t="shared" si="55"/>
        <v>18</v>
      </c>
      <c r="J227" s="12"/>
      <c r="K227" s="12"/>
      <c r="L227" s="12"/>
      <c r="M227" s="12"/>
      <c r="N227" s="12"/>
      <c r="O227" s="12"/>
      <c r="P227" s="12"/>
      <c r="Q227" s="13">
        <f t="shared" si="52"/>
        <v>2</v>
      </c>
      <c r="R227" s="13">
        <f t="shared" si="52"/>
        <v>224</v>
      </c>
      <c r="S227" s="13">
        <f t="shared" si="52"/>
        <v>53</v>
      </c>
      <c r="T227" s="13">
        <f t="shared" si="52"/>
        <v>0</v>
      </c>
      <c r="U227" s="13">
        <f t="shared" si="51"/>
        <v>1</v>
      </c>
      <c r="V227" s="13">
        <f t="shared" si="61"/>
        <v>280</v>
      </c>
      <c r="W227" s="13" t="str">
        <f t="shared" si="56"/>
        <v>18</v>
      </c>
      <c r="X227" s="13">
        <f t="shared" si="57"/>
        <v>558</v>
      </c>
      <c r="Y227" s="13" t="str">
        <f t="shared" si="60"/>
        <v>2E</v>
      </c>
      <c r="Z227" s="119"/>
      <c r="AA227" s="119"/>
      <c r="AB227" s="119"/>
      <c r="AC227" s="119"/>
      <c r="AD227" s="119"/>
      <c r="AE227" s="119"/>
      <c r="AF227" s="119"/>
      <c r="AG227" s="119"/>
      <c r="AH227" s="119"/>
      <c r="AJ227" s="64"/>
      <c r="AK227" s="64" t="s">
        <v>2232</v>
      </c>
    </row>
    <row r="228" spans="2:37" ht="16.5" customHeight="1">
      <c r="B228" s="12" t="s">
        <v>1830</v>
      </c>
      <c r="C228" s="12" t="str">
        <f t="shared" si="59"/>
        <v>FF02E035000219</v>
      </c>
      <c r="D228" s="60" t="s">
        <v>17</v>
      </c>
      <c r="E228" s="60" t="s">
        <v>15</v>
      </c>
      <c r="F228" s="60" t="s">
        <v>1855</v>
      </c>
      <c r="G228" s="60" t="s">
        <v>16</v>
      </c>
      <c r="H228" s="60" t="s">
        <v>17</v>
      </c>
      <c r="I228" s="12" t="str">
        <f t="shared" si="55"/>
        <v>19</v>
      </c>
      <c r="J228" s="12"/>
      <c r="K228" s="12"/>
      <c r="L228" s="12"/>
      <c r="M228" s="12"/>
      <c r="N228" s="12"/>
      <c r="O228" s="12"/>
      <c r="P228" s="12"/>
      <c r="Q228" s="13">
        <f t="shared" si="52"/>
        <v>2</v>
      </c>
      <c r="R228" s="13">
        <f t="shared" si="52"/>
        <v>224</v>
      </c>
      <c r="S228" s="13">
        <f t="shared" si="52"/>
        <v>53</v>
      </c>
      <c r="T228" s="13">
        <f t="shared" si="52"/>
        <v>0</v>
      </c>
      <c r="U228" s="13">
        <f t="shared" si="51"/>
        <v>2</v>
      </c>
      <c r="V228" s="13">
        <f t="shared" si="61"/>
        <v>281</v>
      </c>
      <c r="W228" s="13" t="str">
        <f t="shared" si="56"/>
        <v>19</v>
      </c>
      <c r="X228" s="13">
        <f t="shared" si="57"/>
        <v>560</v>
      </c>
      <c r="Y228" s="13" t="str">
        <f t="shared" si="60"/>
        <v>30</v>
      </c>
      <c r="Z228" s="119"/>
      <c r="AA228" s="119"/>
      <c r="AB228" s="119"/>
      <c r="AC228" s="119"/>
      <c r="AD228" s="119"/>
      <c r="AE228" s="119"/>
      <c r="AF228" s="119"/>
      <c r="AG228" s="119"/>
      <c r="AH228" s="119"/>
      <c r="AJ228" s="64"/>
      <c r="AK228" s="64" t="s">
        <v>2233</v>
      </c>
    </row>
    <row r="229" spans="2:37" ht="16.5" customHeight="1">
      <c r="B229" s="12" t="s">
        <v>1831</v>
      </c>
      <c r="C229" s="12" t="str">
        <f t="shared" si="59"/>
        <v>FF02E03500031A</v>
      </c>
      <c r="D229" s="60" t="s">
        <v>17</v>
      </c>
      <c r="E229" s="60" t="s">
        <v>15</v>
      </c>
      <c r="F229" s="60" t="s">
        <v>1855</v>
      </c>
      <c r="G229" s="60" t="s">
        <v>16</v>
      </c>
      <c r="H229" s="60" t="s">
        <v>91</v>
      </c>
      <c r="I229" s="12" t="str">
        <f t="shared" si="55"/>
        <v>1A</v>
      </c>
      <c r="J229" s="12"/>
      <c r="K229" s="12"/>
      <c r="L229" s="12"/>
      <c r="M229" s="12"/>
      <c r="N229" s="12"/>
      <c r="O229" s="12"/>
      <c r="P229" s="12"/>
      <c r="Q229" s="13">
        <f t="shared" si="52"/>
        <v>2</v>
      </c>
      <c r="R229" s="13">
        <f t="shared" si="52"/>
        <v>224</v>
      </c>
      <c r="S229" s="13">
        <f t="shared" si="52"/>
        <v>53</v>
      </c>
      <c r="T229" s="13">
        <f t="shared" si="52"/>
        <v>0</v>
      </c>
      <c r="U229" s="13">
        <f t="shared" si="51"/>
        <v>3</v>
      </c>
      <c r="V229" s="13">
        <f t="shared" si="61"/>
        <v>282</v>
      </c>
      <c r="W229" s="13" t="str">
        <f t="shared" si="56"/>
        <v>1A</v>
      </c>
      <c r="X229" s="13">
        <f t="shared" si="57"/>
        <v>562</v>
      </c>
      <c r="Y229" s="13" t="str">
        <f t="shared" si="60"/>
        <v>32</v>
      </c>
      <c r="Z229" s="119"/>
      <c r="AA229" s="119"/>
      <c r="AB229" s="119"/>
      <c r="AC229" s="119"/>
      <c r="AD229" s="119"/>
      <c r="AE229" s="119"/>
      <c r="AF229" s="119"/>
      <c r="AG229" s="119"/>
      <c r="AH229" s="119"/>
      <c r="AJ229" s="64"/>
      <c r="AK229" s="64" t="s">
        <v>2234</v>
      </c>
    </row>
    <row r="230" spans="2:37" ht="16.5" customHeight="1">
      <c r="B230" s="12" t="s">
        <v>1832</v>
      </c>
      <c r="C230" s="12" t="str">
        <f t="shared" si="59"/>
        <v>FF02E036000018</v>
      </c>
      <c r="D230" s="60" t="s">
        <v>17</v>
      </c>
      <c r="E230" s="60" t="s">
        <v>15</v>
      </c>
      <c r="F230" s="60" t="s">
        <v>1856</v>
      </c>
      <c r="G230" s="60" t="s">
        <v>16</v>
      </c>
      <c r="H230" s="60" t="s">
        <v>16</v>
      </c>
      <c r="I230" s="12" t="str">
        <f t="shared" si="55"/>
        <v>18</v>
      </c>
      <c r="J230" s="12"/>
      <c r="K230" s="12"/>
      <c r="L230" s="12"/>
      <c r="M230" s="12"/>
      <c r="N230" s="12"/>
      <c r="O230" s="12"/>
      <c r="P230" s="12"/>
      <c r="Q230" s="13">
        <f t="shared" si="52"/>
        <v>2</v>
      </c>
      <c r="R230" s="13">
        <f t="shared" si="52"/>
        <v>224</v>
      </c>
      <c r="S230" s="13">
        <f t="shared" si="52"/>
        <v>54</v>
      </c>
      <c r="T230" s="13">
        <f t="shared" si="52"/>
        <v>0</v>
      </c>
      <c r="U230" s="13">
        <f t="shared" si="51"/>
        <v>0</v>
      </c>
      <c r="V230" s="13">
        <f t="shared" si="61"/>
        <v>280</v>
      </c>
      <c r="W230" s="13" t="str">
        <f t="shared" si="56"/>
        <v>18</v>
      </c>
      <c r="X230" s="13">
        <f t="shared" si="57"/>
        <v>558</v>
      </c>
      <c r="Y230" s="13" t="str">
        <f t="shared" si="60"/>
        <v>2E</v>
      </c>
      <c r="Z230" s="119"/>
      <c r="AA230" s="119"/>
      <c r="AB230" s="119"/>
      <c r="AC230" s="119"/>
      <c r="AD230" s="119"/>
      <c r="AE230" s="119"/>
      <c r="AF230" s="119"/>
      <c r="AG230" s="119"/>
      <c r="AH230" s="119"/>
      <c r="AJ230" s="64"/>
      <c r="AK230" s="64" t="s">
        <v>2235</v>
      </c>
    </row>
    <row r="231" spans="2:37" ht="16.5" customHeight="1">
      <c r="B231" s="12" t="s">
        <v>1833</v>
      </c>
      <c r="C231" s="12" t="str">
        <f t="shared" si="59"/>
        <v>FF02E036002038</v>
      </c>
      <c r="D231" s="60" t="s">
        <v>17</v>
      </c>
      <c r="E231" s="60" t="s">
        <v>15</v>
      </c>
      <c r="F231" s="60" t="s">
        <v>1856</v>
      </c>
      <c r="G231" s="60" t="s">
        <v>16</v>
      </c>
      <c r="H231" s="60" t="s">
        <v>133</v>
      </c>
      <c r="I231" s="12" t="str">
        <f t="shared" si="55"/>
        <v>38</v>
      </c>
      <c r="J231" s="12"/>
      <c r="K231" s="12"/>
      <c r="L231" s="12"/>
      <c r="M231" s="12"/>
      <c r="N231" s="12"/>
      <c r="O231" s="12"/>
      <c r="P231" s="12"/>
      <c r="Q231" s="13">
        <f t="shared" si="52"/>
        <v>2</v>
      </c>
      <c r="R231" s="13">
        <f t="shared" si="52"/>
        <v>224</v>
      </c>
      <c r="S231" s="13">
        <f t="shared" si="52"/>
        <v>54</v>
      </c>
      <c r="T231" s="13">
        <f t="shared" si="52"/>
        <v>0</v>
      </c>
      <c r="U231" s="13">
        <f t="shared" si="51"/>
        <v>32</v>
      </c>
      <c r="V231" s="13">
        <f t="shared" si="61"/>
        <v>312</v>
      </c>
      <c r="W231" s="13" t="str">
        <f t="shared" si="56"/>
        <v>38</v>
      </c>
      <c r="X231" s="13">
        <f t="shared" si="57"/>
        <v>622</v>
      </c>
      <c r="Y231" s="13" t="str">
        <f t="shared" si="60"/>
        <v>6E</v>
      </c>
      <c r="Z231" s="119"/>
      <c r="AA231" s="119"/>
      <c r="AB231" s="119"/>
      <c r="AC231" s="119"/>
      <c r="AD231" s="119"/>
      <c r="AE231" s="119"/>
      <c r="AF231" s="119"/>
      <c r="AG231" s="119"/>
      <c r="AH231" s="119"/>
      <c r="AJ231" s="64"/>
      <c r="AK231" s="64" t="s">
        <v>2236</v>
      </c>
    </row>
    <row r="232" spans="2:37" ht="17.25">
      <c r="B232" s="12" t="s">
        <v>1834</v>
      </c>
      <c r="C232" s="12" t="str">
        <f t="shared" si="59"/>
        <v>FF02E03600647C</v>
      </c>
      <c r="D232" s="60" t="s">
        <v>17</v>
      </c>
      <c r="E232" s="60" t="s">
        <v>15</v>
      </c>
      <c r="F232" s="60" t="s">
        <v>1856</v>
      </c>
      <c r="G232" s="60" t="s">
        <v>16</v>
      </c>
      <c r="H232" s="60" t="s">
        <v>128</v>
      </c>
      <c r="I232" s="12" t="str">
        <f t="shared" si="55"/>
        <v>7C</v>
      </c>
      <c r="J232" s="12"/>
      <c r="K232" s="12"/>
      <c r="L232" s="12"/>
      <c r="M232" s="12"/>
      <c r="N232" s="12"/>
      <c r="O232" s="12"/>
      <c r="P232" s="12"/>
      <c r="Q232" s="13">
        <f t="shared" si="52"/>
        <v>2</v>
      </c>
      <c r="R232" s="13">
        <f t="shared" si="52"/>
        <v>224</v>
      </c>
      <c r="S232" s="13">
        <f t="shared" si="52"/>
        <v>54</v>
      </c>
      <c r="T232" s="13">
        <f t="shared" si="52"/>
        <v>0</v>
      </c>
      <c r="U232" s="13">
        <f t="shared" si="51"/>
        <v>100</v>
      </c>
      <c r="V232" s="13">
        <f t="shared" si="61"/>
        <v>380</v>
      </c>
      <c r="W232" s="13" t="str">
        <f t="shared" si="56"/>
        <v>7C</v>
      </c>
      <c r="X232" s="13">
        <f t="shared" si="57"/>
        <v>758</v>
      </c>
      <c r="Y232" s="13" t="str">
        <f t="shared" si="60"/>
        <v>F6</v>
      </c>
      <c r="Z232" s="119"/>
      <c r="AA232" s="119"/>
      <c r="AB232" s="119"/>
      <c r="AC232" s="119"/>
      <c r="AD232" s="119"/>
      <c r="AE232" s="119"/>
      <c r="AF232" s="119"/>
      <c r="AG232" s="119"/>
      <c r="AH232" s="119"/>
      <c r="AJ232" s="64"/>
      <c r="AK232" s="64" t="s">
        <v>2237</v>
      </c>
    </row>
    <row r="233" spans="2:37" ht="16.5" customHeight="1">
      <c r="B233" s="12" t="s">
        <v>1835</v>
      </c>
      <c r="C233" s="12" t="str">
        <f t="shared" si="59"/>
        <v>FF02E037000019</v>
      </c>
      <c r="D233" s="60" t="s">
        <v>17</v>
      </c>
      <c r="E233" s="60" t="s">
        <v>15</v>
      </c>
      <c r="F233" s="60" t="s">
        <v>1857</v>
      </c>
      <c r="G233" s="60" t="s">
        <v>16</v>
      </c>
      <c r="H233" s="60" t="s">
        <v>16</v>
      </c>
      <c r="I233" s="12" t="str">
        <f t="shared" si="55"/>
        <v>19</v>
      </c>
      <c r="J233" s="12"/>
      <c r="K233" s="12"/>
      <c r="L233" s="12"/>
      <c r="M233" s="12"/>
      <c r="N233" s="12"/>
      <c r="O233" s="12"/>
      <c r="P233" s="12"/>
      <c r="Q233" s="13">
        <f t="shared" si="52"/>
        <v>2</v>
      </c>
      <c r="R233" s="13">
        <f t="shared" si="52"/>
        <v>224</v>
      </c>
      <c r="S233" s="13">
        <f t="shared" si="52"/>
        <v>55</v>
      </c>
      <c r="T233" s="13">
        <f t="shared" si="52"/>
        <v>0</v>
      </c>
      <c r="U233" s="13">
        <f t="shared" si="51"/>
        <v>0</v>
      </c>
      <c r="V233" s="13">
        <f t="shared" si="61"/>
        <v>281</v>
      </c>
      <c r="W233" s="13" t="str">
        <f t="shared" si="56"/>
        <v>19</v>
      </c>
      <c r="X233" s="13">
        <f t="shared" si="57"/>
        <v>560</v>
      </c>
      <c r="Y233" s="13" t="str">
        <f t="shared" si="60"/>
        <v>30</v>
      </c>
      <c r="Z233" s="119"/>
      <c r="AA233" s="119"/>
      <c r="AB233" s="119"/>
      <c r="AC233" s="119"/>
      <c r="AD233" s="119"/>
      <c r="AE233" s="119"/>
      <c r="AF233" s="119"/>
      <c r="AG233" s="119"/>
      <c r="AH233" s="119"/>
      <c r="AJ233" s="64"/>
      <c r="AK233" s="64" t="s">
        <v>2238</v>
      </c>
    </row>
    <row r="234" spans="2:37" ht="16.5" customHeight="1">
      <c r="B234" s="12" t="s">
        <v>1836</v>
      </c>
      <c r="C234" s="12" t="str">
        <f t="shared" si="59"/>
        <v>FF02E03700011A</v>
      </c>
      <c r="D234" s="60" t="s">
        <v>17</v>
      </c>
      <c r="E234" s="60" t="s">
        <v>15</v>
      </c>
      <c r="F234" s="60" t="s">
        <v>1857</v>
      </c>
      <c r="G234" s="60" t="s">
        <v>16</v>
      </c>
      <c r="H234" s="60" t="s">
        <v>24</v>
      </c>
      <c r="I234" s="12" t="str">
        <f t="shared" si="55"/>
        <v>1A</v>
      </c>
      <c r="J234" s="12"/>
      <c r="K234" s="12"/>
      <c r="L234" s="12"/>
      <c r="M234" s="12"/>
      <c r="N234" s="12"/>
      <c r="O234" s="12"/>
      <c r="P234" s="12"/>
      <c r="Q234" s="13">
        <f t="shared" si="52"/>
        <v>2</v>
      </c>
      <c r="R234" s="13">
        <f t="shared" si="52"/>
        <v>224</v>
      </c>
      <c r="S234" s="13">
        <f t="shared" si="52"/>
        <v>55</v>
      </c>
      <c r="T234" s="13">
        <f t="shared" si="52"/>
        <v>0</v>
      </c>
      <c r="U234" s="13">
        <f t="shared" si="51"/>
        <v>1</v>
      </c>
      <c r="V234" s="13">
        <f t="shared" si="61"/>
        <v>282</v>
      </c>
      <c r="W234" s="13" t="str">
        <f t="shared" si="56"/>
        <v>1A</v>
      </c>
      <c r="X234" s="13">
        <f t="shared" si="57"/>
        <v>562</v>
      </c>
      <c r="Y234" s="13" t="str">
        <f t="shared" si="60"/>
        <v>32</v>
      </c>
      <c r="Z234" s="119"/>
      <c r="AA234" s="119"/>
      <c r="AB234" s="119"/>
      <c r="AC234" s="119"/>
      <c r="AD234" s="119"/>
      <c r="AE234" s="119"/>
      <c r="AF234" s="119"/>
      <c r="AG234" s="119"/>
      <c r="AH234" s="119"/>
      <c r="AJ234" s="64"/>
      <c r="AK234" s="64" t="s">
        <v>2239</v>
      </c>
    </row>
    <row r="235" spans="2:37" ht="16.5" customHeight="1">
      <c r="B235" s="12" t="s">
        <v>1838</v>
      </c>
      <c r="C235" s="12" t="str">
        <f t="shared" si="59"/>
        <v>FF02E03800001A</v>
      </c>
      <c r="D235" s="60" t="s">
        <v>17</v>
      </c>
      <c r="E235" s="60" t="s">
        <v>15</v>
      </c>
      <c r="F235" s="60" t="s">
        <v>1858</v>
      </c>
      <c r="G235" s="60" t="s">
        <v>16</v>
      </c>
      <c r="H235" s="60" t="s">
        <v>16</v>
      </c>
      <c r="I235" s="12" t="str">
        <f t="shared" si="55"/>
        <v>1A</v>
      </c>
      <c r="J235" s="12"/>
      <c r="K235" s="12"/>
      <c r="L235" s="12"/>
      <c r="M235" s="12"/>
      <c r="N235" s="12"/>
      <c r="O235" s="12"/>
      <c r="P235" s="12"/>
      <c r="Q235" s="13">
        <f t="shared" si="52"/>
        <v>2</v>
      </c>
      <c r="R235" s="13">
        <f t="shared" si="52"/>
        <v>224</v>
      </c>
      <c r="S235" s="13">
        <f t="shared" si="52"/>
        <v>56</v>
      </c>
      <c r="T235" s="13">
        <f t="shared" si="52"/>
        <v>0</v>
      </c>
      <c r="U235" s="13">
        <f t="shared" si="51"/>
        <v>0</v>
      </c>
      <c r="V235" s="13">
        <f t="shared" si="61"/>
        <v>282</v>
      </c>
      <c r="W235" s="13" t="str">
        <f t="shared" si="56"/>
        <v>1A</v>
      </c>
      <c r="X235" s="13">
        <f t="shared" si="57"/>
        <v>562</v>
      </c>
      <c r="Y235" s="13" t="str">
        <f t="shared" si="60"/>
        <v>32</v>
      </c>
      <c r="Z235" s="119"/>
      <c r="AA235" s="119"/>
      <c r="AB235" s="119"/>
      <c r="AC235" s="119"/>
      <c r="AD235" s="119"/>
      <c r="AE235" s="119"/>
      <c r="AF235" s="119"/>
      <c r="AG235" s="119"/>
      <c r="AH235" s="119"/>
      <c r="AJ235" s="64"/>
      <c r="AK235" s="64" t="s">
        <v>2240</v>
      </c>
    </row>
    <row r="236" spans="2:37" ht="16.5" customHeight="1">
      <c r="B236" s="12" t="s">
        <v>1837</v>
      </c>
      <c r="C236" s="12" t="str">
        <f t="shared" si="59"/>
        <v>FF02E03800011B</v>
      </c>
      <c r="D236" s="60" t="s">
        <v>17</v>
      </c>
      <c r="E236" s="60" t="s">
        <v>15</v>
      </c>
      <c r="F236" s="60" t="s">
        <v>1858</v>
      </c>
      <c r="G236" s="60" t="s">
        <v>16</v>
      </c>
      <c r="H236" s="60" t="s">
        <v>24</v>
      </c>
      <c r="I236" s="12" t="str">
        <f t="shared" si="55"/>
        <v>1B</v>
      </c>
      <c r="J236" s="12"/>
      <c r="K236" s="12"/>
      <c r="L236" s="12"/>
      <c r="M236" s="12"/>
      <c r="N236" s="12"/>
      <c r="O236" s="12"/>
      <c r="P236" s="12"/>
      <c r="Q236" s="13">
        <f t="shared" si="52"/>
        <v>2</v>
      </c>
      <c r="R236" s="13">
        <f t="shared" si="52"/>
        <v>224</v>
      </c>
      <c r="S236" s="13">
        <f t="shared" si="52"/>
        <v>56</v>
      </c>
      <c r="T236" s="13">
        <f t="shared" si="52"/>
        <v>0</v>
      </c>
      <c r="U236" s="13">
        <f t="shared" si="51"/>
        <v>1</v>
      </c>
      <c r="V236" s="13">
        <f t="shared" si="61"/>
        <v>283</v>
      </c>
      <c r="W236" s="13" t="str">
        <f t="shared" si="56"/>
        <v>1B</v>
      </c>
      <c r="X236" s="13">
        <f t="shared" si="57"/>
        <v>564</v>
      </c>
      <c r="Y236" s="13" t="str">
        <f t="shared" si="60"/>
        <v>34</v>
      </c>
      <c r="Z236" s="119"/>
      <c r="AA236" s="119"/>
      <c r="AB236" s="119"/>
      <c r="AC236" s="119"/>
      <c r="AD236" s="119"/>
      <c r="AE236" s="119"/>
      <c r="AF236" s="119"/>
      <c r="AG236" s="119"/>
      <c r="AH236" s="119"/>
      <c r="AJ236" s="64"/>
      <c r="AK236" s="64" t="s">
        <v>2241</v>
      </c>
    </row>
    <row r="237" spans="2:37" ht="16.5" customHeight="1">
      <c r="B237" s="12" t="s">
        <v>1839</v>
      </c>
      <c r="C237" s="12" t="str">
        <f t="shared" si="59"/>
        <v>FF02E03900001B</v>
      </c>
      <c r="D237" s="60" t="s">
        <v>17</v>
      </c>
      <c r="E237" s="60" t="s">
        <v>15</v>
      </c>
      <c r="F237" s="60" t="s">
        <v>1859</v>
      </c>
      <c r="G237" s="60" t="s">
        <v>16</v>
      </c>
      <c r="H237" s="60" t="s">
        <v>16</v>
      </c>
      <c r="I237" s="12" t="str">
        <f t="shared" si="55"/>
        <v>1B</v>
      </c>
      <c r="J237" s="12"/>
      <c r="K237" s="12"/>
      <c r="L237" s="12"/>
      <c r="M237" s="12"/>
      <c r="N237" s="12"/>
      <c r="O237" s="12"/>
      <c r="P237" s="12"/>
      <c r="Q237" s="13">
        <f t="shared" si="52"/>
        <v>2</v>
      </c>
      <c r="R237" s="13">
        <f t="shared" si="52"/>
        <v>224</v>
      </c>
      <c r="S237" s="13">
        <f t="shared" si="52"/>
        <v>57</v>
      </c>
      <c r="T237" s="13">
        <f t="shared" si="52"/>
        <v>0</v>
      </c>
      <c r="U237" s="13">
        <f t="shared" si="51"/>
        <v>0</v>
      </c>
      <c r="V237" s="13">
        <f t="shared" si="61"/>
        <v>283</v>
      </c>
      <c r="W237" s="13" t="str">
        <f t="shared" si="56"/>
        <v>1B</v>
      </c>
      <c r="X237" s="13">
        <f t="shared" si="57"/>
        <v>564</v>
      </c>
      <c r="Y237" s="13" t="str">
        <f t="shared" si="60"/>
        <v>34</v>
      </c>
      <c r="Z237" s="119"/>
      <c r="AA237" s="119"/>
      <c r="AB237" s="119"/>
      <c r="AC237" s="119"/>
      <c r="AD237" s="119"/>
      <c r="AE237" s="119"/>
      <c r="AF237" s="119"/>
      <c r="AG237" s="119"/>
      <c r="AH237" s="119"/>
      <c r="AJ237" s="64"/>
      <c r="AK237" s="64" t="s">
        <v>2242</v>
      </c>
    </row>
    <row r="238" spans="2:37" ht="16.5" customHeight="1">
      <c r="B238" s="12" t="s">
        <v>1840</v>
      </c>
      <c r="C238" s="12" t="str">
        <f t="shared" si="59"/>
        <v>FF02E03900011C</v>
      </c>
      <c r="D238" s="60" t="s">
        <v>17</v>
      </c>
      <c r="E238" s="60" t="s">
        <v>15</v>
      </c>
      <c r="F238" s="60" t="s">
        <v>1859</v>
      </c>
      <c r="G238" s="60" t="s">
        <v>16</v>
      </c>
      <c r="H238" s="60" t="s">
        <v>24</v>
      </c>
      <c r="I238" s="12" t="str">
        <f t="shared" si="55"/>
        <v>1C</v>
      </c>
      <c r="J238" s="12"/>
      <c r="K238" s="12"/>
      <c r="L238" s="12"/>
      <c r="M238" s="12"/>
      <c r="N238" s="12"/>
      <c r="O238" s="12"/>
      <c r="P238" s="12"/>
      <c r="Q238" s="13">
        <f t="shared" si="52"/>
        <v>2</v>
      </c>
      <c r="R238" s="13">
        <f t="shared" si="52"/>
        <v>224</v>
      </c>
      <c r="S238" s="13">
        <f t="shared" si="52"/>
        <v>57</v>
      </c>
      <c r="T238" s="13">
        <f t="shared" si="52"/>
        <v>0</v>
      </c>
      <c r="U238" s="13">
        <f t="shared" si="51"/>
        <v>1</v>
      </c>
      <c r="V238" s="13">
        <f t="shared" si="61"/>
        <v>284</v>
      </c>
      <c r="W238" s="13" t="str">
        <f t="shared" si="56"/>
        <v>1C</v>
      </c>
      <c r="X238" s="13">
        <f t="shared" si="57"/>
        <v>566</v>
      </c>
      <c r="Y238" s="13" t="str">
        <f t="shared" si="60"/>
        <v>36</v>
      </c>
      <c r="Z238" s="119"/>
      <c r="AA238" s="119"/>
      <c r="AB238" s="119"/>
      <c r="AC238" s="119"/>
      <c r="AD238" s="119"/>
      <c r="AE238" s="119"/>
      <c r="AF238" s="119"/>
      <c r="AG238" s="119"/>
      <c r="AH238" s="119"/>
      <c r="AJ238" s="64"/>
      <c r="AK238" s="64" t="s">
        <v>2243</v>
      </c>
    </row>
    <row r="239" spans="2:37" ht="16.5" customHeight="1">
      <c r="B239" s="12" t="s">
        <v>1841</v>
      </c>
      <c r="C239" s="12" t="str">
        <f t="shared" si="59"/>
        <v>FF02E03A00001C</v>
      </c>
      <c r="D239" s="60" t="s">
        <v>17</v>
      </c>
      <c r="E239" s="60" t="s">
        <v>15</v>
      </c>
      <c r="F239" s="60" t="s">
        <v>1860</v>
      </c>
      <c r="G239" s="60" t="s">
        <v>16</v>
      </c>
      <c r="H239" s="60" t="s">
        <v>16</v>
      </c>
      <c r="I239" s="12" t="str">
        <f t="shared" si="55"/>
        <v>1C</v>
      </c>
      <c r="J239" s="12"/>
      <c r="K239" s="12"/>
      <c r="L239" s="12"/>
      <c r="M239" s="12"/>
      <c r="N239" s="12"/>
      <c r="O239" s="12"/>
      <c r="P239" s="12"/>
      <c r="Q239" s="13">
        <f t="shared" si="52"/>
        <v>2</v>
      </c>
      <c r="R239" s="13">
        <f t="shared" si="52"/>
        <v>224</v>
      </c>
      <c r="S239" s="13">
        <f t="shared" si="52"/>
        <v>58</v>
      </c>
      <c r="T239" s="13">
        <f t="shared" si="52"/>
        <v>0</v>
      </c>
      <c r="U239" s="13">
        <f t="shared" si="51"/>
        <v>0</v>
      </c>
      <c r="V239" s="13">
        <f t="shared" si="61"/>
        <v>284</v>
      </c>
      <c r="W239" s="13" t="str">
        <f t="shared" si="56"/>
        <v>1C</v>
      </c>
      <c r="X239" s="13">
        <f t="shared" si="57"/>
        <v>566</v>
      </c>
      <c r="Y239" s="13" t="str">
        <f t="shared" si="60"/>
        <v>36</v>
      </c>
      <c r="Z239" s="119"/>
      <c r="AA239" s="119"/>
      <c r="AB239" s="119"/>
      <c r="AC239" s="119"/>
      <c r="AD239" s="119"/>
      <c r="AE239" s="119"/>
      <c r="AF239" s="119"/>
      <c r="AG239" s="119"/>
      <c r="AH239" s="119"/>
      <c r="AJ239" s="64"/>
      <c r="AK239" s="64" t="s">
        <v>2244</v>
      </c>
    </row>
    <row r="240" spans="2:37" ht="16.5" customHeight="1">
      <c r="B240" s="12" t="s">
        <v>1842</v>
      </c>
      <c r="C240" s="12" t="str">
        <f t="shared" si="59"/>
        <v>FF02E03A00011D</v>
      </c>
      <c r="D240" s="60" t="s">
        <v>17</v>
      </c>
      <c r="E240" s="60" t="s">
        <v>15</v>
      </c>
      <c r="F240" s="60" t="s">
        <v>1860</v>
      </c>
      <c r="G240" s="60" t="s">
        <v>16</v>
      </c>
      <c r="H240" s="60" t="s">
        <v>24</v>
      </c>
      <c r="I240" s="12" t="str">
        <f t="shared" si="55"/>
        <v>1D</v>
      </c>
      <c r="J240" s="12"/>
      <c r="K240" s="12"/>
      <c r="L240" s="12"/>
      <c r="M240" s="12"/>
      <c r="N240" s="12"/>
      <c r="O240" s="12"/>
      <c r="P240" s="12"/>
      <c r="Q240" s="13">
        <f t="shared" si="52"/>
        <v>2</v>
      </c>
      <c r="R240" s="13">
        <f t="shared" si="52"/>
        <v>224</v>
      </c>
      <c r="S240" s="13">
        <f t="shared" si="52"/>
        <v>58</v>
      </c>
      <c r="T240" s="13">
        <f t="shared" si="52"/>
        <v>0</v>
      </c>
      <c r="U240" s="13">
        <f t="shared" si="51"/>
        <v>1</v>
      </c>
      <c r="V240" s="13">
        <f t="shared" ref="V240:V299" si="62">SUM(Q240:U240)</f>
        <v>285</v>
      </c>
      <c r="W240" s="13" t="str">
        <f t="shared" si="56"/>
        <v>1D</v>
      </c>
      <c r="X240" s="13">
        <f t="shared" si="57"/>
        <v>568</v>
      </c>
      <c r="Y240" s="13" t="str">
        <f t="shared" si="60"/>
        <v>38</v>
      </c>
      <c r="Z240" s="119"/>
      <c r="AA240" s="119"/>
      <c r="AB240" s="119"/>
      <c r="AC240" s="119"/>
      <c r="AD240" s="119"/>
      <c r="AE240" s="119"/>
      <c r="AF240" s="119"/>
      <c r="AG240" s="119"/>
      <c r="AH240" s="119"/>
      <c r="AJ240" s="64"/>
      <c r="AK240" s="64" t="s">
        <v>2245</v>
      </c>
    </row>
    <row r="241" spans="2:37" ht="16.5" customHeight="1">
      <c r="B241" s="12" t="s">
        <v>1843</v>
      </c>
      <c r="C241" s="12" t="str">
        <f t="shared" si="59"/>
        <v>FF02E03B00001D</v>
      </c>
      <c r="D241" s="60" t="s">
        <v>17</v>
      </c>
      <c r="E241" s="60" t="s">
        <v>15</v>
      </c>
      <c r="F241" s="60" t="s">
        <v>1861</v>
      </c>
      <c r="G241" s="60" t="s">
        <v>16</v>
      </c>
      <c r="H241" s="60" t="s">
        <v>16</v>
      </c>
      <c r="I241" s="12" t="str">
        <f t="shared" si="55"/>
        <v>1D</v>
      </c>
      <c r="J241" s="12"/>
      <c r="K241" s="12"/>
      <c r="L241" s="12"/>
      <c r="M241" s="12"/>
      <c r="N241" s="12"/>
      <c r="O241" s="12"/>
      <c r="P241" s="12"/>
      <c r="Q241" s="13">
        <f t="shared" si="52"/>
        <v>2</v>
      </c>
      <c r="R241" s="13">
        <f t="shared" si="52"/>
        <v>224</v>
      </c>
      <c r="S241" s="13">
        <f t="shared" si="52"/>
        <v>59</v>
      </c>
      <c r="T241" s="13">
        <f t="shared" si="52"/>
        <v>0</v>
      </c>
      <c r="U241" s="13">
        <f t="shared" si="51"/>
        <v>0</v>
      </c>
      <c r="V241" s="13">
        <f t="shared" si="62"/>
        <v>285</v>
      </c>
      <c r="W241" s="13" t="str">
        <f t="shared" si="56"/>
        <v>1D</v>
      </c>
      <c r="X241" s="13">
        <f t="shared" si="57"/>
        <v>568</v>
      </c>
      <c r="Y241" s="13" t="str">
        <f t="shared" si="60"/>
        <v>38</v>
      </c>
      <c r="Z241" s="119"/>
      <c r="AA241" s="119"/>
      <c r="AB241" s="119"/>
      <c r="AC241" s="119"/>
      <c r="AD241" s="119"/>
      <c r="AE241" s="119"/>
      <c r="AF241" s="119"/>
      <c r="AG241" s="119"/>
      <c r="AH241" s="119"/>
      <c r="AJ241" s="64"/>
      <c r="AK241" s="64" t="s">
        <v>2246</v>
      </c>
    </row>
    <row r="242" spans="2:37" ht="16.5" customHeight="1">
      <c r="B242" s="12" t="s">
        <v>1844</v>
      </c>
      <c r="C242" s="12" t="str">
        <f t="shared" si="59"/>
        <v>FF02E03B00011E</v>
      </c>
      <c r="D242" s="60" t="s">
        <v>17</v>
      </c>
      <c r="E242" s="60" t="s">
        <v>15</v>
      </c>
      <c r="F242" s="60" t="s">
        <v>1861</v>
      </c>
      <c r="G242" s="60" t="s">
        <v>16</v>
      </c>
      <c r="H242" s="60" t="s">
        <v>24</v>
      </c>
      <c r="I242" s="12" t="str">
        <f t="shared" si="55"/>
        <v>1E</v>
      </c>
      <c r="J242" s="12"/>
      <c r="K242" s="12"/>
      <c r="L242" s="12"/>
      <c r="M242" s="12"/>
      <c r="N242" s="12"/>
      <c r="O242" s="12"/>
      <c r="P242" s="12"/>
      <c r="Q242" s="13">
        <f t="shared" si="52"/>
        <v>2</v>
      </c>
      <c r="R242" s="13">
        <f t="shared" si="52"/>
        <v>224</v>
      </c>
      <c r="S242" s="13">
        <f t="shared" si="52"/>
        <v>59</v>
      </c>
      <c r="T242" s="13">
        <f t="shared" si="52"/>
        <v>0</v>
      </c>
      <c r="U242" s="13">
        <f t="shared" si="51"/>
        <v>1</v>
      </c>
      <c r="V242" s="13">
        <f t="shared" si="62"/>
        <v>286</v>
      </c>
      <c r="W242" s="13" t="str">
        <f t="shared" si="56"/>
        <v>1E</v>
      </c>
      <c r="X242" s="13">
        <f t="shared" si="57"/>
        <v>570</v>
      </c>
      <c r="Y242" s="13" t="str">
        <f t="shared" si="60"/>
        <v>3A</v>
      </c>
      <c r="Z242" s="119"/>
      <c r="AA242" s="119"/>
      <c r="AB242" s="119"/>
      <c r="AC242" s="119"/>
      <c r="AD242" s="119"/>
      <c r="AE242" s="119"/>
      <c r="AF242" s="119"/>
      <c r="AG242" s="119"/>
      <c r="AH242" s="119"/>
      <c r="AJ242" s="64"/>
      <c r="AK242" s="64" t="s">
        <v>2247</v>
      </c>
    </row>
    <row r="243" spans="2:37" ht="16.5" customHeight="1">
      <c r="B243" s="12" t="s">
        <v>1845</v>
      </c>
      <c r="C243" s="12" t="str">
        <f t="shared" si="59"/>
        <v>FF02E03B00021F</v>
      </c>
      <c r="D243" s="60" t="s">
        <v>17</v>
      </c>
      <c r="E243" s="60" t="s">
        <v>15</v>
      </c>
      <c r="F243" s="60" t="s">
        <v>1861</v>
      </c>
      <c r="G243" s="60" t="s">
        <v>16</v>
      </c>
      <c r="H243" s="60" t="s">
        <v>17</v>
      </c>
      <c r="I243" s="12" t="str">
        <f t="shared" si="55"/>
        <v>1F</v>
      </c>
      <c r="J243" s="12"/>
      <c r="K243" s="12"/>
      <c r="L243" s="12"/>
      <c r="M243" s="12"/>
      <c r="N243" s="12"/>
      <c r="O243" s="12"/>
      <c r="P243" s="12"/>
      <c r="Q243" s="13">
        <f t="shared" si="52"/>
        <v>2</v>
      </c>
      <c r="R243" s="13">
        <f t="shared" si="52"/>
        <v>224</v>
      </c>
      <c r="S243" s="13">
        <f t="shared" si="52"/>
        <v>59</v>
      </c>
      <c r="T243" s="13">
        <f t="shared" si="52"/>
        <v>0</v>
      </c>
      <c r="U243" s="13">
        <f t="shared" si="51"/>
        <v>2</v>
      </c>
      <c r="V243" s="13">
        <f t="shared" si="62"/>
        <v>287</v>
      </c>
      <c r="W243" s="13" t="str">
        <f t="shared" si="56"/>
        <v>1F</v>
      </c>
      <c r="X243" s="13">
        <f t="shared" si="57"/>
        <v>572</v>
      </c>
      <c r="Y243" s="13" t="str">
        <f t="shared" si="60"/>
        <v>3C</v>
      </c>
      <c r="Z243" s="119"/>
      <c r="AA243" s="119"/>
      <c r="AB243" s="119"/>
      <c r="AC243" s="119"/>
      <c r="AD243" s="119"/>
      <c r="AE243" s="119"/>
      <c r="AF243" s="119"/>
      <c r="AG243" s="119"/>
      <c r="AH243" s="119"/>
      <c r="AJ243" s="64"/>
      <c r="AK243" s="64" t="s">
        <v>2248</v>
      </c>
    </row>
    <row r="244" spans="2:37" ht="16.5" customHeight="1">
      <c r="B244" s="12" t="s">
        <v>1846</v>
      </c>
      <c r="C244" s="12" t="str">
        <f t="shared" si="59"/>
        <v>FF02E03B000320</v>
      </c>
      <c r="D244" s="60" t="s">
        <v>17</v>
      </c>
      <c r="E244" s="60" t="s">
        <v>15</v>
      </c>
      <c r="F244" s="60" t="s">
        <v>1861</v>
      </c>
      <c r="G244" s="60" t="s">
        <v>16</v>
      </c>
      <c r="H244" s="60" t="s">
        <v>91</v>
      </c>
      <c r="I244" s="12" t="str">
        <f t="shared" si="55"/>
        <v>20</v>
      </c>
      <c r="J244" s="12"/>
      <c r="K244" s="12"/>
      <c r="L244" s="12"/>
      <c r="M244" s="12"/>
      <c r="N244" s="12"/>
      <c r="O244" s="12"/>
      <c r="P244" s="12"/>
      <c r="Q244" s="13">
        <f t="shared" si="52"/>
        <v>2</v>
      </c>
      <c r="R244" s="13">
        <f t="shared" si="52"/>
        <v>224</v>
      </c>
      <c r="S244" s="13">
        <f t="shared" si="52"/>
        <v>59</v>
      </c>
      <c r="T244" s="13">
        <f t="shared" si="52"/>
        <v>0</v>
      </c>
      <c r="U244" s="13">
        <f t="shared" si="51"/>
        <v>3</v>
      </c>
      <c r="V244" s="13">
        <f t="shared" si="62"/>
        <v>288</v>
      </c>
      <c r="W244" s="13" t="str">
        <f t="shared" si="56"/>
        <v>20</v>
      </c>
      <c r="X244" s="13">
        <f t="shared" si="57"/>
        <v>574</v>
      </c>
      <c r="Y244" s="13" t="str">
        <f t="shared" si="60"/>
        <v>3E</v>
      </c>
      <c r="Z244" s="119"/>
      <c r="AA244" s="119"/>
      <c r="AB244" s="119"/>
      <c r="AC244" s="119"/>
      <c r="AD244" s="119"/>
      <c r="AE244" s="119"/>
      <c r="AF244" s="119"/>
      <c r="AG244" s="119"/>
      <c r="AH244" s="119"/>
      <c r="AJ244" s="64"/>
      <c r="AK244" s="64" t="s">
        <v>2249</v>
      </c>
    </row>
    <row r="245" spans="2:37" ht="16.5" customHeight="1">
      <c r="B245" s="12" t="s">
        <v>1847</v>
      </c>
      <c r="C245" s="12" t="str">
        <f t="shared" si="59"/>
        <v>FF02E03C00001E</v>
      </c>
      <c r="D245" s="60" t="s">
        <v>17</v>
      </c>
      <c r="E245" s="60" t="s">
        <v>15</v>
      </c>
      <c r="F245" s="60" t="s">
        <v>1325</v>
      </c>
      <c r="G245" s="60" t="s">
        <v>16</v>
      </c>
      <c r="H245" s="60" t="s">
        <v>16</v>
      </c>
      <c r="I245" s="12" t="str">
        <f t="shared" si="55"/>
        <v>1E</v>
      </c>
      <c r="J245" s="12"/>
      <c r="K245" s="12"/>
      <c r="L245" s="12"/>
      <c r="M245" s="12"/>
      <c r="N245" s="12"/>
      <c r="O245" s="12"/>
      <c r="P245" s="12"/>
      <c r="Q245" s="13">
        <f t="shared" si="52"/>
        <v>2</v>
      </c>
      <c r="R245" s="13">
        <f t="shared" si="52"/>
        <v>224</v>
      </c>
      <c r="S245" s="13">
        <f t="shared" si="52"/>
        <v>60</v>
      </c>
      <c r="T245" s="13">
        <f t="shared" si="52"/>
        <v>0</v>
      </c>
      <c r="U245" s="13">
        <f t="shared" si="51"/>
        <v>0</v>
      </c>
      <c r="V245" s="13">
        <f t="shared" si="62"/>
        <v>286</v>
      </c>
      <c r="W245" s="13" t="str">
        <f t="shared" si="56"/>
        <v>1E</v>
      </c>
      <c r="X245" s="13">
        <f t="shared" si="57"/>
        <v>570</v>
      </c>
      <c r="Y245" s="13" t="str">
        <f t="shared" si="60"/>
        <v>3A</v>
      </c>
      <c r="Z245" s="119"/>
      <c r="AA245" s="119"/>
      <c r="AB245" s="119"/>
      <c r="AC245" s="119"/>
      <c r="AD245" s="119"/>
      <c r="AE245" s="119"/>
      <c r="AF245" s="119"/>
      <c r="AG245" s="119"/>
      <c r="AH245" s="119"/>
      <c r="AJ245" s="64"/>
      <c r="AK245" s="64" t="s">
        <v>2250</v>
      </c>
    </row>
    <row r="246" spans="2:37" ht="16.5" customHeight="1">
      <c r="B246" s="12" t="s">
        <v>1848</v>
      </c>
      <c r="C246" s="12" t="str">
        <f t="shared" si="59"/>
        <v>FF02E03C00011F</v>
      </c>
      <c r="D246" s="60" t="s">
        <v>17</v>
      </c>
      <c r="E246" s="60" t="s">
        <v>15</v>
      </c>
      <c r="F246" s="60" t="s">
        <v>1325</v>
      </c>
      <c r="G246" s="60" t="s">
        <v>16</v>
      </c>
      <c r="H246" s="60" t="s">
        <v>24</v>
      </c>
      <c r="I246" s="12" t="str">
        <f t="shared" si="55"/>
        <v>1F</v>
      </c>
      <c r="J246" s="12"/>
      <c r="K246" s="12"/>
      <c r="L246" s="12"/>
      <c r="M246" s="12"/>
      <c r="N246" s="12"/>
      <c r="O246" s="12"/>
      <c r="P246" s="12"/>
      <c r="Q246" s="13">
        <f t="shared" si="52"/>
        <v>2</v>
      </c>
      <c r="R246" s="13">
        <f t="shared" si="52"/>
        <v>224</v>
      </c>
      <c r="S246" s="13">
        <f t="shared" si="52"/>
        <v>60</v>
      </c>
      <c r="T246" s="13">
        <f t="shared" si="52"/>
        <v>0</v>
      </c>
      <c r="U246" s="13">
        <f t="shared" si="51"/>
        <v>1</v>
      </c>
      <c r="V246" s="13">
        <f t="shared" si="62"/>
        <v>287</v>
      </c>
      <c r="W246" s="13" t="str">
        <f t="shared" si="56"/>
        <v>1F</v>
      </c>
      <c r="X246" s="13">
        <f t="shared" si="57"/>
        <v>572</v>
      </c>
      <c r="Y246" s="13" t="str">
        <f t="shared" si="60"/>
        <v>3C</v>
      </c>
      <c r="Z246" s="119"/>
      <c r="AA246" s="119"/>
      <c r="AB246" s="119"/>
      <c r="AC246" s="119"/>
      <c r="AD246" s="119"/>
      <c r="AE246" s="119"/>
      <c r="AF246" s="119"/>
      <c r="AG246" s="119"/>
      <c r="AH246" s="119"/>
      <c r="AJ246" s="64"/>
      <c r="AK246" s="64" t="s">
        <v>2251</v>
      </c>
    </row>
    <row r="247" spans="2:37" ht="16.5" customHeight="1">
      <c r="B247" s="12" t="s">
        <v>1849</v>
      </c>
      <c r="C247" s="12" t="str">
        <f t="shared" si="59"/>
        <v>FF02E03C000220</v>
      </c>
      <c r="D247" s="60" t="s">
        <v>17</v>
      </c>
      <c r="E247" s="60" t="s">
        <v>15</v>
      </c>
      <c r="F247" s="60" t="s">
        <v>1325</v>
      </c>
      <c r="G247" s="60" t="s">
        <v>16</v>
      </c>
      <c r="H247" s="60" t="s">
        <v>17</v>
      </c>
      <c r="I247" s="12" t="str">
        <f t="shared" si="55"/>
        <v>20</v>
      </c>
      <c r="J247" s="12"/>
      <c r="K247" s="12"/>
      <c r="L247" s="12"/>
      <c r="M247" s="12"/>
      <c r="N247" s="12"/>
      <c r="O247" s="12"/>
      <c r="P247" s="12"/>
      <c r="Q247" s="13">
        <f t="shared" si="52"/>
        <v>2</v>
      </c>
      <c r="R247" s="13">
        <f t="shared" si="52"/>
        <v>224</v>
      </c>
      <c r="S247" s="13">
        <f t="shared" si="52"/>
        <v>60</v>
      </c>
      <c r="T247" s="13">
        <f t="shared" si="52"/>
        <v>0</v>
      </c>
      <c r="U247" s="13">
        <f t="shared" si="51"/>
        <v>2</v>
      </c>
      <c r="V247" s="13">
        <f t="shared" si="62"/>
        <v>288</v>
      </c>
      <c r="W247" s="13" t="str">
        <f t="shared" si="56"/>
        <v>20</v>
      </c>
      <c r="X247" s="13">
        <f t="shared" si="57"/>
        <v>574</v>
      </c>
      <c r="Y247" s="13" t="str">
        <f t="shared" si="60"/>
        <v>3E</v>
      </c>
      <c r="Z247" s="119"/>
      <c r="AA247" s="119"/>
      <c r="AB247" s="119"/>
      <c r="AC247" s="119"/>
      <c r="AD247" s="119"/>
      <c r="AE247" s="119"/>
      <c r="AF247" s="119"/>
      <c r="AG247" s="119"/>
      <c r="AH247" s="119"/>
      <c r="AJ247" s="64"/>
      <c r="AK247" s="64" t="s">
        <v>2252</v>
      </c>
    </row>
    <row r="248" spans="2:37" ht="16.5" customHeight="1">
      <c r="B248" s="12" t="s">
        <v>1850</v>
      </c>
      <c r="C248" s="12" t="str">
        <f t="shared" si="59"/>
        <v>FF02E03C000321</v>
      </c>
      <c r="D248" s="60" t="s">
        <v>17</v>
      </c>
      <c r="E248" s="60" t="s">
        <v>15</v>
      </c>
      <c r="F248" s="60" t="s">
        <v>1325</v>
      </c>
      <c r="G248" s="60" t="s">
        <v>16</v>
      </c>
      <c r="H248" s="60" t="s">
        <v>91</v>
      </c>
      <c r="I248" s="12" t="str">
        <f t="shared" si="55"/>
        <v>21</v>
      </c>
      <c r="J248" s="12"/>
      <c r="K248" s="12"/>
      <c r="L248" s="12"/>
      <c r="M248" s="12"/>
      <c r="N248" s="12"/>
      <c r="O248" s="12"/>
      <c r="P248" s="12"/>
      <c r="Q248" s="13">
        <f t="shared" si="52"/>
        <v>2</v>
      </c>
      <c r="R248" s="13">
        <f t="shared" si="52"/>
        <v>224</v>
      </c>
      <c r="S248" s="13">
        <f t="shared" si="52"/>
        <v>60</v>
      </c>
      <c r="T248" s="13">
        <f t="shared" si="52"/>
        <v>0</v>
      </c>
      <c r="U248" s="13">
        <f t="shared" si="51"/>
        <v>3</v>
      </c>
      <c r="V248" s="13">
        <f t="shared" si="62"/>
        <v>289</v>
      </c>
      <c r="W248" s="13" t="str">
        <f t="shared" si="56"/>
        <v>21</v>
      </c>
      <c r="X248" s="13">
        <f t="shared" si="57"/>
        <v>576</v>
      </c>
      <c r="Y248" s="13" t="str">
        <f t="shared" si="60"/>
        <v>40</v>
      </c>
      <c r="Z248" s="119"/>
      <c r="AA248" s="119"/>
      <c r="AB248" s="119"/>
      <c r="AC248" s="119"/>
      <c r="AD248" s="119"/>
      <c r="AE248" s="119"/>
      <c r="AF248" s="119"/>
      <c r="AG248" s="119"/>
      <c r="AH248" s="119"/>
      <c r="AJ248" s="64"/>
      <c r="AK248" s="64" t="s">
        <v>2253</v>
      </c>
    </row>
    <row r="249" spans="2:37" ht="16.5" customHeight="1">
      <c r="B249" s="12" t="s">
        <v>1851</v>
      </c>
      <c r="C249" s="12" t="str">
        <f t="shared" si="59"/>
        <v>FF02E03E000020</v>
      </c>
      <c r="D249" s="60" t="s">
        <v>17</v>
      </c>
      <c r="E249" s="60" t="s">
        <v>15</v>
      </c>
      <c r="F249" s="60" t="s">
        <v>1862</v>
      </c>
      <c r="G249" s="60" t="s">
        <v>16</v>
      </c>
      <c r="H249" s="60" t="s">
        <v>16</v>
      </c>
      <c r="I249" s="12" t="str">
        <f t="shared" si="55"/>
        <v>20</v>
      </c>
      <c r="J249" s="12"/>
      <c r="K249" s="12"/>
      <c r="L249" s="12"/>
      <c r="M249" s="12"/>
      <c r="N249" s="12"/>
      <c r="O249" s="12"/>
      <c r="P249" s="12"/>
      <c r="Q249" s="13">
        <f t="shared" si="52"/>
        <v>2</v>
      </c>
      <c r="R249" s="13">
        <f t="shared" si="52"/>
        <v>224</v>
      </c>
      <c r="S249" s="13">
        <f t="shared" si="52"/>
        <v>62</v>
      </c>
      <c r="T249" s="13">
        <f t="shared" si="52"/>
        <v>0</v>
      </c>
      <c r="U249" s="13">
        <f t="shared" si="51"/>
        <v>0</v>
      </c>
      <c r="V249" s="13">
        <f t="shared" si="62"/>
        <v>288</v>
      </c>
      <c r="W249" s="13" t="str">
        <f t="shared" si="56"/>
        <v>20</v>
      </c>
      <c r="X249" s="13">
        <f t="shared" si="57"/>
        <v>574</v>
      </c>
      <c r="Y249" s="13" t="str">
        <f t="shared" si="60"/>
        <v>3E</v>
      </c>
      <c r="Z249" s="119"/>
      <c r="AA249" s="119"/>
      <c r="AB249" s="119"/>
      <c r="AC249" s="119"/>
      <c r="AD249" s="119"/>
      <c r="AE249" s="119"/>
      <c r="AF249" s="119"/>
      <c r="AG249" s="119"/>
      <c r="AH249" s="119"/>
      <c r="AJ249" s="64"/>
      <c r="AK249" s="64" t="s">
        <v>2254</v>
      </c>
    </row>
    <row r="250" spans="2:37" ht="16.5" customHeight="1">
      <c r="B250" s="12" t="s">
        <v>1852</v>
      </c>
      <c r="C250" s="12" t="str">
        <f t="shared" si="59"/>
        <v>FF02E03F000021</v>
      </c>
      <c r="D250" s="60" t="s">
        <v>17</v>
      </c>
      <c r="E250" s="60" t="s">
        <v>15</v>
      </c>
      <c r="F250" s="60" t="s">
        <v>1389</v>
      </c>
      <c r="G250" s="60" t="s">
        <v>16</v>
      </c>
      <c r="H250" s="60" t="s">
        <v>16</v>
      </c>
      <c r="I250" s="12" t="str">
        <f t="shared" si="55"/>
        <v>21</v>
      </c>
      <c r="J250" s="12"/>
      <c r="K250" s="12"/>
      <c r="L250" s="12"/>
      <c r="M250" s="12"/>
      <c r="N250" s="12"/>
      <c r="O250" s="12"/>
      <c r="P250" s="12"/>
      <c r="Q250" s="13">
        <f t="shared" si="52"/>
        <v>2</v>
      </c>
      <c r="R250" s="13">
        <f t="shared" si="52"/>
        <v>224</v>
      </c>
      <c r="S250" s="13">
        <f t="shared" si="52"/>
        <v>63</v>
      </c>
      <c r="T250" s="13">
        <f t="shared" si="52"/>
        <v>0</v>
      </c>
      <c r="U250" s="13">
        <f t="shared" si="51"/>
        <v>0</v>
      </c>
      <c r="V250" s="13">
        <f t="shared" si="62"/>
        <v>289</v>
      </c>
      <c r="W250" s="13" t="str">
        <f t="shared" si="56"/>
        <v>21</v>
      </c>
      <c r="X250" s="13">
        <f t="shared" si="57"/>
        <v>576</v>
      </c>
      <c r="Y250" s="13" t="str">
        <f t="shared" si="60"/>
        <v>40</v>
      </c>
      <c r="Z250" s="119"/>
      <c r="AA250" s="119"/>
      <c r="AB250" s="119"/>
      <c r="AC250" s="119"/>
      <c r="AD250" s="119"/>
      <c r="AE250" s="119"/>
      <c r="AF250" s="119"/>
      <c r="AG250" s="119"/>
      <c r="AH250" s="119"/>
      <c r="AJ250" s="64"/>
      <c r="AK250" s="64" t="s">
        <v>2255</v>
      </c>
    </row>
    <row r="251" spans="2:37" s="115" customFormat="1" ht="16.5" customHeight="1">
      <c r="B251" s="112" t="s">
        <v>1952</v>
      </c>
      <c r="C251" s="112" t="s">
        <v>1614</v>
      </c>
      <c r="D251" s="113" t="s">
        <v>17</v>
      </c>
      <c r="E251" s="113"/>
      <c r="F251" s="113"/>
      <c r="G251" s="113"/>
      <c r="H251" s="113"/>
      <c r="I251" s="112" t="str">
        <f t="shared" si="55"/>
        <v>02</v>
      </c>
      <c r="J251" s="112"/>
      <c r="K251" s="112"/>
      <c r="L251" s="112"/>
      <c r="M251" s="112"/>
      <c r="N251" s="112"/>
      <c r="O251" s="112"/>
      <c r="P251" s="112"/>
      <c r="Q251" s="114">
        <f t="shared" si="52"/>
        <v>2</v>
      </c>
      <c r="R251" s="114">
        <f t="shared" si="52"/>
        <v>0</v>
      </c>
      <c r="S251" s="114">
        <f t="shared" si="52"/>
        <v>0</v>
      </c>
      <c r="T251" s="114">
        <f t="shared" si="52"/>
        <v>0</v>
      </c>
      <c r="U251" s="114">
        <f t="shared" si="51"/>
        <v>0</v>
      </c>
      <c r="V251" s="114">
        <f t="shared" si="62"/>
        <v>2</v>
      </c>
      <c r="W251" s="114" t="str">
        <f t="shared" si="56"/>
        <v>02</v>
      </c>
      <c r="X251" s="114">
        <f t="shared" si="57"/>
        <v>2</v>
      </c>
      <c r="Y251" s="114" t="str">
        <f t="shared" si="60"/>
        <v>02</v>
      </c>
      <c r="Z251" s="118"/>
      <c r="AA251" s="118"/>
      <c r="AB251" s="118"/>
      <c r="AC251" s="118"/>
      <c r="AD251" s="118"/>
      <c r="AE251" s="118"/>
      <c r="AF251" s="118"/>
      <c r="AG251" s="118"/>
      <c r="AH251" s="118"/>
      <c r="AJ251" s="116"/>
      <c r="AK251" s="116" t="s">
        <v>1613</v>
      </c>
    </row>
    <row r="252" spans="2:37" s="126" customFormat="1" ht="16.5" customHeight="1">
      <c r="B252" s="111" t="s">
        <v>1908</v>
      </c>
      <c r="C252" s="111" t="str">
        <f t="shared" ref="C252:C295" si="63">"FF"&amp;D252&amp;E252&amp;""&amp;F252&amp;G252&amp;H252&amp;I252</f>
        <v>FF02E1A0000083</v>
      </c>
      <c r="D252" s="123" t="s">
        <v>17</v>
      </c>
      <c r="E252" s="123" t="s">
        <v>161</v>
      </c>
      <c r="F252" s="123" t="s">
        <v>23</v>
      </c>
      <c r="G252" s="123" t="s">
        <v>16</v>
      </c>
      <c r="H252" s="123" t="s">
        <v>16</v>
      </c>
      <c r="I252" s="122" t="str">
        <f t="shared" si="55"/>
        <v>83</v>
      </c>
      <c r="J252" s="122"/>
      <c r="K252" s="122"/>
      <c r="L252" s="122"/>
      <c r="M252" s="122"/>
      <c r="N252" s="122"/>
      <c r="O252" s="122"/>
      <c r="P252" s="122"/>
      <c r="Q252" s="124">
        <f t="shared" si="52"/>
        <v>2</v>
      </c>
      <c r="R252" s="124">
        <f t="shared" si="52"/>
        <v>225</v>
      </c>
      <c r="S252" s="124">
        <f t="shared" si="52"/>
        <v>160</v>
      </c>
      <c r="T252" s="124">
        <f t="shared" si="52"/>
        <v>0</v>
      </c>
      <c r="U252" s="124">
        <f t="shared" si="51"/>
        <v>0</v>
      </c>
      <c r="V252" s="124">
        <f t="shared" si="62"/>
        <v>387</v>
      </c>
      <c r="W252" s="124" t="str">
        <f t="shared" si="56"/>
        <v>83</v>
      </c>
      <c r="X252" s="124">
        <f t="shared" si="57"/>
        <v>772</v>
      </c>
      <c r="Y252" s="124" t="str">
        <f t="shared" si="60"/>
        <v>04</v>
      </c>
      <c r="Z252" s="125"/>
      <c r="AA252" s="125"/>
      <c r="AB252" s="125"/>
      <c r="AC252" s="125"/>
      <c r="AD252" s="125"/>
      <c r="AE252" s="125"/>
      <c r="AF252" s="125"/>
      <c r="AG252" s="125"/>
      <c r="AH252" s="125"/>
      <c r="AJ252" s="127"/>
      <c r="AK252" s="127" t="s">
        <v>2256</v>
      </c>
    </row>
    <row r="253" spans="2:37" ht="17.25">
      <c r="B253" s="12" t="s">
        <v>1909</v>
      </c>
      <c r="C253" s="12" t="str">
        <f t="shared" si="63"/>
        <v>FF02E0A1000083</v>
      </c>
      <c r="D253" s="60" t="s">
        <v>17</v>
      </c>
      <c r="E253" s="60" t="s">
        <v>15</v>
      </c>
      <c r="F253" s="60" t="s">
        <v>80</v>
      </c>
      <c r="G253" s="60" t="s">
        <v>16</v>
      </c>
      <c r="H253" s="60" t="s">
        <v>16</v>
      </c>
      <c r="I253" s="12" t="str">
        <f t="shared" si="55"/>
        <v>83</v>
      </c>
      <c r="J253" s="12"/>
      <c r="K253" s="12"/>
      <c r="L253" s="12"/>
      <c r="M253" s="12"/>
      <c r="N253" s="12"/>
      <c r="O253" s="12"/>
      <c r="P253" s="12"/>
      <c r="Q253" s="13">
        <f t="shared" si="52"/>
        <v>2</v>
      </c>
      <c r="R253" s="13">
        <f t="shared" si="52"/>
        <v>224</v>
      </c>
      <c r="S253" s="13">
        <f t="shared" si="52"/>
        <v>161</v>
      </c>
      <c r="T253" s="13">
        <f t="shared" si="52"/>
        <v>0</v>
      </c>
      <c r="U253" s="13">
        <f t="shared" si="51"/>
        <v>0</v>
      </c>
      <c r="V253" s="13">
        <f t="shared" si="62"/>
        <v>387</v>
      </c>
      <c r="W253" s="13" t="str">
        <f t="shared" si="56"/>
        <v>83</v>
      </c>
      <c r="X253" s="13">
        <f t="shared" si="57"/>
        <v>772</v>
      </c>
      <c r="Y253" s="13" t="str">
        <f t="shared" si="60"/>
        <v>04</v>
      </c>
      <c r="Z253" s="119"/>
      <c r="AA253" s="119"/>
      <c r="AB253" s="119"/>
      <c r="AC253" s="119"/>
      <c r="AD253" s="119"/>
      <c r="AE253" s="119"/>
      <c r="AF253" s="119"/>
      <c r="AG253" s="119"/>
      <c r="AH253" s="119"/>
      <c r="AJ253" s="64"/>
      <c r="AK253" s="64" t="s">
        <v>2257</v>
      </c>
    </row>
    <row r="254" spans="2:37" ht="17.25">
      <c r="B254" s="12" t="s">
        <v>1910</v>
      </c>
      <c r="C254" s="12" t="str">
        <f t="shared" si="63"/>
        <v>FF02E0A1007F02</v>
      </c>
      <c r="D254" s="60" t="s">
        <v>17</v>
      </c>
      <c r="E254" s="60" t="s">
        <v>15</v>
      </c>
      <c r="F254" s="60" t="s">
        <v>80</v>
      </c>
      <c r="G254" s="60" t="s">
        <v>16</v>
      </c>
      <c r="H254" s="60" t="s">
        <v>1388</v>
      </c>
      <c r="I254" s="12" t="str">
        <f t="shared" si="55"/>
        <v>02</v>
      </c>
      <c r="J254" s="12"/>
      <c r="K254" s="12"/>
      <c r="L254" s="12"/>
      <c r="M254" s="12"/>
      <c r="N254" s="12"/>
      <c r="O254" s="12"/>
      <c r="P254" s="12"/>
      <c r="Q254" s="13">
        <f t="shared" si="52"/>
        <v>2</v>
      </c>
      <c r="R254" s="13">
        <f t="shared" si="52"/>
        <v>224</v>
      </c>
      <c r="S254" s="13">
        <f t="shared" si="52"/>
        <v>161</v>
      </c>
      <c r="T254" s="13">
        <f t="shared" si="52"/>
        <v>0</v>
      </c>
      <c r="U254" s="13">
        <f t="shared" si="51"/>
        <v>127</v>
      </c>
      <c r="V254" s="13">
        <f t="shared" si="62"/>
        <v>514</v>
      </c>
      <c r="W254" s="13" t="str">
        <f t="shared" si="56"/>
        <v>02</v>
      </c>
      <c r="X254" s="13">
        <f t="shared" si="57"/>
        <v>1026</v>
      </c>
      <c r="Y254" s="13" t="str">
        <f t="shared" si="60"/>
        <v>02</v>
      </c>
      <c r="Z254" s="119"/>
      <c r="AA254" s="119"/>
      <c r="AB254" s="119"/>
      <c r="AC254" s="119"/>
      <c r="AD254" s="119"/>
      <c r="AE254" s="119"/>
      <c r="AF254" s="119"/>
      <c r="AG254" s="119"/>
      <c r="AH254" s="119"/>
      <c r="AJ254" s="64"/>
      <c r="AK254" s="64" t="s">
        <v>2258</v>
      </c>
    </row>
    <row r="255" spans="2:37" ht="17.25">
      <c r="B255" s="12" t="s">
        <v>1911</v>
      </c>
      <c r="C255" s="12" t="str">
        <f t="shared" si="63"/>
        <v>FF02E0A100FF82</v>
      </c>
      <c r="D255" s="60" t="s">
        <v>17</v>
      </c>
      <c r="E255" s="60" t="s">
        <v>15</v>
      </c>
      <c r="F255" s="60" t="s">
        <v>80</v>
      </c>
      <c r="G255" s="60" t="s">
        <v>16</v>
      </c>
      <c r="H255" s="60" t="s">
        <v>9</v>
      </c>
      <c r="I255" s="12" t="str">
        <f t="shared" si="55"/>
        <v>82</v>
      </c>
      <c r="J255" s="12"/>
      <c r="K255" s="12"/>
      <c r="L255" s="12"/>
      <c r="M255" s="12"/>
      <c r="N255" s="12"/>
      <c r="O255" s="12"/>
      <c r="P255" s="12"/>
      <c r="Q255" s="13">
        <f t="shared" si="52"/>
        <v>2</v>
      </c>
      <c r="R255" s="13">
        <f t="shared" si="52"/>
        <v>224</v>
      </c>
      <c r="S255" s="13">
        <f t="shared" si="52"/>
        <v>161</v>
      </c>
      <c r="T255" s="13">
        <f t="shared" si="52"/>
        <v>0</v>
      </c>
      <c r="U255" s="13">
        <f t="shared" si="51"/>
        <v>255</v>
      </c>
      <c r="V255" s="13">
        <f t="shared" si="62"/>
        <v>642</v>
      </c>
      <c r="W255" s="13" t="str">
        <f t="shared" si="56"/>
        <v>82</v>
      </c>
      <c r="X255" s="13">
        <f t="shared" si="57"/>
        <v>1282</v>
      </c>
      <c r="Y255" s="13" t="str">
        <f t="shared" si="60"/>
        <v>02</v>
      </c>
      <c r="Z255" s="119"/>
      <c r="AA255" s="119"/>
      <c r="AB255" s="119"/>
      <c r="AC255" s="119"/>
      <c r="AD255" s="119"/>
      <c r="AE255" s="119"/>
      <c r="AF255" s="119"/>
      <c r="AG255" s="119"/>
      <c r="AH255" s="119"/>
      <c r="AJ255" s="64"/>
      <c r="AK255" s="64" t="s">
        <v>2259</v>
      </c>
    </row>
    <row r="256" spans="2:37" ht="16.5" customHeight="1">
      <c r="B256" s="12" t="s">
        <v>1912</v>
      </c>
      <c r="C256" s="12" t="str">
        <f t="shared" si="63"/>
        <v>FF02E0A2000084</v>
      </c>
      <c r="D256" s="60" t="s">
        <v>17</v>
      </c>
      <c r="E256" s="60" t="s">
        <v>15</v>
      </c>
      <c r="F256" s="60" t="s">
        <v>1953</v>
      </c>
      <c r="G256" s="60" t="s">
        <v>16</v>
      </c>
      <c r="H256" s="60" t="s">
        <v>16</v>
      </c>
      <c r="I256" s="12" t="str">
        <f t="shared" si="55"/>
        <v>84</v>
      </c>
      <c r="J256" s="12"/>
      <c r="K256" s="12"/>
      <c r="L256" s="12"/>
      <c r="M256" s="12"/>
      <c r="N256" s="12"/>
      <c r="O256" s="12"/>
      <c r="P256" s="12"/>
      <c r="Q256" s="13">
        <f t="shared" si="52"/>
        <v>2</v>
      </c>
      <c r="R256" s="13">
        <f t="shared" si="52"/>
        <v>224</v>
      </c>
      <c r="S256" s="13">
        <f t="shared" si="52"/>
        <v>162</v>
      </c>
      <c r="T256" s="13">
        <f t="shared" si="52"/>
        <v>0</v>
      </c>
      <c r="U256" s="13">
        <f t="shared" si="51"/>
        <v>0</v>
      </c>
      <c r="V256" s="13">
        <f t="shared" si="62"/>
        <v>388</v>
      </c>
      <c r="W256" s="13" t="str">
        <f t="shared" si="56"/>
        <v>84</v>
      </c>
      <c r="X256" s="13">
        <f t="shared" si="57"/>
        <v>774</v>
      </c>
      <c r="Y256" s="13" t="str">
        <f t="shared" si="60"/>
        <v>06</v>
      </c>
      <c r="Z256" s="119"/>
      <c r="AA256" s="119"/>
      <c r="AB256" s="119"/>
      <c r="AC256" s="119"/>
      <c r="AD256" s="119"/>
      <c r="AE256" s="119"/>
      <c r="AF256" s="119"/>
      <c r="AG256" s="119"/>
      <c r="AH256" s="119"/>
      <c r="AJ256" s="64"/>
      <c r="AK256" s="64" t="s">
        <v>2260</v>
      </c>
    </row>
    <row r="257" spans="2:37" ht="17.25">
      <c r="B257" s="12" t="s">
        <v>1913</v>
      </c>
      <c r="C257" s="12" t="str">
        <f t="shared" si="63"/>
        <v>FF02E0A2007F03</v>
      </c>
      <c r="D257" s="60" t="s">
        <v>17</v>
      </c>
      <c r="E257" s="60" t="s">
        <v>15</v>
      </c>
      <c r="F257" s="60" t="s">
        <v>1953</v>
      </c>
      <c r="G257" s="60" t="s">
        <v>16</v>
      </c>
      <c r="H257" s="60" t="s">
        <v>1388</v>
      </c>
      <c r="I257" s="12" t="str">
        <f t="shared" si="55"/>
        <v>03</v>
      </c>
      <c r="J257" s="12"/>
      <c r="K257" s="12"/>
      <c r="L257" s="12"/>
      <c r="M257" s="12"/>
      <c r="N257" s="12"/>
      <c r="O257" s="12"/>
      <c r="P257" s="12"/>
      <c r="Q257" s="13">
        <f t="shared" si="52"/>
        <v>2</v>
      </c>
      <c r="R257" s="13">
        <f t="shared" si="52"/>
        <v>224</v>
      </c>
      <c r="S257" s="13">
        <f t="shared" si="52"/>
        <v>162</v>
      </c>
      <c r="T257" s="13">
        <f t="shared" si="52"/>
        <v>0</v>
      </c>
      <c r="U257" s="13">
        <f t="shared" si="51"/>
        <v>127</v>
      </c>
      <c r="V257" s="13">
        <f t="shared" si="62"/>
        <v>515</v>
      </c>
      <c r="W257" s="13" t="str">
        <f t="shared" si="56"/>
        <v>03</v>
      </c>
      <c r="X257" s="13">
        <f t="shared" si="57"/>
        <v>1028</v>
      </c>
      <c r="Y257" s="13" t="str">
        <f t="shared" si="60"/>
        <v>04</v>
      </c>
      <c r="Z257" s="119"/>
      <c r="AA257" s="119"/>
      <c r="AB257" s="119"/>
      <c r="AC257" s="119"/>
      <c r="AD257" s="119"/>
      <c r="AE257" s="119"/>
      <c r="AF257" s="119"/>
      <c r="AG257" s="119"/>
      <c r="AH257" s="119"/>
      <c r="AJ257" s="64"/>
      <c r="AK257" s="64" t="s">
        <v>2261</v>
      </c>
    </row>
    <row r="258" spans="2:37" ht="17.25">
      <c r="B258" s="12" t="s">
        <v>1914</v>
      </c>
      <c r="C258" s="12" t="str">
        <f t="shared" si="63"/>
        <v>FF02E0A200FF83</v>
      </c>
      <c r="D258" s="60" t="s">
        <v>17</v>
      </c>
      <c r="E258" s="60" t="s">
        <v>15</v>
      </c>
      <c r="F258" s="60" t="s">
        <v>1953</v>
      </c>
      <c r="G258" s="60" t="s">
        <v>16</v>
      </c>
      <c r="H258" s="60" t="s">
        <v>9</v>
      </c>
      <c r="I258" s="12" t="str">
        <f t="shared" si="55"/>
        <v>83</v>
      </c>
      <c r="J258" s="12"/>
      <c r="K258" s="12"/>
      <c r="L258" s="12"/>
      <c r="M258" s="12"/>
      <c r="N258" s="12"/>
      <c r="O258" s="12"/>
      <c r="P258" s="12"/>
      <c r="Q258" s="13">
        <f t="shared" si="52"/>
        <v>2</v>
      </c>
      <c r="R258" s="13">
        <f t="shared" si="52"/>
        <v>224</v>
      </c>
      <c r="S258" s="13">
        <f t="shared" si="52"/>
        <v>162</v>
      </c>
      <c r="T258" s="13">
        <f t="shared" si="52"/>
        <v>0</v>
      </c>
      <c r="U258" s="13">
        <f t="shared" si="51"/>
        <v>255</v>
      </c>
      <c r="V258" s="13">
        <f t="shared" si="62"/>
        <v>643</v>
      </c>
      <c r="W258" s="13" t="str">
        <f t="shared" si="56"/>
        <v>83</v>
      </c>
      <c r="X258" s="13">
        <f t="shared" si="57"/>
        <v>1284</v>
      </c>
      <c r="Y258" s="13" t="str">
        <f t="shared" si="60"/>
        <v>04</v>
      </c>
      <c r="Z258" s="119"/>
      <c r="AA258" s="119"/>
      <c r="AB258" s="119"/>
      <c r="AC258" s="119"/>
      <c r="AD258" s="119"/>
      <c r="AE258" s="119"/>
      <c r="AF258" s="119"/>
      <c r="AG258" s="119"/>
      <c r="AH258" s="119"/>
      <c r="AJ258" s="64"/>
      <c r="AK258" s="64" t="s">
        <v>2262</v>
      </c>
    </row>
    <row r="259" spans="2:37" ht="16.5" customHeight="1">
      <c r="B259" s="12" t="s">
        <v>1915</v>
      </c>
      <c r="C259" s="12" t="str">
        <f t="shared" si="63"/>
        <v>FF02E0A3000085</v>
      </c>
      <c r="D259" s="60" t="s">
        <v>17</v>
      </c>
      <c r="E259" s="60" t="s">
        <v>15</v>
      </c>
      <c r="F259" s="60" t="s">
        <v>1954</v>
      </c>
      <c r="G259" s="60" t="s">
        <v>16</v>
      </c>
      <c r="H259" s="60" t="s">
        <v>16</v>
      </c>
      <c r="I259" s="12" t="str">
        <f t="shared" si="55"/>
        <v>85</v>
      </c>
      <c r="J259" s="12"/>
      <c r="K259" s="12"/>
      <c r="L259" s="12"/>
      <c r="M259" s="12"/>
      <c r="N259" s="12"/>
      <c r="O259" s="12"/>
      <c r="P259" s="12"/>
      <c r="Q259" s="13">
        <f t="shared" si="52"/>
        <v>2</v>
      </c>
      <c r="R259" s="13">
        <f t="shared" si="52"/>
        <v>224</v>
      </c>
      <c r="S259" s="13">
        <f t="shared" si="52"/>
        <v>163</v>
      </c>
      <c r="T259" s="13">
        <f t="shared" ref="T259:U322" si="64">HEX2DEC(G259)</f>
        <v>0</v>
      </c>
      <c r="U259" s="13">
        <f t="shared" si="51"/>
        <v>0</v>
      </c>
      <c r="V259" s="13">
        <f t="shared" si="62"/>
        <v>389</v>
      </c>
      <c r="W259" s="13" t="str">
        <f t="shared" si="56"/>
        <v>85</v>
      </c>
      <c r="X259" s="13">
        <f t="shared" si="57"/>
        <v>776</v>
      </c>
      <c r="Y259" s="13" t="str">
        <f t="shared" si="60"/>
        <v>08</v>
      </c>
      <c r="Z259" s="119"/>
      <c r="AA259" s="119"/>
      <c r="AB259" s="119"/>
      <c r="AC259" s="119"/>
      <c r="AD259" s="119"/>
      <c r="AE259" s="119"/>
      <c r="AF259" s="119"/>
      <c r="AG259" s="119"/>
      <c r="AH259" s="119"/>
      <c r="AJ259" s="64"/>
      <c r="AK259" s="64" t="s">
        <v>2263</v>
      </c>
    </row>
    <row r="260" spans="2:37" ht="16.5" customHeight="1">
      <c r="B260" s="12" t="s">
        <v>1916</v>
      </c>
      <c r="C260" s="12" t="str">
        <f t="shared" si="63"/>
        <v>FF02E0A3007F04</v>
      </c>
      <c r="D260" s="60" t="s">
        <v>17</v>
      </c>
      <c r="E260" s="60" t="s">
        <v>15</v>
      </c>
      <c r="F260" s="60" t="s">
        <v>1954</v>
      </c>
      <c r="G260" s="60" t="s">
        <v>16</v>
      </c>
      <c r="H260" s="60" t="s">
        <v>1388</v>
      </c>
      <c r="I260" s="12" t="str">
        <f t="shared" si="55"/>
        <v>04</v>
      </c>
      <c r="J260" s="12"/>
      <c r="K260" s="12"/>
      <c r="L260" s="12"/>
      <c r="M260" s="12"/>
      <c r="N260" s="12"/>
      <c r="O260" s="12"/>
      <c r="P260" s="12"/>
      <c r="Q260" s="13">
        <f t="shared" ref="Q260:U323" si="65">HEX2DEC(D260)</f>
        <v>2</v>
      </c>
      <c r="R260" s="13">
        <f t="shared" si="65"/>
        <v>224</v>
      </c>
      <c r="S260" s="13">
        <f t="shared" si="65"/>
        <v>163</v>
      </c>
      <c r="T260" s="13">
        <f t="shared" si="64"/>
        <v>0</v>
      </c>
      <c r="U260" s="13">
        <f t="shared" si="51"/>
        <v>127</v>
      </c>
      <c r="V260" s="13">
        <f t="shared" si="62"/>
        <v>516</v>
      </c>
      <c r="W260" s="13" t="str">
        <f t="shared" si="56"/>
        <v>04</v>
      </c>
      <c r="X260" s="13">
        <f t="shared" si="57"/>
        <v>1030</v>
      </c>
      <c r="Y260" s="13" t="str">
        <f t="shared" si="60"/>
        <v>06</v>
      </c>
      <c r="Z260" s="119"/>
      <c r="AA260" s="119"/>
      <c r="AB260" s="119"/>
      <c r="AC260" s="119"/>
      <c r="AD260" s="119"/>
      <c r="AE260" s="119"/>
      <c r="AF260" s="119"/>
      <c r="AG260" s="119"/>
      <c r="AH260" s="119"/>
      <c r="AJ260" s="64"/>
      <c r="AK260" s="64" t="s">
        <v>2264</v>
      </c>
    </row>
    <row r="261" spans="2:37" ht="16.5" customHeight="1">
      <c r="B261" s="12" t="s">
        <v>1917</v>
      </c>
      <c r="C261" s="12" t="str">
        <f t="shared" si="63"/>
        <v>FF02E0A300FF84</v>
      </c>
      <c r="D261" s="60" t="s">
        <v>17</v>
      </c>
      <c r="E261" s="60" t="s">
        <v>15</v>
      </c>
      <c r="F261" s="60" t="s">
        <v>1954</v>
      </c>
      <c r="G261" s="60" t="s">
        <v>16</v>
      </c>
      <c r="H261" s="60" t="s">
        <v>9</v>
      </c>
      <c r="I261" s="12" t="str">
        <f t="shared" si="55"/>
        <v>84</v>
      </c>
      <c r="J261" s="12"/>
      <c r="K261" s="12"/>
      <c r="L261" s="12"/>
      <c r="M261" s="12"/>
      <c r="N261" s="12"/>
      <c r="O261" s="12"/>
      <c r="P261" s="12"/>
      <c r="Q261" s="13">
        <f t="shared" si="65"/>
        <v>2</v>
      </c>
      <c r="R261" s="13">
        <f t="shared" si="65"/>
        <v>224</v>
      </c>
      <c r="S261" s="13">
        <f t="shared" si="65"/>
        <v>163</v>
      </c>
      <c r="T261" s="13">
        <f t="shared" si="64"/>
        <v>0</v>
      </c>
      <c r="U261" s="13">
        <f t="shared" si="51"/>
        <v>255</v>
      </c>
      <c r="V261" s="13">
        <f t="shared" si="62"/>
        <v>644</v>
      </c>
      <c r="W261" s="13" t="str">
        <f t="shared" si="56"/>
        <v>84</v>
      </c>
      <c r="X261" s="13">
        <f t="shared" si="57"/>
        <v>1286</v>
      </c>
      <c r="Y261" s="13" t="str">
        <f t="shared" si="60"/>
        <v>06</v>
      </c>
      <c r="Z261" s="119"/>
      <c r="AA261" s="119"/>
      <c r="AB261" s="119"/>
      <c r="AC261" s="119"/>
      <c r="AD261" s="119"/>
      <c r="AE261" s="119"/>
      <c r="AF261" s="119"/>
      <c r="AG261" s="119"/>
      <c r="AH261" s="119"/>
      <c r="AJ261" s="64"/>
      <c r="AK261" s="64" t="s">
        <v>2265</v>
      </c>
    </row>
    <row r="262" spans="2:37" ht="16.5" customHeight="1">
      <c r="B262" s="12" t="s">
        <v>1918</v>
      </c>
      <c r="C262" s="12" t="str">
        <f t="shared" si="63"/>
        <v>FF02E0A4000086</v>
      </c>
      <c r="D262" s="60" t="s">
        <v>17</v>
      </c>
      <c r="E262" s="60" t="s">
        <v>15</v>
      </c>
      <c r="F262" s="60" t="s">
        <v>1955</v>
      </c>
      <c r="G262" s="60" t="s">
        <v>16</v>
      </c>
      <c r="H262" s="60" t="s">
        <v>16</v>
      </c>
      <c r="I262" s="12" t="str">
        <f t="shared" si="55"/>
        <v>86</v>
      </c>
      <c r="J262" s="12"/>
      <c r="K262" s="12"/>
      <c r="L262" s="12"/>
      <c r="M262" s="12"/>
      <c r="N262" s="12"/>
      <c r="O262" s="12"/>
      <c r="P262" s="12"/>
      <c r="Q262" s="13">
        <f t="shared" si="65"/>
        <v>2</v>
      </c>
      <c r="R262" s="13">
        <f t="shared" si="65"/>
        <v>224</v>
      </c>
      <c r="S262" s="13">
        <f t="shared" si="65"/>
        <v>164</v>
      </c>
      <c r="T262" s="13">
        <f t="shared" si="64"/>
        <v>0</v>
      </c>
      <c r="U262" s="13">
        <f t="shared" si="51"/>
        <v>0</v>
      </c>
      <c r="V262" s="13">
        <f t="shared" si="62"/>
        <v>390</v>
      </c>
      <c r="W262" s="13" t="str">
        <f t="shared" si="56"/>
        <v>86</v>
      </c>
      <c r="X262" s="13">
        <f t="shared" si="57"/>
        <v>778</v>
      </c>
      <c r="Y262" s="13" t="str">
        <f t="shared" si="60"/>
        <v>0A</v>
      </c>
      <c r="Z262" s="119"/>
      <c r="AA262" s="119"/>
      <c r="AB262" s="119"/>
      <c r="AC262" s="119"/>
      <c r="AD262" s="119"/>
      <c r="AE262" s="119"/>
      <c r="AF262" s="119"/>
      <c r="AG262" s="119"/>
      <c r="AH262" s="119"/>
      <c r="AJ262" s="64"/>
      <c r="AK262" s="64" t="s">
        <v>2266</v>
      </c>
    </row>
    <row r="263" spans="2:37" ht="16.5" customHeight="1">
      <c r="B263" s="12" t="s">
        <v>1919</v>
      </c>
      <c r="C263" s="12" t="str">
        <f t="shared" si="63"/>
        <v>FF02E0A4007F05</v>
      </c>
      <c r="D263" s="60" t="s">
        <v>17</v>
      </c>
      <c r="E263" s="60" t="s">
        <v>15</v>
      </c>
      <c r="F263" s="60" t="s">
        <v>1955</v>
      </c>
      <c r="G263" s="60" t="s">
        <v>16</v>
      </c>
      <c r="H263" s="60" t="s">
        <v>1388</v>
      </c>
      <c r="I263" s="12" t="str">
        <f t="shared" si="55"/>
        <v>05</v>
      </c>
      <c r="J263" s="12"/>
      <c r="K263" s="12"/>
      <c r="L263" s="12"/>
      <c r="M263" s="12"/>
      <c r="N263" s="12"/>
      <c r="O263" s="12"/>
      <c r="P263" s="12"/>
      <c r="Q263" s="13">
        <f t="shared" si="65"/>
        <v>2</v>
      </c>
      <c r="R263" s="13">
        <f t="shared" si="65"/>
        <v>224</v>
      </c>
      <c r="S263" s="13">
        <f t="shared" si="65"/>
        <v>164</v>
      </c>
      <c r="T263" s="13">
        <f t="shared" si="64"/>
        <v>0</v>
      </c>
      <c r="U263" s="13">
        <f t="shared" si="51"/>
        <v>127</v>
      </c>
      <c r="V263" s="13">
        <f t="shared" si="62"/>
        <v>517</v>
      </c>
      <c r="W263" s="13" t="str">
        <f t="shared" si="56"/>
        <v>05</v>
      </c>
      <c r="X263" s="13">
        <f t="shared" si="57"/>
        <v>1032</v>
      </c>
      <c r="Y263" s="13" t="str">
        <f t="shared" si="60"/>
        <v>08</v>
      </c>
      <c r="Z263" s="119"/>
      <c r="AA263" s="119"/>
      <c r="AB263" s="119"/>
      <c r="AC263" s="119"/>
      <c r="AD263" s="119"/>
      <c r="AE263" s="119"/>
      <c r="AF263" s="119"/>
      <c r="AG263" s="119"/>
      <c r="AH263" s="119"/>
      <c r="AJ263" s="64"/>
      <c r="AK263" s="64" t="s">
        <v>2267</v>
      </c>
    </row>
    <row r="264" spans="2:37" ht="16.5" customHeight="1">
      <c r="B264" s="12" t="s">
        <v>1920</v>
      </c>
      <c r="C264" s="12" t="str">
        <f t="shared" si="63"/>
        <v>FF02E0A400FF85</v>
      </c>
      <c r="D264" s="60" t="s">
        <v>17</v>
      </c>
      <c r="E264" s="60" t="s">
        <v>15</v>
      </c>
      <c r="F264" s="60" t="s">
        <v>1955</v>
      </c>
      <c r="G264" s="60" t="s">
        <v>16</v>
      </c>
      <c r="H264" s="60" t="s">
        <v>9</v>
      </c>
      <c r="I264" s="12" t="str">
        <f t="shared" si="55"/>
        <v>85</v>
      </c>
      <c r="J264" s="12"/>
      <c r="K264" s="12"/>
      <c r="L264" s="12"/>
      <c r="M264" s="12"/>
      <c r="N264" s="12"/>
      <c r="O264" s="12"/>
      <c r="P264" s="12"/>
      <c r="Q264" s="13">
        <f t="shared" si="65"/>
        <v>2</v>
      </c>
      <c r="R264" s="13">
        <f t="shared" si="65"/>
        <v>224</v>
      </c>
      <c r="S264" s="13">
        <f t="shared" si="65"/>
        <v>164</v>
      </c>
      <c r="T264" s="13">
        <f t="shared" si="64"/>
        <v>0</v>
      </c>
      <c r="U264" s="13">
        <f t="shared" si="51"/>
        <v>255</v>
      </c>
      <c r="V264" s="13">
        <f t="shared" si="62"/>
        <v>645</v>
      </c>
      <c r="W264" s="13" t="str">
        <f t="shared" si="56"/>
        <v>85</v>
      </c>
      <c r="X264" s="13">
        <f t="shared" si="57"/>
        <v>1288</v>
      </c>
      <c r="Y264" s="13" t="str">
        <f t="shared" si="60"/>
        <v>08</v>
      </c>
      <c r="Z264" s="119"/>
      <c r="AA264" s="119"/>
      <c r="AB264" s="119"/>
      <c r="AC264" s="119"/>
      <c r="AD264" s="119"/>
      <c r="AE264" s="119"/>
      <c r="AF264" s="119"/>
      <c r="AG264" s="119"/>
      <c r="AH264" s="119"/>
      <c r="AJ264" s="64"/>
      <c r="AK264" s="64" t="s">
        <v>2268</v>
      </c>
    </row>
    <row r="265" spans="2:37" ht="16.5" customHeight="1">
      <c r="B265" s="12" t="s">
        <v>1921</v>
      </c>
      <c r="C265" s="12" t="str">
        <f t="shared" si="63"/>
        <v>FF02E0A5000087</v>
      </c>
      <c r="D265" s="60" t="s">
        <v>17</v>
      </c>
      <c r="E265" s="60" t="s">
        <v>15</v>
      </c>
      <c r="F265" s="60" t="s">
        <v>1956</v>
      </c>
      <c r="G265" s="60" t="s">
        <v>16</v>
      </c>
      <c r="H265" s="60" t="s">
        <v>16</v>
      </c>
      <c r="I265" s="12" t="str">
        <f t="shared" si="55"/>
        <v>87</v>
      </c>
      <c r="J265" s="12"/>
      <c r="K265" s="12"/>
      <c r="L265" s="12"/>
      <c r="M265" s="12"/>
      <c r="N265" s="12"/>
      <c r="O265" s="12"/>
      <c r="P265" s="12"/>
      <c r="Q265" s="13">
        <f t="shared" si="65"/>
        <v>2</v>
      </c>
      <c r="R265" s="13">
        <f t="shared" si="65"/>
        <v>224</v>
      </c>
      <c r="S265" s="13">
        <f t="shared" si="65"/>
        <v>165</v>
      </c>
      <c r="T265" s="13">
        <f t="shared" si="64"/>
        <v>0</v>
      </c>
      <c r="U265" s="13">
        <f t="shared" si="51"/>
        <v>0</v>
      </c>
      <c r="V265" s="13">
        <f t="shared" si="62"/>
        <v>391</v>
      </c>
      <c r="W265" s="13" t="str">
        <f t="shared" si="56"/>
        <v>87</v>
      </c>
      <c r="X265" s="13">
        <f t="shared" si="57"/>
        <v>780</v>
      </c>
      <c r="Y265" s="13" t="str">
        <f t="shared" si="60"/>
        <v>0C</v>
      </c>
      <c r="Z265" s="119"/>
      <c r="AA265" s="119"/>
      <c r="AB265" s="119"/>
      <c r="AC265" s="119"/>
      <c r="AD265" s="119"/>
      <c r="AE265" s="119"/>
      <c r="AF265" s="119"/>
      <c r="AG265" s="119"/>
      <c r="AH265" s="119"/>
      <c r="AJ265" s="64"/>
      <c r="AK265" s="64" t="s">
        <v>2269</v>
      </c>
    </row>
    <row r="266" spans="2:37" ht="16.5" customHeight="1">
      <c r="B266" s="12" t="s">
        <v>1922</v>
      </c>
      <c r="C266" s="12" t="str">
        <f t="shared" si="63"/>
        <v>FF02E0A50032B9</v>
      </c>
      <c r="D266" s="60" t="s">
        <v>17</v>
      </c>
      <c r="E266" s="60" t="s">
        <v>15</v>
      </c>
      <c r="F266" s="60" t="s">
        <v>1956</v>
      </c>
      <c r="G266" s="60" t="s">
        <v>16</v>
      </c>
      <c r="H266" s="60" t="s">
        <v>1330</v>
      </c>
      <c r="I266" s="12" t="str">
        <f t="shared" si="55"/>
        <v>B9</v>
      </c>
      <c r="J266" s="12"/>
      <c r="K266" s="12"/>
      <c r="L266" s="12"/>
      <c r="M266" s="12"/>
      <c r="N266" s="12"/>
      <c r="O266" s="12"/>
      <c r="P266" s="12"/>
      <c r="Q266" s="13">
        <f t="shared" si="65"/>
        <v>2</v>
      </c>
      <c r="R266" s="13">
        <f t="shared" si="65"/>
        <v>224</v>
      </c>
      <c r="S266" s="13">
        <f t="shared" si="65"/>
        <v>165</v>
      </c>
      <c r="T266" s="13">
        <f t="shared" si="64"/>
        <v>0</v>
      </c>
      <c r="U266" s="13">
        <f t="shared" si="51"/>
        <v>50</v>
      </c>
      <c r="V266" s="13">
        <f t="shared" ref="V266:V283" si="66">SUM(Q266:U266)</f>
        <v>441</v>
      </c>
      <c r="W266" s="13" t="str">
        <f t="shared" si="56"/>
        <v>B9</v>
      </c>
      <c r="X266" s="13">
        <f t="shared" si="57"/>
        <v>880</v>
      </c>
      <c r="Y266" s="13" t="str">
        <f t="shared" si="60"/>
        <v>70</v>
      </c>
      <c r="Z266" s="119"/>
      <c r="AA266" s="119"/>
      <c r="AB266" s="119"/>
      <c r="AC266" s="119"/>
      <c r="AD266" s="119"/>
      <c r="AE266" s="119"/>
      <c r="AF266" s="119"/>
      <c r="AG266" s="119"/>
      <c r="AH266" s="119"/>
      <c r="AJ266" s="64"/>
      <c r="AK266" s="64" t="s">
        <v>2270</v>
      </c>
    </row>
    <row r="267" spans="2:37" ht="17.25">
      <c r="B267" s="12" t="s">
        <v>1923</v>
      </c>
      <c r="C267" s="12" t="str">
        <f t="shared" si="63"/>
        <v>FF02E0A50064EB</v>
      </c>
      <c r="D267" s="60" t="s">
        <v>17</v>
      </c>
      <c r="E267" s="60" t="s">
        <v>15</v>
      </c>
      <c r="F267" s="60" t="s">
        <v>1956</v>
      </c>
      <c r="G267" s="60" t="s">
        <v>16</v>
      </c>
      <c r="H267" s="60" t="s">
        <v>128</v>
      </c>
      <c r="I267" s="12" t="str">
        <f t="shared" si="55"/>
        <v>EB</v>
      </c>
      <c r="J267" s="12"/>
      <c r="K267" s="12"/>
      <c r="L267" s="12"/>
      <c r="M267" s="12"/>
      <c r="N267" s="12"/>
      <c r="O267" s="12"/>
      <c r="P267" s="12"/>
      <c r="Q267" s="13">
        <f t="shared" si="65"/>
        <v>2</v>
      </c>
      <c r="R267" s="13">
        <f t="shared" si="65"/>
        <v>224</v>
      </c>
      <c r="S267" s="13">
        <f t="shared" si="65"/>
        <v>165</v>
      </c>
      <c r="T267" s="13">
        <f t="shared" si="64"/>
        <v>0</v>
      </c>
      <c r="U267" s="13">
        <f t="shared" si="51"/>
        <v>100</v>
      </c>
      <c r="V267" s="13">
        <f t="shared" si="66"/>
        <v>491</v>
      </c>
      <c r="W267" s="13" t="str">
        <f t="shared" si="56"/>
        <v>EB</v>
      </c>
      <c r="X267" s="13">
        <f t="shared" si="57"/>
        <v>980</v>
      </c>
      <c r="Y267" s="13" t="str">
        <f t="shared" si="60"/>
        <v>D4</v>
      </c>
      <c r="Z267" s="119"/>
      <c r="AA267" s="119"/>
      <c r="AB267" s="119"/>
      <c r="AC267" s="119"/>
      <c r="AD267" s="119"/>
      <c r="AE267" s="119"/>
      <c r="AF267" s="119"/>
      <c r="AG267" s="119"/>
      <c r="AH267" s="119"/>
      <c r="AJ267" s="64"/>
      <c r="AK267" s="64" t="s">
        <v>2271</v>
      </c>
    </row>
    <row r="268" spans="2:37" ht="16.5" customHeight="1">
      <c r="B268" s="12" t="s">
        <v>1924</v>
      </c>
      <c r="C268" s="12" t="str">
        <f t="shared" si="63"/>
        <v>FF02E0A6000088</v>
      </c>
      <c r="D268" s="60" t="s">
        <v>17</v>
      </c>
      <c r="E268" s="60" t="s">
        <v>15</v>
      </c>
      <c r="F268" s="60" t="s">
        <v>1957</v>
      </c>
      <c r="G268" s="60" t="s">
        <v>16</v>
      </c>
      <c r="H268" s="60" t="s">
        <v>16</v>
      </c>
      <c r="I268" s="12" t="str">
        <f t="shared" si="55"/>
        <v>88</v>
      </c>
      <c r="J268" s="12"/>
      <c r="K268" s="12"/>
      <c r="L268" s="12"/>
      <c r="M268" s="12"/>
      <c r="N268" s="12"/>
      <c r="O268" s="12"/>
      <c r="P268" s="12"/>
      <c r="Q268" s="13">
        <f t="shared" si="65"/>
        <v>2</v>
      </c>
      <c r="R268" s="13">
        <f t="shared" si="65"/>
        <v>224</v>
      </c>
      <c r="S268" s="13">
        <f t="shared" si="65"/>
        <v>166</v>
      </c>
      <c r="T268" s="13">
        <f t="shared" si="64"/>
        <v>0</v>
      </c>
      <c r="U268" s="13">
        <f t="shared" si="51"/>
        <v>0</v>
      </c>
      <c r="V268" s="13">
        <f t="shared" si="66"/>
        <v>392</v>
      </c>
      <c r="W268" s="13" t="str">
        <f t="shared" si="56"/>
        <v>88</v>
      </c>
      <c r="X268" s="13">
        <f t="shared" si="57"/>
        <v>782</v>
      </c>
      <c r="Y268" s="13" t="str">
        <f t="shared" si="60"/>
        <v>0E</v>
      </c>
      <c r="Z268" s="119"/>
      <c r="AA268" s="119"/>
      <c r="AB268" s="119"/>
      <c r="AC268" s="119"/>
      <c r="AD268" s="119"/>
      <c r="AE268" s="119"/>
      <c r="AF268" s="119"/>
      <c r="AG268" s="119"/>
      <c r="AH268" s="119"/>
      <c r="AJ268" s="64"/>
      <c r="AK268" s="64" t="s">
        <v>2272</v>
      </c>
    </row>
    <row r="269" spans="2:37" ht="16.5" customHeight="1">
      <c r="B269" s="12" t="s">
        <v>1925</v>
      </c>
      <c r="C269" s="12" t="str">
        <f t="shared" si="63"/>
        <v>FF02E0A60032BA</v>
      </c>
      <c r="D269" s="60" t="s">
        <v>17</v>
      </c>
      <c r="E269" s="60" t="s">
        <v>15</v>
      </c>
      <c r="F269" s="60" t="s">
        <v>1957</v>
      </c>
      <c r="G269" s="60" t="s">
        <v>16</v>
      </c>
      <c r="H269" s="60" t="s">
        <v>1330</v>
      </c>
      <c r="I269" s="12" t="str">
        <f t="shared" si="55"/>
        <v>BA</v>
      </c>
      <c r="J269" s="12"/>
      <c r="K269" s="12"/>
      <c r="L269" s="12"/>
      <c r="M269" s="12"/>
      <c r="N269" s="12"/>
      <c r="O269" s="12"/>
      <c r="P269" s="12"/>
      <c r="Q269" s="13">
        <f t="shared" si="65"/>
        <v>2</v>
      </c>
      <c r="R269" s="13">
        <f t="shared" si="65"/>
        <v>224</v>
      </c>
      <c r="S269" s="13">
        <f t="shared" si="65"/>
        <v>166</v>
      </c>
      <c r="T269" s="13">
        <f t="shared" si="64"/>
        <v>0</v>
      </c>
      <c r="U269" s="13">
        <f t="shared" si="51"/>
        <v>50</v>
      </c>
      <c r="V269" s="13">
        <f t="shared" si="66"/>
        <v>442</v>
      </c>
      <c r="W269" s="13" t="str">
        <f t="shared" si="56"/>
        <v>BA</v>
      </c>
      <c r="X269" s="13">
        <f t="shared" si="57"/>
        <v>882</v>
      </c>
      <c r="Y269" s="13" t="str">
        <f t="shared" si="60"/>
        <v>72</v>
      </c>
      <c r="Z269" s="119"/>
      <c r="AA269" s="119"/>
      <c r="AB269" s="119"/>
      <c r="AC269" s="119"/>
      <c r="AD269" s="119"/>
      <c r="AE269" s="119"/>
      <c r="AF269" s="119"/>
      <c r="AG269" s="119"/>
      <c r="AH269" s="119"/>
      <c r="AJ269" s="64"/>
      <c r="AK269" s="64" t="s">
        <v>2273</v>
      </c>
    </row>
    <row r="270" spans="2:37" ht="17.25">
      <c r="B270" s="12" t="s">
        <v>1926</v>
      </c>
      <c r="C270" s="12" t="str">
        <f t="shared" si="63"/>
        <v>FF02E0A60064EC</v>
      </c>
      <c r="D270" s="60" t="s">
        <v>17</v>
      </c>
      <c r="E270" s="60" t="s">
        <v>15</v>
      </c>
      <c r="F270" s="60" t="s">
        <v>1957</v>
      </c>
      <c r="G270" s="60" t="s">
        <v>16</v>
      </c>
      <c r="H270" s="60" t="s">
        <v>128</v>
      </c>
      <c r="I270" s="12" t="str">
        <f t="shared" si="55"/>
        <v>EC</v>
      </c>
      <c r="J270" s="12"/>
      <c r="K270" s="12"/>
      <c r="L270" s="12"/>
      <c r="M270" s="12"/>
      <c r="N270" s="12"/>
      <c r="O270" s="12"/>
      <c r="P270" s="12"/>
      <c r="Q270" s="13">
        <f t="shared" si="65"/>
        <v>2</v>
      </c>
      <c r="R270" s="13">
        <f t="shared" si="65"/>
        <v>224</v>
      </c>
      <c r="S270" s="13">
        <f t="shared" si="65"/>
        <v>166</v>
      </c>
      <c r="T270" s="13">
        <f t="shared" si="64"/>
        <v>0</v>
      </c>
      <c r="U270" s="13">
        <f t="shared" si="51"/>
        <v>100</v>
      </c>
      <c r="V270" s="13">
        <f t="shared" si="66"/>
        <v>492</v>
      </c>
      <c r="W270" s="13" t="str">
        <f t="shared" si="56"/>
        <v>EC</v>
      </c>
      <c r="X270" s="13">
        <f t="shared" si="57"/>
        <v>982</v>
      </c>
      <c r="Y270" s="13" t="str">
        <f t="shared" si="60"/>
        <v>D6</v>
      </c>
      <c r="Z270" s="119"/>
      <c r="AA270" s="119"/>
      <c r="AB270" s="119"/>
      <c r="AC270" s="119"/>
      <c r="AD270" s="119"/>
      <c r="AE270" s="119"/>
      <c r="AF270" s="119"/>
      <c r="AG270" s="119"/>
      <c r="AH270" s="119"/>
      <c r="AJ270" s="64"/>
      <c r="AK270" s="64" t="s">
        <v>2274</v>
      </c>
    </row>
    <row r="271" spans="2:37" ht="16.5" customHeight="1">
      <c r="B271" s="12" t="s">
        <v>1927</v>
      </c>
      <c r="C271" s="12" t="str">
        <f t="shared" si="63"/>
        <v>FF02E0A7000089</v>
      </c>
      <c r="D271" s="60" t="s">
        <v>17</v>
      </c>
      <c r="E271" s="60" t="s">
        <v>15</v>
      </c>
      <c r="F271" s="60" t="s">
        <v>1958</v>
      </c>
      <c r="G271" s="60" t="s">
        <v>16</v>
      </c>
      <c r="H271" s="60" t="s">
        <v>16</v>
      </c>
      <c r="I271" s="12" t="str">
        <f t="shared" ref="I271:I334" si="67">W271</f>
        <v>89</v>
      </c>
      <c r="J271" s="12"/>
      <c r="K271" s="12"/>
      <c r="L271" s="12"/>
      <c r="M271" s="12"/>
      <c r="N271" s="12"/>
      <c r="O271" s="12"/>
      <c r="P271" s="12"/>
      <c r="Q271" s="13">
        <f t="shared" si="65"/>
        <v>2</v>
      </c>
      <c r="R271" s="13">
        <f t="shared" si="65"/>
        <v>224</v>
      </c>
      <c r="S271" s="13">
        <f t="shared" si="65"/>
        <v>167</v>
      </c>
      <c r="T271" s="13">
        <f t="shared" si="64"/>
        <v>0</v>
      </c>
      <c r="U271" s="13">
        <f t="shared" si="51"/>
        <v>0</v>
      </c>
      <c r="V271" s="13">
        <f t="shared" si="66"/>
        <v>393</v>
      </c>
      <c r="W271" s="13" t="str">
        <f t="shared" ref="W271:W334" si="68">REPT("0",2-LEN(RIGHT(DEC2HEX(V271), 2)))&amp;RIGHT(DEC2HEX(V271), 2)</f>
        <v>89</v>
      </c>
      <c r="X271" s="13">
        <f t="shared" ref="X271:X334" si="69">SUM(R271:W271)</f>
        <v>784</v>
      </c>
      <c r="Y271" s="13" t="str">
        <f t="shared" si="60"/>
        <v>10</v>
      </c>
      <c r="Z271" s="119"/>
      <c r="AA271" s="119"/>
      <c r="AB271" s="119"/>
      <c r="AC271" s="119"/>
      <c r="AD271" s="119"/>
      <c r="AE271" s="119"/>
      <c r="AF271" s="119"/>
      <c r="AG271" s="119"/>
      <c r="AH271" s="119"/>
      <c r="AJ271" s="64"/>
      <c r="AK271" s="64" t="s">
        <v>2275</v>
      </c>
    </row>
    <row r="272" spans="2:37" ht="17.25">
      <c r="B272" s="12" t="s">
        <v>1928</v>
      </c>
      <c r="C272" s="12" t="str">
        <f t="shared" si="63"/>
        <v>FF02E0A700018A</v>
      </c>
      <c r="D272" s="60" t="s">
        <v>17</v>
      </c>
      <c r="E272" s="60" t="s">
        <v>15</v>
      </c>
      <c r="F272" s="60" t="s">
        <v>1958</v>
      </c>
      <c r="G272" s="60" t="s">
        <v>16</v>
      </c>
      <c r="H272" s="60" t="s">
        <v>24</v>
      </c>
      <c r="I272" s="12" t="str">
        <f t="shared" si="67"/>
        <v>8A</v>
      </c>
      <c r="J272" s="12"/>
      <c r="K272" s="12"/>
      <c r="L272" s="12"/>
      <c r="M272" s="12"/>
      <c r="N272" s="12"/>
      <c r="O272" s="12"/>
      <c r="P272" s="12"/>
      <c r="Q272" s="13">
        <f t="shared" si="65"/>
        <v>2</v>
      </c>
      <c r="R272" s="13">
        <f t="shared" si="65"/>
        <v>224</v>
      </c>
      <c r="S272" s="13">
        <f t="shared" si="65"/>
        <v>167</v>
      </c>
      <c r="T272" s="13">
        <f t="shared" si="64"/>
        <v>0</v>
      </c>
      <c r="U272" s="13">
        <f t="shared" si="51"/>
        <v>1</v>
      </c>
      <c r="V272" s="13">
        <f t="shared" si="66"/>
        <v>394</v>
      </c>
      <c r="W272" s="13" t="str">
        <f t="shared" si="68"/>
        <v>8A</v>
      </c>
      <c r="X272" s="13">
        <f t="shared" si="69"/>
        <v>786</v>
      </c>
      <c r="Y272" s="13" t="str">
        <f t="shared" si="60"/>
        <v>12</v>
      </c>
      <c r="Z272" s="119"/>
      <c r="AA272" s="119"/>
      <c r="AB272" s="119"/>
      <c r="AC272" s="119"/>
      <c r="AD272" s="119"/>
      <c r="AE272" s="119"/>
      <c r="AF272" s="119"/>
      <c r="AG272" s="119"/>
      <c r="AH272" s="119"/>
      <c r="AJ272" s="64"/>
      <c r="AK272" s="64" t="s">
        <v>2276</v>
      </c>
    </row>
    <row r="273" spans="2:37" ht="17.25">
      <c r="B273" s="12" t="s">
        <v>1929</v>
      </c>
      <c r="C273" s="12" t="str">
        <f t="shared" si="63"/>
        <v>FF02E0A800008A</v>
      </c>
      <c r="D273" s="60" t="s">
        <v>17</v>
      </c>
      <c r="E273" s="60" t="s">
        <v>15</v>
      </c>
      <c r="F273" s="60" t="s">
        <v>1725</v>
      </c>
      <c r="G273" s="60" t="s">
        <v>16</v>
      </c>
      <c r="H273" s="60" t="s">
        <v>16</v>
      </c>
      <c r="I273" s="12" t="str">
        <f t="shared" si="67"/>
        <v>8A</v>
      </c>
      <c r="J273" s="12"/>
      <c r="K273" s="12"/>
      <c r="L273" s="12"/>
      <c r="M273" s="12"/>
      <c r="N273" s="12"/>
      <c r="O273" s="12"/>
      <c r="P273" s="12"/>
      <c r="Q273" s="13">
        <f t="shared" si="65"/>
        <v>2</v>
      </c>
      <c r="R273" s="13">
        <f t="shared" si="65"/>
        <v>224</v>
      </c>
      <c r="S273" s="13">
        <f t="shared" si="65"/>
        <v>168</v>
      </c>
      <c r="T273" s="13">
        <f t="shared" si="64"/>
        <v>0</v>
      </c>
      <c r="U273" s="13">
        <f t="shared" si="64"/>
        <v>0</v>
      </c>
      <c r="V273" s="13">
        <f t="shared" si="66"/>
        <v>394</v>
      </c>
      <c r="W273" s="13" t="str">
        <f t="shared" si="68"/>
        <v>8A</v>
      </c>
      <c r="X273" s="13">
        <f t="shared" si="69"/>
        <v>786</v>
      </c>
      <c r="Y273" s="13" t="str">
        <f t="shared" si="60"/>
        <v>12</v>
      </c>
      <c r="Z273" s="119"/>
      <c r="AA273" s="119"/>
      <c r="AB273" s="119"/>
      <c r="AC273" s="119"/>
      <c r="AD273" s="119"/>
      <c r="AE273" s="119"/>
      <c r="AF273" s="119"/>
      <c r="AG273" s="119"/>
      <c r="AH273" s="119"/>
      <c r="AJ273" s="64"/>
      <c r="AK273" s="64" t="s">
        <v>2277</v>
      </c>
    </row>
    <row r="274" spans="2:37" ht="17.25">
      <c r="B274" s="12" t="s">
        <v>1930</v>
      </c>
      <c r="C274" s="12" t="str">
        <f t="shared" si="63"/>
        <v>FF02E0A800018B</v>
      </c>
      <c r="D274" s="60" t="s">
        <v>17</v>
      </c>
      <c r="E274" s="60" t="s">
        <v>15</v>
      </c>
      <c r="F274" s="60" t="s">
        <v>1725</v>
      </c>
      <c r="G274" s="60" t="s">
        <v>16</v>
      </c>
      <c r="H274" s="60" t="s">
        <v>24</v>
      </c>
      <c r="I274" s="12" t="str">
        <f t="shared" si="67"/>
        <v>8B</v>
      </c>
      <c r="J274" s="12"/>
      <c r="K274" s="12"/>
      <c r="L274" s="12"/>
      <c r="M274" s="12"/>
      <c r="N274" s="12"/>
      <c r="O274" s="12"/>
      <c r="P274" s="12"/>
      <c r="Q274" s="13">
        <f t="shared" si="65"/>
        <v>2</v>
      </c>
      <c r="R274" s="13">
        <f t="shared" si="65"/>
        <v>224</v>
      </c>
      <c r="S274" s="13">
        <f t="shared" si="65"/>
        <v>168</v>
      </c>
      <c r="T274" s="13">
        <f t="shared" si="64"/>
        <v>0</v>
      </c>
      <c r="U274" s="13">
        <f t="shared" si="64"/>
        <v>1</v>
      </c>
      <c r="V274" s="13">
        <f t="shared" si="66"/>
        <v>395</v>
      </c>
      <c r="W274" s="13" t="str">
        <f t="shared" si="68"/>
        <v>8B</v>
      </c>
      <c r="X274" s="13">
        <f t="shared" si="69"/>
        <v>788</v>
      </c>
      <c r="Y274" s="13" t="str">
        <f t="shared" si="60"/>
        <v>14</v>
      </c>
      <c r="Z274" s="119"/>
      <c r="AA274" s="119"/>
      <c r="AB274" s="119"/>
      <c r="AC274" s="119"/>
      <c r="AD274" s="119"/>
      <c r="AE274" s="119"/>
      <c r="AF274" s="119"/>
      <c r="AG274" s="119"/>
      <c r="AH274" s="119"/>
      <c r="AJ274" s="64"/>
      <c r="AK274" s="64" t="s">
        <v>2278</v>
      </c>
    </row>
    <row r="275" spans="2:37" ht="17.25">
      <c r="B275" s="12" t="s">
        <v>1931</v>
      </c>
      <c r="C275" s="12" t="str">
        <f t="shared" si="63"/>
        <v>FF02E0A800028C</v>
      </c>
      <c r="D275" s="60" t="s">
        <v>17</v>
      </c>
      <c r="E275" s="60" t="s">
        <v>15</v>
      </c>
      <c r="F275" s="60" t="s">
        <v>1725</v>
      </c>
      <c r="G275" s="60" t="s">
        <v>16</v>
      </c>
      <c r="H275" s="60" t="s">
        <v>17</v>
      </c>
      <c r="I275" s="12" t="str">
        <f t="shared" si="67"/>
        <v>8C</v>
      </c>
      <c r="J275" s="12"/>
      <c r="K275" s="12"/>
      <c r="L275" s="12"/>
      <c r="M275" s="12"/>
      <c r="N275" s="12"/>
      <c r="O275" s="12"/>
      <c r="P275" s="12"/>
      <c r="Q275" s="13">
        <f t="shared" si="65"/>
        <v>2</v>
      </c>
      <c r="R275" s="13">
        <f t="shared" si="65"/>
        <v>224</v>
      </c>
      <c r="S275" s="13">
        <f t="shared" si="65"/>
        <v>168</v>
      </c>
      <c r="T275" s="13">
        <f t="shared" si="64"/>
        <v>0</v>
      </c>
      <c r="U275" s="13">
        <f t="shared" si="64"/>
        <v>2</v>
      </c>
      <c r="V275" s="13">
        <f t="shared" si="66"/>
        <v>396</v>
      </c>
      <c r="W275" s="13" t="str">
        <f t="shared" si="68"/>
        <v>8C</v>
      </c>
      <c r="X275" s="13">
        <f t="shared" si="69"/>
        <v>790</v>
      </c>
      <c r="Y275" s="13" t="str">
        <f t="shared" si="60"/>
        <v>16</v>
      </c>
      <c r="Z275" s="119"/>
      <c r="AA275" s="119"/>
      <c r="AB275" s="119"/>
      <c r="AC275" s="119"/>
      <c r="AD275" s="119"/>
      <c r="AE275" s="119"/>
      <c r="AF275" s="119"/>
      <c r="AG275" s="119"/>
      <c r="AH275" s="119"/>
      <c r="AJ275" s="64"/>
      <c r="AK275" s="64" t="s">
        <v>2279</v>
      </c>
    </row>
    <row r="276" spans="2:37" ht="17.25">
      <c r="B276" s="12" t="s">
        <v>1932</v>
      </c>
      <c r="C276" s="12" t="str">
        <f t="shared" si="63"/>
        <v>FF02E0A800038D</v>
      </c>
      <c r="D276" s="60" t="s">
        <v>17</v>
      </c>
      <c r="E276" s="60" t="s">
        <v>15</v>
      </c>
      <c r="F276" s="60" t="s">
        <v>1725</v>
      </c>
      <c r="G276" s="60" t="s">
        <v>16</v>
      </c>
      <c r="H276" s="60" t="s">
        <v>91</v>
      </c>
      <c r="I276" s="12" t="str">
        <f t="shared" si="67"/>
        <v>8D</v>
      </c>
      <c r="J276" s="12"/>
      <c r="K276" s="12"/>
      <c r="L276" s="12"/>
      <c r="M276" s="12"/>
      <c r="N276" s="12"/>
      <c r="O276" s="12"/>
      <c r="P276" s="12"/>
      <c r="Q276" s="13">
        <f t="shared" si="65"/>
        <v>2</v>
      </c>
      <c r="R276" s="13">
        <f t="shared" si="65"/>
        <v>224</v>
      </c>
      <c r="S276" s="13">
        <f t="shared" si="65"/>
        <v>168</v>
      </c>
      <c r="T276" s="13">
        <f t="shared" si="64"/>
        <v>0</v>
      </c>
      <c r="U276" s="13">
        <f t="shared" si="64"/>
        <v>3</v>
      </c>
      <c r="V276" s="13">
        <f t="shared" si="66"/>
        <v>397</v>
      </c>
      <c r="W276" s="13" t="str">
        <f t="shared" si="68"/>
        <v>8D</v>
      </c>
      <c r="X276" s="13">
        <f t="shared" si="69"/>
        <v>792</v>
      </c>
      <c r="Y276" s="13" t="str">
        <f t="shared" si="60"/>
        <v>18</v>
      </c>
      <c r="Z276" s="119"/>
      <c r="AA276" s="119"/>
      <c r="AB276" s="119"/>
      <c r="AC276" s="119"/>
      <c r="AD276" s="119"/>
      <c r="AE276" s="119"/>
      <c r="AF276" s="119"/>
      <c r="AG276" s="119"/>
      <c r="AH276" s="119"/>
      <c r="AJ276" s="64"/>
      <c r="AK276" s="64" t="s">
        <v>2280</v>
      </c>
    </row>
    <row r="277" spans="2:37" ht="17.25">
      <c r="B277" s="12" t="s">
        <v>1933</v>
      </c>
      <c r="C277" s="12" t="str">
        <f t="shared" si="63"/>
        <v>FF02E0A800048E</v>
      </c>
      <c r="D277" s="60" t="s">
        <v>17</v>
      </c>
      <c r="E277" s="60" t="s">
        <v>15</v>
      </c>
      <c r="F277" s="60" t="s">
        <v>1725</v>
      </c>
      <c r="G277" s="60" t="s">
        <v>16</v>
      </c>
      <c r="H277" s="60" t="s">
        <v>67</v>
      </c>
      <c r="I277" s="12" t="str">
        <f t="shared" si="67"/>
        <v>8E</v>
      </c>
      <c r="J277" s="12"/>
      <c r="K277" s="12"/>
      <c r="L277" s="12"/>
      <c r="M277" s="12"/>
      <c r="N277" s="12"/>
      <c r="O277" s="12"/>
      <c r="P277" s="12"/>
      <c r="Q277" s="13">
        <f t="shared" si="65"/>
        <v>2</v>
      </c>
      <c r="R277" s="13">
        <f t="shared" si="65"/>
        <v>224</v>
      </c>
      <c r="S277" s="13">
        <f t="shared" si="65"/>
        <v>168</v>
      </c>
      <c r="T277" s="13">
        <f t="shared" si="64"/>
        <v>0</v>
      </c>
      <c r="U277" s="13">
        <f t="shared" si="64"/>
        <v>4</v>
      </c>
      <c r="V277" s="13">
        <f t="shared" si="66"/>
        <v>398</v>
      </c>
      <c r="W277" s="13" t="str">
        <f t="shared" si="68"/>
        <v>8E</v>
      </c>
      <c r="X277" s="13">
        <f t="shared" si="69"/>
        <v>794</v>
      </c>
      <c r="Y277" s="13" t="str">
        <f t="shared" si="60"/>
        <v>1A</v>
      </c>
      <c r="Z277" s="119"/>
      <c r="AA277" s="119"/>
      <c r="AB277" s="119"/>
      <c r="AC277" s="119"/>
      <c r="AD277" s="119"/>
      <c r="AE277" s="119"/>
      <c r="AF277" s="119"/>
      <c r="AG277" s="119"/>
      <c r="AH277" s="119"/>
      <c r="AJ277" s="64"/>
      <c r="AK277" s="64" t="s">
        <v>2281</v>
      </c>
    </row>
    <row r="278" spans="2:37" ht="17.25">
      <c r="B278" s="12" t="s">
        <v>1934</v>
      </c>
      <c r="C278" s="12" t="str">
        <f t="shared" si="63"/>
        <v>FF02E0A800058F</v>
      </c>
      <c r="D278" s="60" t="s">
        <v>17</v>
      </c>
      <c r="E278" s="60" t="s">
        <v>15</v>
      </c>
      <c r="F278" s="60" t="s">
        <v>1725</v>
      </c>
      <c r="G278" s="60" t="s">
        <v>16</v>
      </c>
      <c r="H278" s="60" t="s">
        <v>92</v>
      </c>
      <c r="I278" s="12" t="str">
        <f t="shared" si="67"/>
        <v>8F</v>
      </c>
      <c r="J278" s="12"/>
      <c r="K278" s="12"/>
      <c r="L278" s="12"/>
      <c r="M278" s="12"/>
      <c r="N278" s="12"/>
      <c r="O278" s="12"/>
      <c r="P278" s="12"/>
      <c r="Q278" s="13">
        <f t="shared" si="65"/>
        <v>2</v>
      </c>
      <c r="R278" s="13">
        <f t="shared" si="65"/>
        <v>224</v>
      </c>
      <c r="S278" s="13">
        <f t="shared" si="65"/>
        <v>168</v>
      </c>
      <c r="T278" s="13">
        <f t="shared" si="64"/>
        <v>0</v>
      </c>
      <c r="U278" s="13">
        <f t="shared" si="64"/>
        <v>5</v>
      </c>
      <c r="V278" s="13">
        <f t="shared" si="66"/>
        <v>399</v>
      </c>
      <c r="W278" s="13" t="str">
        <f t="shared" si="68"/>
        <v>8F</v>
      </c>
      <c r="X278" s="13">
        <f t="shared" si="69"/>
        <v>796</v>
      </c>
      <c r="Y278" s="13" t="str">
        <f t="shared" si="60"/>
        <v>1C</v>
      </c>
      <c r="Z278" s="119"/>
      <c r="AA278" s="119"/>
      <c r="AB278" s="119"/>
      <c r="AC278" s="119"/>
      <c r="AD278" s="119"/>
      <c r="AE278" s="119"/>
      <c r="AF278" s="119"/>
      <c r="AG278" s="119"/>
      <c r="AH278" s="119"/>
      <c r="AJ278" s="64"/>
      <c r="AK278" s="64" t="s">
        <v>2282</v>
      </c>
    </row>
    <row r="279" spans="2:37" ht="17.25">
      <c r="B279" s="12" t="s">
        <v>1935</v>
      </c>
      <c r="C279" s="12" t="str">
        <f t="shared" si="63"/>
        <v>FF02E0A8000690</v>
      </c>
      <c r="D279" s="60" t="s">
        <v>17</v>
      </c>
      <c r="E279" s="60" t="s">
        <v>15</v>
      </c>
      <c r="F279" s="60" t="s">
        <v>1725</v>
      </c>
      <c r="G279" s="60" t="s">
        <v>16</v>
      </c>
      <c r="H279" s="60" t="s">
        <v>100</v>
      </c>
      <c r="I279" s="12" t="str">
        <f t="shared" si="67"/>
        <v>90</v>
      </c>
      <c r="J279" s="12"/>
      <c r="K279" s="12"/>
      <c r="L279" s="12"/>
      <c r="M279" s="12"/>
      <c r="N279" s="12"/>
      <c r="O279" s="12"/>
      <c r="P279" s="12"/>
      <c r="Q279" s="13">
        <f t="shared" si="65"/>
        <v>2</v>
      </c>
      <c r="R279" s="13">
        <f t="shared" si="65"/>
        <v>224</v>
      </c>
      <c r="S279" s="13">
        <f t="shared" si="65"/>
        <v>168</v>
      </c>
      <c r="T279" s="13">
        <f t="shared" si="64"/>
        <v>0</v>
      </c>
      <c r="U279" s="13">
        <f t="shared" si="64"/>
        <v>6</v>
      </c>
      <c r="V279" s="13">
        <f t="shared" si="66"/>
        <v>400</v>
      </c>
      <c r="W279" s="13" t="str">
        <f t="shared" si="68"/>
        <v>90</v>
      </c>
      <c r="X279" s="13">
        <f t="shared" si="69"/>
        <v>798</v>
      </c>
      <c r="Y279" s="13" t="str">
        <f t="shared" si="60"/>
        <v>1E</v>
      </c>
      <c r="Z279" s="119"/>
      <c r="AA279" s="119"/>
      <c r="AB279" s="119"/>
      <c r="AC279" s="119"/>
      <c r="AD279" s="119"/>
      <c r="AE279" s="119"/>
      <c r="AF279" s="119"/>
      <c r="AG279" s="119"/>
      <c r="AH279" s="119"/>
      <c r="AJ279" s="64"/>
      <c r="AK279" s="64" t="s">
        <v>2283</v>
      </c>
    </row>
    <row r="280" spans="2:37" ht="17.25">
      <c r="B280" s="12" t="s">
        <v>1936</v>
      </c>
      <c r="C280" s="12" t="str">
        <f t="shared" si="63"/>
        <v>FF02E0A8000791</v>
      </c>
      <c r="D280" s="60" t="s">
        <v>17</v>
      </c>
      <c r="E280" s="60" t="s">
        <v>15</v>
      </c>
      <c r="F280" s="60" t="s">
        <v>1725</v>
      </c>
      <c r="G280" s="60" t="s">
        <v>16</v>
      </c>
      <c r="H280" s="60" t="s">
        <v>101</v>
      </c>
      <c r="I280" s="12" t="str">
        <f t="shared" si="67"/>
        <v>91</v>
      </c>
      <c r="J280" s="12"/>
      <c r="K280" s="12"/>
      <c r="L280" s="12"/>
      <c r="M280" s="12"/>
      <c r="N280" s="12"/>
      <c r="O280" s="12"/>
      <c r="P280" s="12"/>
      <c r="Q280" s="13">
        <f t="shared" si="65"/>
        <v>2</v>
      </c>
      <c r="R280" s="13">
        <f t="shared" si="65"/>
        <v>224</v>
      </c>
      <c r="S280" s="13">
        <f t="shared" si="65"/>
        <v>168</v>
      </c>
      <c r="T280" s="13">
        <f t="shared" si="64"/>
        <v>0</v>
      </c>
      <c r="U280" s="13">
        <f t="shared" si="64"/>
        <v>7</v>
      </c>
      <c r="V280" s="13">
        <f t="shared" si="66"/>
        <v>401</v>
      </c>
      <c r="W280" s="13" t="str">
        <f t="shared" si="68"/>
        <v>91</v>
      </c>
      <c r="X280" s="13">
        <f t="shared" si="69"/>
        <v>800</v>
      </c>
      <c r="Y280" s="13" t="str">
        <f t="shared" si="60"/>
        <v>20</v>
      </c>
      <c r="Z280" s="119"/>
      <c r="AA280" s="119"/>
      <c r="AB280" s="119"/>
      <c r="AC280" s="119"/>
      <c r="AD280" s="119"/>
      <c r="AE280" s="119"/>
      <c r="AF280" s="119"/>
      <c r="AG280" s="119"/>
      <c r="AH280" s="119"/>
      <c r="AJ280" s="64"/>
      <c r="AK280" s="64" t="s">
        <v>2284</v>
      </c>
    </row>
    <row r="281" spans="2:37" ht="17.25">
      <c r="B281" s="12" t="s">
        <v>1937</v>
      </c>
      <c r="C281" s="12" t="str">
        <f t="shared" si="63"/>
        <v>FF02E0A8000892</v>
      </c>
      <c r="D281" s="60" t="s">
        <v>17</v>
      </c>
      <c r="E281" s="60" t="s">
        <v>15</v>
      </c>
      <c r="F281" s="60" t="s">
        <v>1725</v>
      </c>
      <c r="G281" s="60" t="s">
        <v>16</v>
      </c>
      <c r="H281" s="60" t="s">
        <v>1268</v>
      </c>
      <c r="I281" s="12" t="str">
        <f t="shared" si="67"/>
        <v>92</v>
      </c>
      <c r="J281" s="12"/>
      <c r="K281" s="12"/>
      <c r="L281" s="12"/>
      <c r="M281" s="12"/>
      <c r="N281" s="12"/>
      <c r="O281" s="12"/>
      <c r="P281" s="12"/>
      <c r="Q281" s="13">
        <f t="shared" si="65"/>
        <v>2</v>
      </c>
      <c r="R281" s="13">
        <f t="shared" si="65"/>
        <v>224</v>
      </c>
      <c r="S281" s="13">
        <f t="shared" si="65"/>
        <v>168</v>
      </c>
      <c r="T281" s="13">
        <f t="shared" si="64"/>
        <v>0</v>
      </c>
      <c r="U281" s="13">
        <f t="shared" si="64"/>
        <v>8</v>
      </c>
      <c r="V281" s="13">
        <f t="shared" si="66"/>
        <v>402</v>
      </c>
      <c r="W281" s="13" t="str">
        <f t="shared" si="68"/>
        <v>92</v>
      </c>
      <c r="X281" s="13">
        <f t="shared" si="69"/>
        <v>802</v>
      </c>
      <c r="Y281" s="13" t="str">
        <f t="shared" ref="Y281:Y344" si="70">REPT("0",2-LEN(RIGHT(DEC2HEX(X281), 2)))&amp;RIGHT(DEC2HEX(X281), 2)</f>
        <v>22</v>
      </c>
      <c r="Z281" s="119"/>
      <c r="AA281" s="119"/>
      <c r="AB281" s="119"/>
      <c r="AC281" s="119"/>
      <c r="AD281" s="119"/>
      <c r="AE281" s="119"/>
      <c r="AF281" s="119"/>
      <c r="AG281" s="119"/>
      <c r="AH281" s="119"/>
      <c r="AJ281" s="64"/>
      <c r="AK281" s="64" t="s">
        <v>2285</v>
      </c>
    </row>
    <row r="282" spans="2:37" ht="17.25">
      <c r="B282" s="12" t="s">
        <v>1938</v>
      </c>
      <c r="C282" s="12" t="str">
        <f t="shared" si="63"/>
        <v>FF02E0A8000993</v>
      </c>
      <c r="D282" s="60" t="s">
        <v>17</v>
      </c>
      <c r="E282" s="60" t="s">
        <v>15</v>
      </c>
      <c r="F282" s="60" t="s">
        <v>1725</v>
      </c>
      <c r="G282" s="60" t="s">
        <v>16</v>
      </c>
      <c r="H282" s="60" t="s">
        <v>1520</v>
      </c>
      <c r="I282" s="12" t="str">
        <f t="shared" si="67"/>
        <v>93</v>
      </c>
      <c r="J282" s="12"/>
      <c r="K282" s="12"/>
      <c r="L282" s="12"/>
      <c r="M282" s="12"/>
      <c r="N282" s="12"/>
      <c r="O282" s="12"/>
      <c r="P282" s="12"/>
      <c r="Q282" s="13">
        <f t="shared" si="65"/>
        <v>2</v>
      </c>
      <c r="R282" s="13">
        <f t="shared" si="65"/>
        <v>224</v>
      </c>
      <c r="S282" s="13">
        <f t="shared" si="65"/>
        <v>168</v>
      </c>
      <c r="T282" s="13">
        <f t="shared" si="64"/>
        <v>0</v>
      </c>
      <c r="U282" s="13">
        <f t="shared" si="64"/>
        <v>9</v>
      </c>
      <c r="V282" s="13">
        <f t="shared" si="66"/>
        <v>403</v>
      </c>
      <c r="W282" s="13" t="str">
        <f t="shared" si="68"/>
        <v>93</v>
      </c>
      <c r="X282" s="13">
        <f t="shared" si="69"/>
        <v>804</v>
      </c>
      <c r="Y282" s="13" t="str">
        <f t="shared" si="70"/>
        <v>24</v>
      </c>
      <c r="Z282" s="119"/>
      <c r="AA282" s="119"/>
      <c r="AB282" s="119"/>
      <c r="AC282" s="119"/>
      <c r="AD282" s="119"/>
      <c r="AE282" s="119"/>
      <c r="AF282" s="119"/>
      <c r="AG282" s="119"/>
      <c r="AH282" s="119"/>
      <c r="AJ282" s="64"/>
      <c r="AK282" s="64" t="s">
        <v>2286</v>
      </c>
    </row>
    <row r="283" spans="2:37" ht="17.25">
      <c r="B283" s="12" t="s">
        <v>1939</v>
      </c>
      <c r="C283" s="12" t="str">
        <f t="shared" si="63"/>
        <v>FF02E0A8000A94</v>
      </c>
      <c r="D283" s="60" t="s">
        <v>17</v>
      </c>
      <c r="E283" s="60" t="s">
        <v>15</v>
      </c>
      <c r="F283" s="60" t="s">
        <v>1725</v>
      </c>
      <c r="G283" s="60" t="s">
        <v>16</v>
      </c>
      <c r="H283" s="60" t="s">
        <v>61</v>
      </c>
      <c r="I283" s="12" t="str">
        <f t="shared" si="67"/>
        <v>94</v>
      </c>
      <c r="J283" s="12"/>
      <c r="K283" s="12"/>
      <c r="L283" s="12"/>
      <c r="M283" s="12"/>
      <c r="N283" s="12"/>
      <c r="O283" s="12"/>
      <c r="P283" s="12"/>
      <c r="Q283" s="13">
        <f t="shared" si="65"/>
        <v>2</v>
      </c>
      <c r="R283" s="13">
        <f t="shared" si="65"/>
        <v>224</v>
      </c>
      <c r="S283" s="13">
        <f t="shared" si="65"/>
        <v>168</v>
      </c>
      <c r="T283" s="13">
        <f t="shared" si="64"/>
        <v>0</v>
      </c>
      <c r="U283" s="13">
        <f t="shared" si="64"/>
        <v>10</v>
      </c>
      <c r="V283" s="13">
        <f t="shared" si="66"/>
        <v>404</v>
      </c>
      <c r="W283" s="13" t="str">
        <f t="shared" si="68"/>
        <v>94</v>
      </c>
      <c r="X283" s="13">
        <f t="shared" si="69"/>
        <v>806</v>
      </c>
      <c r="Y283" s="13" t="str">
        <f t="shared" si="70"/>
        <v>26</v>
      </c>
      <c r="Z283" s="119"/>
      <c r="AA283" s="119"/>
      <c r="AB283" s="119"/>
      <c r="AC283" s="119"/>
      <c r="AD283" s="119"/>
      <c r="AE283" s="119"/>
      <c r="AF283" s="119"/>
      <c r="AG283" s="119"/>
      <c r="AH283" s="119"/>
      <c r="AJ283" s="64"/>
      <c r="AK283" s="64" t="s">
        <v>2287</v>
      </c>
    </row>
    <row r="284" spans="2:37" ht="17.25">
      <c r="B284" s="12" t="s">
        <v>1940</v>
      </c>
      <c r="C284" s="12" t="str">
        <f t="shared" si="63"/>
        <v>FF02E0A8000B95</v>
      </c>
      <c r="D284" s="60" t="s">
        <v>17</v>
      </c>
      <c r="E284" s="60" t="s">
        <v>15</v>
      </c>
      <c r="F284" s="60" t="s">
        <v>1725</v>
      </c>
      <c r="G284" s="60" t="s">
        <v>16</v>
      </c>
      <c r="H284" s="60" t="s">
        <v>1713</v>
      </c>
      <c r="I284" s="12" t="str">
        <f t="shared" si="67"/>
        <v>95</v>
      </c>
      <c r="J284" s="12"/>
      <c r="K284" s="12"/>
      <c r="L284" s="12"/>
      <c r="M284" s="12"/>
      <c r="N284" s="12"/>
      <c r="O284" s="12"/>
      <c r="P284" s="12"/>
      <c r="Q284" s="13">
        <f t="shared" si="65"/>
        <v>2</v>
      </c>
      <c r="R284" s="13">
        <f t="shared" si="65"/>
        <v>224</v>
      </c>
      <c r="S284" s="13">
        <f t="shared" si="65"/>
        <v>168</v>
      </c>
      <c r="T284" s="13">
        <f t="shared" si="64"/>
        <v>0</v>
      </c>
      <c r="U284" s="13">
        <f t="shared" si="64"/>
        <v>11</v>
      </c>
      <c r="V284" s="13">
        <f t="shared" ref="V284:V295" si="71">SUM(Q284:U284)</f>
        <v>405</v>
      </c>
      <c r="W284" s="13" t="str">
        <f t="shared" si="68"/>
        <v>95</v>
      </c>
      <c r="X284" s="13">
        <f t="shared" si="69"/>
        <v>808</v>
      </c>
      <c r="Y284" s="13" t="str">
        <f t="shared" si="70"/>
        <v>28</v>
      </c>
      <c r="Z284" s="119"/>
      <c r="AA284" s="119"/>
      <c r="AB284" s="119"/>
      <c r="AC284" s="119"/>
      <c r="AD284" s="119"/>
      <c r="AE284" s="119"/>
      <c r="AF284" s="119"/>
      <c r="AG284" s="119"/>
      <c r="AH284" s="119"/>
      <c r="AJ284" s="64"/>
      <c r="AK284" s="64" t="s">
        <v>2288</v>
      </c>
    </row>
    <row r="285" spans="2:37" ht="17.25">
      <c r="B285" s="12" t="s">
        <v>1941</v>
      </c>
      <c r="C285" s="12" t="str">
        <f t="shared" si="63"/>
        <v>FF02E0A8000C96</v>
      </c>
      <c r="D285" s="60" t="s">
        <v>17</v>
      </c>
      <c r="E285" s="60" t="s">
        <v>15</v>
      </c>
      <c r="F285" s="60" t="s">
        <v>1725</v>
      </c>
      <c r="G285" s="60" t="s">
        <v>16</v>
      </c>
      <c r="H285" s="60" t="s">
        <v>1394</v>
      </c>
      <c r="I285" s="12" t="str">
        <f t="shared" si="67"/>
        <v>96</v>
      </c>
      <c r="J285" s="12"/>
      <c r="K285" s="12"/>
      <c r="L285" s="12"/>
      <c r="M285" s="12"/>
      <c r="N285" s="12"/>
      <c r="O285" s="12"/>
      <c r="P285" s="12"/>
      <c r="Q285" s="13">
        <f t="shared" si="65"/>
        <v>2</v>
      </c>
      <c r="R285" s="13">
        <f t="shared" si="65"/>
        <v>224</v>
      </c>
      <c r="S285" s="13">
        <f t="shared" si="65"/>
        <v>168</v>
      </c>
      <c r="T285" s="13">
        <f t="shared" si="64"/>
        <v>0</v>
      </c>
      <c r="U285" s="13">
        <f t="shared" si="64"/>
        <v>12</v>
      </c>
      <c r="V285" s="13">
        <f t="shared" si="71"/>
        <v>406</v>
      </c>
      <c r="W285" s="13" t="str">
        <f t="shared" si="68"/>
        <v>96</v>
      </c>
      <c r="X285" s="13">
        <f t="shared" si="69"/>
        <v>810</v>
      </c>
      <c r="Y285" s="13" t="str">
        <f t="shared" si="70"/>
        <v>2A</v>
      </c>
      <c r="Z285" s="119"/>
      <c r="AA285" s="119"/>
      <c r="AB285" s="119"/>
      <c r="AC285" s="119"/>
      <c r="AD285" s="119"/>
      <c r="AE285" s="119"/>
      <c r="AF285" s="119"/>
      <c r="AG285" s="119"/>
      <c r="AH285" s="119"/>
      <c r="AJ285" s="64"/>
      <c r="AK285" s="64" t="s">
        <v>2289</v>
      </c>
    </row>
    <row r="286" spans="2:37" ht="17.25">
      <c r="B286" s="12" t="s">
        <v>1942</v>
      </c>
      <c r="C286" s="12" t="str">
        <f t="shared" si="63"/>
        <v>FF02E0A8000D97</v>
      </c>
      <c r="D286" s="60" t="s">
        <v>17</v>
      </c>
      <c r="E286" s="60" t="s">
        <v>15</v>
      </c>
      <c r="F286" s="60" t="s">
        <v>1725</v>
      </c>
      <c r="G286" s="60" t="s">
        <v>16</v>
      </c>
      <c r="H286" s="60" t="s">
        <v>1959</v>
      </c>
      <c r="I286" s="12" t="str">
        <f t="shared" si="67"/>
        <v>97</v>
      </c>
      <c r="J286" s="12"/>
      <c r="K286" s="12"/>
      <c r="L286" s="12"/>
      <c r="M286" s="12"/>
      <c r="N286" s="12"/>
      <c r="O286" s="12"/>
      <c r="P286" s="12"/>
      <c r="Q286" s="13">
        <f t="shared" si="65"/>
        <v>2</v>
      </c>
      <c r="R286" s="13">
        <f t="shared" si="65"/>
        <v>224</v>
      </c>
      <c r="S286" s="13">
        <f t="shared" si="65"/>
        <v>168</v>
      </c>
      <c r="T286" s="13">
        <f t="shared" si="64"/>
        <v>0</v>
      </c>
      <c r="U286" s="13">
        <f t="shared" si="64"/>
        <v>13</v>
      </c>
      <c r="V286" s="13">
        <f t="shared" si="71"/>
        <v>407</v>
      </c>
      <c r="W286" s="13" t="str">
        <f t="shared" si="68"/>
        <v>97</v>
      </c>
      <c r="X286" s="13">
        <f t="shared" si="69"/>
        <v>812</v>
      </c>
      <c r="Y286" s="13" t="str">
        <f t="shared" si="70"/>
        <v>2C</v>
      </c>
      <c r="Z286" s="119"/>
      <c r="AA286" s="119"/>
      <c r="AB286" s="119"/>
      <c r="AC286" s="119"/>
      <c r="AD286" s="119"/>
      <c r="AE286" s="119"/>
      <c r="AF286" s="119"/>
      <c r="AG286" s="119"/>
      <c r="AH286" s="119"/>
      <c r="AJ286" s="64"/>
      <c r="AK286" s="64" t="s">
        <v>2290</v>
      </c>
    </row>
    <row r="287" spans="2:37" ht="17.25">
      <c r="B287" s="12" t="s">
        <v>1943</v>
      </c>
      <c r="C287" s="12" t="str">
        <f t="shared" si="63"/>
        <v>FF02E0A8000E98</v>
      </c>
      <c r="D287" s="60" t="s">
        <v>17</v>
      </c>
      <c r="E287" s="60" t="s">
        <v>15</v>
      </c>
      <c r="F287" s="60" t="s">
        <v>1725</v>
      </c>
      <c r="G287" s="60" t="s">
        <v>16</v>
      </c>
      <c r="H287" s="60" t="s">
        <v>1960</v>
      </c>
      <c r="I287" s="12" t="str">
        <f t="shared" si="67"/>
        <v>98</v>
      </c>
      <c r="J287" s="12"/>
      <c r="K287" s="12"/>
      <c r="L287" s="12"/>
      <c r="M287" s="12"/>
      <c r="N287" s="12"/>
      <c r="O287" s="12"/>
      <c r="P287" s="12"/>
      <c r="Q287" s="13">
        <f t="shared" si="65"/>
        <v>2</v>
      </c>
      <c r="R287" s="13">
        <f t="shared" si="65"/>
        <v>224</v>
      </c>
      <c r="S287" s="13">
        <f t="shared" si="65"/>
        <v>168</v>
      </c>
      <c r="T287" s="13">
        <f t="shared" si="64"/>
        <v>0</v>
      </c>
      <c r="U287" s="13">
        <f t="shared" si="64"/>
        <v>14</v>
      </c>
      <c r="V287" s="13">
        <f t="shared" si="71"/>
        <v>408</v>
      </c>
      <c r="W287" s="13" t="str">
        <f t="shared" si="68"/>
        <v>98</v>
      </c>
      <c r="X287" s="13">
        <f t="shared" si="69"/>
        <v>814</v>
      </c>
      <c r="Y287" s="13" t="str">
        <f t="shared" si="70"/>
        <v>2E</v>
      </c>
      <c r="Z287" s="119"/>
      <c r="AA287" s="119"/>
      <c r="AB287" s="119"/>
      <c r="AC287" s="119"/>
      <c r="AD287" s="119"/>
      <c r="AE287" s="119"/>
      <c r="AF287" s="119"/>
      <c r="AG287" s="119"/>
      <c r="AH287" s="119"/>
      <c r="AJ287" s="64"/>
      <c r="AK287" s="64" t="s">
        <v>2291</v>
      </c>
    </row>
    <row r="288" spans="2:37" ht="17.25">
      <c r="B288" s="12" t="s">
        <v>1944</v>
      </c>
      <c r="C288" s="12" t="str">
        <f t="shared" si="63"/>
        <v>FF02E0A8000F99</v>
      </c>
      <c r="D288" s="60" t="s">
        <v>17</v>
      </c>
      <c r="E288" s="60" t="s">
        <v>15</v>
      </c>
      <c r="F288" s="60" t="s">
        <v>1725</v>
      </c>
      <c r="G288" s="60" t="s">
        <v>16</v>
      </c>
      <c r="H288" s="60" t="s">
        <v>78</v>
      </c>
      <c r="I288" s="12" t="str">
        <f t="shared" si="67"/>
        <v>99</v>
      </c>
      <c r="J288" s="12"/>
      <c r="K288" s="12"/>
      <c r="L288" s="12"/>
      <c r="M288" s="12"/>
      <c r="N288" s="12"/>
      <c r="O288" s="12"/>
      <c r="P288" s="12"/>
      <c r="Q288" s="13">
        <f t="shared" si="65"/>
        <v>2</v>
      </c>
      <c r="R288" s="13">
        <f t="shared" si="65"/>
        <v>224</v>
      </c>
      <c r="S288" s="13">
        <f t="shared" si="65"/>
        <v>168</v>
      </c>
      <c r="T288" s="13">
        <f t="shared" si="64"/>
        <v>0</v>
      </c>
      <c r="U288" s="13">
        <f t="shared" si="64"/>
        <v>15</v>
      </c>
      <c r="V288" s="13">
        <f t="shared" si="71"/>
        <v>409</v>
      </c>
      <c r="W288" s="13" t="str">
        <f t="shared" si="68"/>
        <v>99</v>
      </c>
      <c r="X288" s="13">
        <f t="shared" si="69"/>
        <v>816</v>
      </c>
      <c r="Y288" s="13" t="str">
        <f t="shared" si="70"/>
        <v>30</v>
      </c>
      <c r="Z288" s="119"/>
      <c r="AA288" s="119"/>
      <c r="AB288" s="119"/>
      <c r="AC288" s="119"/>
      <c r="AD288" s="119"/>
      <c r="AE288" s="119"/>
      <c r="AF288" s="119"/>
      <c r="AG288" s="119"/>
      <c r="AH288" s="119"/>
      <c r="AJ288" s="64"/>
      <c r="AK288" s="64" t="s">
        <v>2292</v>
      </c>
    </row>
    <row r="289" spans="2:37" ht="17.25">
      <c r="B289" s="12" t="s">
        <v>1945</v>
      </c>
      <c r="C289" s="12" t="str">
        <f t="shared" si="63"/>
        <v>FF02E0A800109A</v>
      </c>
      <c r="D289" s="60" t="s">
        <v>17</v>
      </c>
      <c r="E289" s="60" t="s">
        <v>15</v>
      </c>
      <c r="F289" s="60" t="s">
        <v>1725</v>
      </c>
      <c r="G289" s="60" t="s">
        <v>16</v>
      </c>
      <c r="H289" s="60" t="s">
        <v>109</v>
      </c>
      <c r="I289" s="12" t="str">
        <f t="shared" si="67"/>
        <v>9A</v>
      </c>
      <c r="J289" s="12"/>
      <c r="K289" s="12"/>
      <c r="L289" s="12"/>
      <c r="M289" s="12"/>
      <c r="N289" s="12"/>
      <c r="O289" s="12"/>
      <c r="P289" s="12"/>
      <c r="Q289" s="13">
        <f t="shared" si="65"/>
        <v>2</v>
      </c>
      <c r="R289" s="13">
        <f t="shared" si="65"/>
        <v>224</v>
      </c>
      <c r="S289" s="13">
        <f t="shared" si="65"/>
        <v>168</v>
      </c>
      <c r="T289" s="13">
        <f t="shared" si="64"/>
        <v>0</v>
      </c>
      <c r="U289" s="13">
        <f t="shared" si="64"/>
        <v>16</v>
      </c>
      <c r="V289" s="13">
        <f t="shared" si="71"/>
        <v>410</v>
      </c>
      <c r="W289" s="13" t="str">
        <f t="shared" si="68"/>
        <v>9A</v>
      </c>
      <c r="X289" s="13">
        <f t="shared" si="69"/>
        <v>818</v>
      </c>
      <c r="Y289" s="13" t="str">
        <f t="shared" si="70"/>
        <v>32</v>
      </c>
      <c r="Z289" s="119"/>
      <c r="AA289" s="119"/>
      <c r="AB289" s="119"/>
      <c r="AC289" s="119"/>
      <c r="AD289" s="119"/>
      <c r="AE289" s="119"/>
      <c r="AF289" s="119"/>
      <c r="AG289" s="119"/>
      <c r="AH289" s="119"/>
      <c r="AJ289" s="64"/>
      <c r="AK289" s="64" t="s">
        <v>2293</v>
      </c>
    </row>
    <row r="290" spans="2:37" ht="17.25">
      <c r="B290" s="12" t="s">
        <v>1946</v>
      </c>
      <c r="C290" s="12" t="str">
        <f t="shared" si="63"/>
        <v>FF02E0A800119B</v>
      </c>
      <c r="D290" s="60" t="s">
        <v>17</v>
      </c>
      <c r="E290" s="60" t="s">
        <v>15</v>
      </c>
      <c r="F290" s="60" t="s">
        <v>1725</v>
      </c>
      <c r="G290" s="60" t="s">
        <v>16</v>
      </c>
      <c r="H290" s="60" t="s">
        <v>110</v>
      </c>
      <c r="I290" s="12" t="str">
        <f t="shared" si="67"/>
        <v>9B</v>
      </c>
      <c r="J290" s="12"/>
      <c r="K290" s="12"/>
      <c r="L290" s="12"/>
      <c r="M290" s="12"/>
      <c r="N290" s="12"/>
      <c r="O290" s="12"/>
      <c r="P290" s="12"/>
      <c r="Q290" s="13">
        <f t="shared" si="65"/>
        <v>2</v>
      </c>
      <c r="R290" s="13">
        <f t="shared" si="65"/>
        <v>224</v>
      </c>
      <c r="S290" s="13">
        <f t="shared" si="65"/>
        <v>168</v>
      </c>
      <c r="T290" s="13">
        <f t="shared" si="64"/>
        <v>0</v>
      </c>
      <c r="U290" s="13">
        <f t="shared" si="64"/>
        <v>17</v>
      </c>
      <c r="V290" s="13">
        <f t="shared" si="71"/>
        <v>411</v>
      </c>
      <c r="W290" s="13" t="str">
        <f t="shared" si="68"/>
        <v>9B</v>
      </c>
      <c r="X290" s="13">
        <f t="shared" si="69"/>
        <v>820</v>
      </c>
      <c r="Y290" s="13" t="str">
        <f t="shared" si="70"/>
        <v>34</v>
      </c>
      <c r="Z290" s="119"/>
      <c r="AA290" s="119"/>
      <c r="AB290" s="119"/>
      <c r="AC290" s="119"/>
      <c r="AD290" s="119"/>
      <c r="AE290" s="119"/>
      <c r="AF290" s="119"/>
      <c r="AG290" s="119"/>
      <c r="AH290" s="119"/>
      <c r="AJ290" s="64"/>
      <c r="AK290" s="64" t="s">
        <v>2294</v>
      </c>
    </row>
    <row r="291" spans="2:37" ht="17.25">
      <c r="B291" s="12" t="s">
        <v>1947</v>
      </c>
      <c r="C291" s="12" t="str">
        <f t="shared" si="63"/>
        <v>FF02E0A800129C</v>
      </c>
      <c r="D291" s="60" t="s">
        <v>17</v>
      </c>
      <c r="E291" s="60" t="s">
        <v>15</v>
      </c>
      <c r="F291" s="60" t="s">
        <v>1725</v>
      </c>
      <c r="G291" s="60" t="s">
        <v>16</v>
      </c>
      <c r="H291" s="60" t="s">
        <v>111</v>
      </c>
      <c r="I291" s="12" t="str">
        <f t="shared" si="67"/>
        <v>9C</v>
      </c>
      <c r="J291" s="12"/>
      <c r="K291" s="12"/>
      <c r="L291" s="12"/>
      <c r="M291" s="12"/>
      <c r="N291" s="12"/>
      <c r="O291" s="12"/>
      <c r="P291" s="12"/>
      <c r="Q291" s="13">
        <f t="shared" si="65"/>
        <v>2</v>
      </c>
      <c r="R291" s="13">
        <f t="shared" si="65"/>
        <v>224</v>
      </c>
      <c r="S291" s="13">
        <f t="shared" si="65"/>
        <v>168</v>
      </c>
      <c r="T291" s="13">
        <f t="shared" si="64"/>
        <v>0</v>
      </c>
      <c r="U291" s="13">
        <f t="shared" si="64"/>
        <v>18</v>
      </c>
      <c r="V291" s="13">
        <f t="shared" si="71"/>
        <v>412</v>
      </c>
      <c r="W291" s="13" t="str">
        <f t="shared" si="68"/>
        <v>9C</v>
      </c>
      <c r="X291" s="13">
        <f t="shared" si="69"/>
        <v>822</v>
      </c>
      <c r="Y291" s="13" t="str">
        <f t="shared" si="70"/>
        <v>36</v>
      </c>
      <c r="Z291" s="119"/>
      <c r="AA291" s="119"/>
      <c r="AB291" s="119"/>
      <c r="AC291" s="119"/>
      <c r="AD291" s="119"/>
      <c r="AE291" s="119"/>
      <c r="AF291" s="119"/>
      <c r="AG291" s="119"/>
      <c r="AH291" s="119"/>
      <c r="AJ291" s="64"/>
      <c r="AK291" s="64" t="s">
        <v>2295</v>
      </c>
    </row>
    <row r="292" spans="2:37" ht="17.25">
      <c r="B292" s="12" t="s">
        <v>1948</v>
      </c>
      <c r="C292" s="12" t="str">
        <f t="shared" si="63"/>
        <v>FF02E0A800139D</v>
      </c>
      <c r="D292" s="60" t="s">
        <v>17</v>
      </c>
      <c r="E292" s="60" t="s">
        <v>15</v>
      </c>
      <c r="F292" s="60" t="s">
        <v>1725</v>
      </c>
      <c r="G292" s="60" t="s">
        <v>16</v>
      </c>
      <c r="H292" s="60" t="s">
        <v>116</v>
      </c>
      <c r="I292" s="12" t="str">
        <f t="shared" si="67"/>
        <v>9D</v>
      </c>
      <c r="J292" s="12"/>
      <c r="K292" s="12"/>
      <c r="L292" s="12"/>
      <c r="M292" s="12"/>
      <c r="N292" s="12"/>
      <c r="O292" s="12"/>
      <c r="P292" s="12"/>
      <c r="Q292" s="13">
        <f t="shared" si="65"/>
        <v>2</v>
      </c>
      <c r="R292" s="13">
        <f t="shared" si="65"/>
        <v>224</v>
      </c>
      <c r="S292" s="13">
        <f t="shared" si="65"/>
        <v>168</v>
      </c>
      <c r="T292" s="13">
        <f t="shared" si="64"/>
        <v>0</v>
      </c>
      <c r="U292" s="13">
        <f t="shared" si="64"/>
        <v>19</v>
      </c>
      <c r="V292" s="13">
        <f t="shared" si="71"/>
        <v>413</v>
      </c>
      <c r="W292" s="13" t="str">
        <f t="shared" si="68"/>
        <v>9D</v>
      </c>
      <c r="X292" s="13">
        <f t="shared" si="69"/>
        <v>824</v>
      </c>
      <c r="Y292" s="13" t="str">
        <f t="shared" si="70"/>
        <v>38</v>
      </c>
      <c r="Z292" s="119"/>
      <c r="AA292" s="119"/>
      <c r="AB292" s="119"/>
      <c r="AC292" s="119"/>
      <c r="AD292" s="119"/>
      <c r="AE292" s="119"/>
      <c r="AF292" s="119"/>
      <c r="AG292" s="119"/>
      <c r="AH292" s="119"/>
      <c r="AJ292" s="64"/>
      <c r="AK292" s="64" t="s">
        <v>2296</v>
      </c>
    </row>
    <row r="293" spans="2:37" ht="17.25">
      <c r="B293" s="12" t="s">
        <v>1949</v>
      </c>
      <c r="C293" s="12" t="str">
        <f t="shared" si="63"/>
        <v>FF02E0A800149E</v>
      </c>
      <c r="D293" s="60" t="s">
        <v>17</v>
      </c>
      <c r="E293" s="60" t="s">
        <v>15</v>
      </c>
      <c r="F293" s="60" t="s">
        <v>1725</v>
      </c>
      <c r="G293" s="60" t="s">
        <v>16</v>
      </c>
      <c r="H293" s="60" t="s">
        <v>62</v>
      </c>
      <c r="I293" s="12" t="str">
        <f t="shared" si="67"/>
        <v>9E</v>
      </c>
      <c r="J293" s="12"/>
      <c r="K293" s="12"/>
      <c r="L293" s="12"/>
      <c r="M293" s="12"/>
      <c r="N293" s="12"/>
      <c r="O293" s="12"/>
      <c r="P293" s="12"/>
      <c r="Q293" s="13">
        <f t="shared" si="65"/>
        <v>2</v>
      </c>
      <c r="R293" s="13">
        <f t="shared" si="65"/>
        <v>224</v>
      </c>
      <c r="S293" s="13">
        <f t="shared" si="65"/>
        <v>168</v>
      </c>
      <c r="T293" s="13">
        <f t="shared" si="64"/>
        <v>0</v>
      </c>
      <c r="U293" s="13">
        <f t="shared" si="64"/>
        <v>20</v>
      </c>
      <c r="V293" s="13">
        <f t="shared" si="71"/>
        <v>414</v>
      </c>
      <c r="W293" s="13" t="str">
        <f t="shared" si="68"/>
        <v>9E</v>
      </c>
      <c r="X293" s="13">
        <f t="shared" si="69"/>
        <v>826</v>
      </c>
      <c r="Y293" s="13" t="str">
        <f t="shared" si="70"/>
        <v>3A</v>
      </c>
      <c r="Z293" s="119"/>
      <c r="AA293" s="119"/>
      <c r="AB293" s="119"/>
      <c r="AC293" s="119"/>
      <c r="AD293" s="119"/>
      <c r="AE293" s="119"/>
      <c r="AF293" s="119"/>
      <c r="AG293" s="119"/>
      <c r="AH293" s="119"/>
      <c r="AJ293" s="64"/>
      <c r="AK293" s="64" t="s">
        <v>2297</v>
      </c>
    </row>
    <row r="294" spans="2:37" ht="17.25">
      <c r="B294" s="12" t="s">
        <v>1950</v>
      </c>
      <c r="C294" s="12" t="str">
        <f t="shared" si="63"/>
        <v>FF02E0A800159F</v>
      </c>
      <c r="D294" s="60" t="s">
        <v>17</v>
      </c>
      <c r="E294" s="60" t="s">
        <v>15</v>
      </c>
      <c r="F294" s="60" t="s">
        <v>1725</v>
      </c>
      <c r="G294" s="60" t="s">
        <v>16</v>
      </c>
      <c r="H294" s="60" t="s">
        <v>123</v>
      </c>
      <c r="I294" s="12" t="str">
        <f t="shared" si="67"/>
        <v>9F</v>
      </c>
      <c r="J294" s="12"/>
      <c r="K294" s="12"/>
      <c r="L294" s="12"/>
      <c r="M294" s="12"/>
      <c r="N294" s="12"/>
      <c r="O294" s="12"/>
      <c r="P294" s="12"/>
      <c r="Q294" s="13">
        <f t="shared" si="65"/>
        <v>2</v>
      </c>
      <c r="R294" s="13">
        <f t="shared" si="65"/>
        <v>224</v>
      </c>
      <c r="S294" s="13">
        <f t="shared" si="65"/>
        <v>168</v>
      </c>
      <c r="T294" s="13">
        <f t="shared" si="64"/>
        <v>0</v>
      </c>
      <c r="U294" s="13">
        <f t="shared" si="64"/>
        <v>21</v>
      </c>
      <c r="V294" s="13">
        <f t="shared" si="71"/>
        <v>415</v>
      </c>
      <c r="W294" s="13" t="str">
        <f t="shared" si="68"/>
        <v>9F</v>
      </c>
      <c r="X294" s="13">
        <f t="shared" si="69"/>
        <v>828</v>
      </c>
      <c r="Y294" s="13" t="str">
        <f t="shared" si="70"/>
        <v>3C</v>
      </c>
      <c r="Z294" s="119"/>
      <c r="AA294" s="119"/>
      <c r="AB294" s="119"/>
      <c r="AC294" s="119"/>
      <c r="AD294" s="119"/>
      <c r="AE294" s="119"/>
      <c r="AF294" s="119"/>
      <c r="AG294" s="119"/>
      <c r="AH294" s="119"/>
      <c r="AJ294" s="64"/>
      <c r="AK294" s="64" t="s">
        <v>2298</v>
      </c>
    </row>
    <row r="295" spans="2:37" ht="17.25">
      <c r="B295" s="12" t="s">
        <v>1951</v>
      </c>
      <c r="C295" s="12" t="str">
        <f t="shared" si="63"/>
        <v>FF02E0A80016A0</v>
      </c>
      <c r="D295" s="60" t="s">
        <v>17</v>
      </c>
      <c r="E295" s="60" t="s">
        <v>15</v>
      </c>
      <c r="F295" s="60" t="s">
        <v>1725</v>
      </c>
      <c r="G295" s="60" t="s">
        <v>16</v>
      </c>
      <c r="H295" s="60" t="s">
        <v>127</v>
      </c>
      <c r="I295" s="12" t="str">
        <f t="shared" si="67"/>
        <v>A0</v>
      </c>
      <c r="J295" s="12"/>
      <c r="K295" s="12"/>
      <c r="L295" s="12"/>
      <c r="M295" s="12"/>
      <c r="N295" s="12"/>
      <c r="O295" s="12"/>
      <c r="P295" s="12"/>
      <c r="Q295" s="13">
        <f t="shared" si="65"/>
        <v>2</v>
      </c>
      <c r="R295" s="13">
        <f t="shared" si="65"/>
        <v>224</v>
      </c>
      <c r="S295" s="13">
        <f t="shared" si="65"/>
        <v>168</v>
      </c>
      <c r="T295" s="13">
        <f t="shared" si="64"/>
        <v>0</v>
      </c>
      <c r="U295" s="13">
        <f t="shared" si="64"/>
        <v>22</v>
      </c>
      <c r="V295" s="13">
        <f t="shared" si="71"/>
        <v>416</v>
      </c>
      <c r="W295" s="13" t="str">
        <f t="shared" si="68"/>
        <v>A0</v>
      </c>
      <c r="X295" s="13">
        <f t="shared" si="69"/>
        <v>830</v>
      </c>
      <c r="Y295" s="13" t="str">
        <f t="shared" si="70"/>
        <v>3E</v>
      </c>
      <c r="Z295" s="119"/>
      <c r="AA295" s="119"/>
      <c r="AB295" s="119"/>
      <c r="AC295" s="119"/>
      <c r="AD295" s="119"/>
      <c r="AE295" s="119"/>
      <c r="AF295" s="119"/>
      <c r="AG295" s="119"/>
      <c r="AH295" s="119"/>
      <c r="AJ295" s="64"/>
      <c r="AK295" s="64" t="s">
        <v>2299</v>
      </c>
    </row>
    <row r="296" spans="2:37" s="115" customFormat="1" ht="16.5" customHeight="1">
      <c r="B296" s="112" t="s">
        <v>1863</v>
      </c>
      <c r="C296" s="112" t="s">
        <v>1614</v>
      </c>
      <c r="D296" s="113" t="s">
        <v>91</v>
      </c>
      <c r="E296" s="113"/>
      <c r="F296" s="113"/>
      <c r="G296" s="113"/>
      <c r="H296" s="113"/>
      <c r="I296" s="112" t="str">
        <f t="shared" si="67"/>
        <v>03</v>
      </c>
      <c r="J296" s="112"/>
      <c r="K296" s="112"/>
      <c r="L296" s="112"/>
      <c r="M296" s="112"/>
      <c r="N296" s="112"/>
      <c r="O296" s="112"/>
      <c r="P296" s="112"/>
      <c r="Q296" s="114">
        <f t="shared" si="65"/>
        <v>3</v>
      </c>
      <c r="R296" s="114">
        <f t="shared" si="65"/>
        <v>0</v>
      </c>
      <c r="S296" s="114">
        <f t="shared" si="65"/>
        <v>0</v>
      </c>
      <c r="T296" s="114">
        <f t="shared" si="64"/>
        <v>0</v>
      </c>
      <c r="U296" s="114">
        <f t="shared" si="64"/>
        <v>0</v>
      </c>
      <c r="V296" s="114">
        <f t="shared" si="62"/>
        <v>3</v>
      </c>
      <c r="W296" s="114" t="str">
        <f t="shared" si="68"/>
        <v>03</v>
      </c>
      <c r="X296" s="114">
        <f t="shared" si="69"/>
        <v>3</v>
      </c>
      <c r="Y296" s="114" t="str">
        <f t="shared" si="70"/>
        <v>03</v>
      </c>
      <c r="Z296" s="118"/>
      <c r="AA296" s="118"/>
      <c r="AB296" s="118"/>
      <c r="AC296" s="118"/>
      <c r="AD296" s="118"/>
      <c r="AE296" s="118"/>
      <c r="AF296" s="118"/>
      <c r="AG296" s="118"/>
      <c r="AH296" s="118"/>
      <c r="AJ296" s="116"/>
      <c r="AK296" s="116" t="s">
        <v>1613</v>
      </c>
    </row>
    <row r="297" spans="2:37" ht="16.5" customHeight="1">
      <c r="B297" s="111" t="s">
        <v>1864</v>
      </c>
      <c r="C297" s="111" t="str">
        <f t="shared" ref="C297:C340" si="72">"FF"&amp;D297&amp;E297&amp;""&amp;F297&amp;G297&amp;H297&amp;I297</f>
        <v>FF03E130000014</v>
      </c>
      <c r="D297" s="60" t="s">
        <v>91</v>
      </c>
      <c r="E297" s="60" t="s">
        <v>161</v>
      </c>
      <c r="F297" s="60" t="s">
        <v>172</v>
      </c>
      <c r="G297" s="60" t="s">
        <v>16</v>
      </c>
      <c r="H297" s="60" t="s">
        <v>16</v>
      </c>
      <c r="I297" s="12" t="str">
        <f t="shared" si="67"/>
        <v>14</v>
      </c>
      <c r="J297" s="12"/>
      <c r="K297" s="12"/>
      <c r="L297" s="12"/>
      <c r="M297" s="12"/>
      <c r="N297" s="12"/>
      <c r="O297" s="12"/>
      <c r="P297" s="12"/>
      <c r="Q297" s="13">
        <f t="shared" si="65"/>
        <v>3</v>
      </c>
      <c r="R297" s="13">
        <f t="shared" si="65"/>
        <v>225</v>
      </c>
      <c r="S297" s="13">
        <f t="shared" si="65"/>
        <v>48</v>
      </c>
      <c r="T297" s="13">
        <f t="shared" si="64"/>
        <v>0</v>
      </c>
      <c r="U297" s="13">
        <f t="shared" si="64"/>
        <v>0</v>
      </c>
      <c r="V297" s="13">
        <f t="shared" si="62"/>
        <v>276</v>
      </c>
      <c r="W297" s="13" t="str">
        <f t="shared" si="68"/>
        <v>14</v>
      </c>
      <c r="X297" s="13">
        <f t="shared" si="69"/>
        <v>549</v>
      </c>
      <c r="Y297" s="13" t="str">
        <f t="shared" si="70"/>
        <v>25</v>
      </c>
      <c r="Z297" s="119"/>
      <c r="AA297" s="119"/>
      <c r="AB297" s="119"/>
      <c r="AC297" s="119"/>
      <c r="AD297" s="119"/>
      <c r="AE297" s="119"/>
      <c r="AF297" s="119"/>
      <c r="AG297" s="119"/>
      <c r="AH297" s="119"/>
      <c r="AJ297" s="64"/>
      <c r="AK297" s="64" t="s">
        <v>2300</v>
      </c>
    </row>
    <row r="298" spans="2:37" ht="16.5" customHeight="1">
      <c r="B298" s="12" t="s">
        <v>1865</v>
      </c>
      <c r="C298" s="12" t="str">
        <f t="shared" si="72"/>
        <v>FF03E031000115</v>
      </c>
      <c r="D298" s="60" t="s">
        <v>91</v>
      </c>
      <c r="E298" s="60" t="s">
        <v>15</v>
      </c>
      <c r="F298" s="60" t="s">
        <v>1906</v>
      </c>
      <c r="G298" s="60" t="s">
        <v>16</v>
      </c>
      <c r="H298" s="60" t="s">
        <v>24</v>
      </c>
      <c r="I298" s="12" t="str">
        <f t="shared" si="67"/>
        <v>15</v>
      </c>
      <c r="J298" s="12"/>
      <c r="K298" s="12"/>
      <c r="L298" s="12"/>
      <c r="M298" s="12"/>
      <c r="N298" s="12"/>
      <c r="O298" s="12"/>
      <c r="P298" s="12"/>
      <c r="Q298" s="13">
        <f t="shared" si="65"/>
        <v>3</v>
      </c>
      <c r="R298" s="13">
        <f t="shared" si="65"/>
        <v>224</v>
      </c>
      <c r="S298" s="13">
        <f t="shared" si="65"/>
        <v>49</v>
      </c>
      <c r="T298" s="13">
        <f t="shared" si="64"/>
        <v>0</v>
      </c>
      <c r="U298" s="13">
        <f t="shared" si="64"/>
        <v>1</v>
      </c>
      <c r="V298" s="13">
        <f t="shared" si="62"/>
        <v>277</v>
      </c>
      <c r="W298" s="13" t="str">
        <f t="shared" si="68"/>
        <v>15</v>
      </c>
      <c r="X298" s="13">
        <f t="shared" si="69"/>
        <v>551</v>
      </c>
      <c r="Y298" s="13" t="str">
        <f t="shared" si="70"/>
        <v>27</v>
      </c>
      <c r="Z298" s="119"/>
      <c r="AA298" s="119"/>
      <c r="AB298" s="119"/>
      <c r="AC298" s="119"/>
      <c r="AD298" s="119"/>
      <c r="AE298" s="119"/>
      <c r="AF298" s="119"/>
      <c r="AG298" s="119"/>
      <c r="AH298" s="119"/>
      <c r="AJ298" s="64"/>
      <c r="AK298" s="64" t="s">
        <v>2301</v>
      </c>
    </row>
    <row r="299" spans="2:37" ht="16.5" customHeight="1">
      <c r="B299" s="12" t="s">
        <v>1867</v>
      </c>
      <c r="C299" s="12" t="str">
        <f t="shared" si="72"/>
        <v>FF03E031000216</v>
      </c>
      <c r="D299" s="60" t="s">
        <v>91</v>
      </c>
      <c r="E299" s="60" t="s">
        <v>15</v>
      </c>
      <c r="F299" s="60" t="s">
        <v>1906</v>
      </c>
      <c r="G299" s="60" t="s">
        <v>16</v>
      </c>
      <c r="H299" s="60" t="s">
        <v>17</v>
      </c>
      <c r="I299" s="12" t="str">
        <f t="shared" si="67"/>
        <v>16</v>
      </c>
      <c r="J299" s="12"/>
      <c r="K299" s="12"/>
      <c r="L299" s="12"/>
      <c r="M299" s="12"/>
      <c r="N299" s="12"/>
      <c r="O299" s="12"/>
      <c r="P299" s="12"/>
      <c r="Q299" s="13">
        <f t="shared" si="65"/>
        <v>3</v>
      </c>
      <c r="R299" s="13">
        <f t="shared" si="65"/>
        <v>224</v>
      </c>
      <c r="S299" s="13">
        <f t="shared" si="65"/>
        <v>49</v>
      </c>
      <c r="T299" s="13">
        <f t="shared" si="64"/>
        <v>0</v>
      </c>
      <c r="U299" s="13">
        <f t="shared" si="64"/>
        <v>2</v>
      </c>
      <c r="V299" s="13">
        <f t="shared" si="62"/>
        <v>278</v>
      </c>
      <c r="W299" s="13" t="str">
        <f t="shared" si="68"/>
        <v>16</v>
      </c>
      <c r="X299" s="13">
        <f t="shared" si="69"/>
        <v>553</v>
      </c>
      <c r="Y299" s="13" t="str">
        <f t="shared" si="70"/>
        <v>29</v>
      </c>
      <c r="Z299" s="119"/>
      <c r="AA299" s="119"/>
      <c r="AB299" s="119"/>
      <c r="AC299" s="119"/>
      <c r="AD299" s="119"/>
      <c r="AE299" s="119"/>
      <c r="AF299" s="119"/>
      <c r="AG299" s="119"/>
      <c r="AH299" s="119"/>
      <c r="AJ299" s="64"/>
      <c r="AK299" s="64" t="s">
        <v>2302</v>
      </c>
    </row>
    <row r="300" spans="2:37" ht="16.5" customHeight="1">
      <c r="B300" s="12" t="s">
        <v>1866</v>
      </c>
      <c r="C300" s="12" t="str">
        <f t="shared" si="72"/>
        <v>FF03E031000317</v>
      </c>
      <c r="D300" s="60" t="s">
        <v>91</v>
      </c>
      <c r="E300" s="60" t="s">
        <v>15</v>
      </c>
      <c r="F300" s="60" t="s">
        <v>1906</v>
      </c>
      <c r="G300" s="60" t="s">
        <v>16</v>
      </c>
      <c r="H300" s="60" t="s">
        <v>91</v>
      </c>
      <c r="I300" s="12" t="str">
        <f t="shared" si="67"/>
        <v>17</v>
      </c>
      <c r="J300" s="12"/>
      <c r="K300" s="12"/>
      <c r="L300" s="12"/>
      <c r="M300" s="12"/>
      <c r="N300" s="12"/>
      <c r="O300" s="12"/>
      <c r="P300" s="12"/>
      <c r="Q300" s="13">
        <f t="shared" si="65"/>
        <v>3</v>
      </c>
      <c r="R300" s="13">
        <f t="shared" si="65"/>
        <v>224</v>
      </c>
      <c r="S300" s="13">
        <f t="shared" si="65"/>
        <v>49</v>
      </c>
      <c r="T300" s="13">
        <f t="shared" si="64"/>
        <v>0</v>
      </c>
      <c r="U300" s="13">
        <f t="shared" si="64"/>
        <v>3</v>
      </c>
      <c r="V300" s="13">
        <f t="shared" ref="V300:V335" si="73">SUM(Q300:U300)</f>
        <v>279</v>
      </c>
      <c r="W300" s="13" t="str">
        <f t="shared" si="68"/>
        <v>17</v>
      </c>
      <c r="X300" s="13">
        <f t="shared" si="69"/>
        <v>555</v>
      </c>
      <c r="Y300" s="13" t="str">
        <f t="shared" si="70"/>
        <v>2B</v>
      </c>
      <c r="Z300" s="119"/>
      <c r="AA300" s="119"/>
      <c r="AB300" s="119"/>
      <c r="AC300" s="119"/>
      <c r="AD300" s="119"/>
      <c r="AE300" s="119"/>
      <c r="AF300" s="119"/>
      <c r="AG300" s="119"/>
      <c r="AH300" s="119"/>
      <c r="AJ300" s="64"/>
      <c r="AK300" s="64" t="s">
        <v>2303</v>
      </c>
    </row>
    <row r="301" spans="2:37" ht="17.25">
      <c r="B301" s="12" t="s">
        <v>1868</v>
      </c>
      <c r="C301" s="12" t="str">
        <f t="shared" si="72"/>
        <v>FF03E03200051A</v>
      </c>
      <c r="D301" s="60" t="s">
        <v>91</v>
      </c>
      <c r="E301" s="60" t="s">
        <v>15</v>
      </c>
      <c r="F301" s="60" t="s">
        <v>1330</v>
      </c>
      <c r="G301" s="60" t="s">
        <v>16</v>
      </c>
      <c r="H301" s="60" t="s">
        <v>92</v>
      </c>
      <c r="I301" s="12" t="str">
        <f t="shared" si="67"/>
        <v>1A</v>
      </c>
      <c r="J301" s="12"/>
      <c r="K301" s="12"/>
      <c r="L301" s="12"/>
      <c r="M301" s="12"/>
      <c r="N301" s="12"/>
      <c r="O301" s="12"/>
      <c r="P301" s="12"/>
      <c r="Q301" s="13">
        <f t="shared" si="65"/>
        <v>3</v>
      </c>
      <c r="R301" s="13">
        <f t="shared" si="65"/>
        <v>224</v>
      </c>
      <c r="S301" s="13">
        <f t="shared" si="65"/>
        <v>50</v>
      </c>
      <c r="T301" s="13">
        <f t="shared" si="64"/>
        <v>0</v>
      </c>
      <c r="U301" s="13">
        <f t="shared" si="64"/>
        <v>5</v>
      </c>
      <c r="V301" s="13">
        <f t="shared" si="73"/>
        <v>282</v>
      </c>
      <c r="W301" s="13" t="str">
        <f t="shared" si="68"/>
        <v>1A</v>
      </c>
      <c r="X301" s="13">
        <f t="shared" si="69"/>
        <v>561</v>
      </c>
      <c r="Y301" s="13" t="str">
        <f t="shared" si="70"/>
        <v>31</v>
      </c>
      <c r="Z301" s="119"/>
      <c r="AA301" s="119"/>
      <c r="AB301" s="119"/>
      <c r="AC301" s="119"/>
      <c r="AD301" s="119"/>
      <c r="AE301" s="119"/>
      <c r="AF301" s="119"/>
      <c r="AG301" s="119"/>
      <c r="AH301" s="119"/>
      <c r="AJ301" s="64"/>
      <c r="AK301" s="64" t="s">
        <v>2304</v>
      </c>
    </row>
    <row r="302" spans="2:37" ht="17.25">
      <c r="B302" s="12" t="s">
        <v>1869</v>
      </c>
      <c r="C302" s="12" t="str">
        <f t="shared" si="72"/>
        <v>FF03E032003C51</v>
      </c>
      <c r="D302" s="60" t="s">
        <v>91</v>
      </c>
      <c r="E302" s="60" t="s">
        <v>15</v>
      </c>
      <c r="F302" s="60" t="s">
        <v>1330</v>
      </c>
      <c r="G302" s="60" t="s">
        <v>16</v>
      </c>
      <c r="H302" s="60" t="s">
        <v>1325</v>
      </c>
      <c r="I302" s="12" t="str">
        <f t="shared" si="67"/>
        <v>51</v>
      </c>
      <c r="J302" s="12"/>
      <c r="K302" s="12"/>
      <c r="L302" s="12"/>
      <c r="M302" s="12"/>
      <c r="N302" s="12"/>
      <c r="O302" s="12"/>
      <c r="P302" s="12"/>
      <c r="Q302" s="13">
        <f t="shared" si="65"/>
        <v>3</v>
      </c>
      <c r="R302" s="13">
        <f t="shared" si="65"/>
        <v>224</v>
      </c>
      <c r="S302" s="13">
        <f t="shared" si="65"/>
        <v>50</v>
      </c>
      <c r="T302" s="13">
        <f t="shared" si="64"/>
        <v>0</v>
      </c>
      <c r="U302" s="13">
        <f t="shared" si="64"/>
        <v>60</v>
      </c>
      <c r="V302" s="13">
        <f t="shared" si="73"/>
        <v>337</v>
      </c>
      <c r="W302" s="13" t="str">
        <f t="shared" si="68"/>
        <v>51</v>
      </c>
      <c r="X302" s="13">
        <f t="shared" si="69"/>
        <v>671</v>
      </c>
      <c r="Y302" s="13" t="str">
        <f t="shared" si="70"/>
        <v>9F</v>
      </c>
      <c r="Z302" s="119"/>
      <c r="AA302" s="119"/>
      <c r="AB302" s="119"/>
      <c r="AC302" s="119"/>
      <c r="AD302" s="119"/>
      <c r="AE302" s="119"/>
      <c r="AF302" s="119"/>
      <c r="AG302" s="119"/>
      <c r="AH302" s="119"/>
      <c r="AJ302" s="64"/>
      <c r="AK302" s="64" t="s">
        <v>2305</v>
      </c>
    </row>
    <row r="303" spans="2:37" ht="16.5" customHeight="1">
      <c r="B303" s="12" t="s">
        <v>1870</v>
      </c>
      <c r="C303" s="12" t="str">
        <f t="shared" si="72"/>
        <v>FF03E033000016</v>
      </c>
      <c r="D303" s="60" t="s">
        <v>91</v>
      </c>
      <c r="E303" s="60" t="s">
        <v>15</v>
      </c>
      <c r="F303" s="60" t="s">
        <v>1853</v>
      </c>
      <c r="G303" s="60" t="s">
        <v>16</v>
      </c>
      <c r="H303" s="60" t="s">
        <v>16</v>
      </c>
      <c r="I303" s="12" t="str">
        <f t="shared" si="67"/>
        <v>16</v>
      </c>
      <c r="J303" s="12"/>
      <c r="K303" s="12"/>
      <c r="L303" s="12"/>
      <c r="M303" s="12"/>
      <c r="N303" s="12"/>
      <c r="O303" s="12"/>
      <c r="P303" s="12"/>
      <c r="Q303" s="13">
        <f t="shared" si="65"/>
        <v>3</v>
      </c>
      <c r="R303" s="13">
        <f t="shared" si="65"/>
        <v>224</v>
      </c>
      <c r="S303" s="13">
        <f t="shared" si="65"/>
        <v>51</v>
      </c>
      <c r="T303" s="13">
        <f t="shared" si="64"/>
        <v>0</v>
      </c>
      <c r="U303" s="13">
        <f t="shared" si="64"/>
        <v>0</v>
      </c>
      <c r="V303" s="13">
        <f t="shared" si="73"/>
        <v>278</v>
      </c>
      <c r="W303" s="13" t="str">
        <f t="shared" si="68"/>
        <v>16</v>
      </c>
      <c r="X303" s="13">
        <f t="shared" si="69"/>
        <v>553</v>
      </c>
      <c r="Y303" s="13" t="str">
        <f t="shared" si="70"/>
        <v>29</v>
      </c>
      <c r="Z303" s="119"/>
      <c r="AA303" s="119"/>
      <c r="AB303" s="119"/>
      <c r="AC303" s="119"/>
      <c r="AD303" s="119"/>
      <c r="AE303" s="119"/>
      <c r="AF303" s="119"/>
      <c r="AG303" s="119"/>
      <c r="AH303" s="119"/>
      <c r="AJ303" s="64"/>
      <c r="AK303" s="64" t="s">
        <v>2306</v>
      </c>
    </row>
    <row r="304" spans="2:37" ht="16.5" customHeight="1">
      <c r="B304" s="12" t="s">
        <v>1871</v>
      </c>
      <c r="C304" s="12" t="str">
        <f t="shared" si="72"/>
        <v>FF03E033000117</v>
      </c>
      <c r="D304" s="60" t="s">
        <v>91</v>
      </c>
      <c r="E304" s="60" t="s">
        <v>15</v>
      </c>
      <c r="F304" s="60" t="s">
        <v>1853</v>
      </c>
      <c r="G304" s="60" t="s">
        <v>16</v>
      </c>
      <c r="H304" s="60" t="s">
        <v>24</v>
      </c>
      <c r="I304" s="12" t="str">
        <f t="shared" si="67"/>
        <v>17</v>
      </c>
      <c r="J304" s="12"/>
      <c r="K304" s="12"/>
      <c r="L304" s="12"/>
      <c r="M304" s="12"/>
      <c r="N304" s="12"/>
      <c r="O304" s="12"/>
      <c r="P304" s="12"/>
      <c r="Q304" s="13">
        <f t="shared" si="65"/>
        <v>3</v>
      </c>
      <c r="R304" s="13">
        <f t="shared" si="65"/>
        <v>224</v>
      </c>
      <c r="S304" s="13">
        <f t="shared" si="65"/>
        <v>51</v>
      </c>
      <c r="T304" s="13">
        <f t="shared" si="64"/>
        <v>0</v>
      </c>
      <c r="U304" s="13">
        <f t="shared" si="64"/>
        <v>1</v>
      </c>
      <c r="V304" s="13">
        <f t="shared" si="73"/>
        <v>279</v>
      </c>
      <c r="W304" s="13" t="str">
        <f t="shared" si="68"/>
        <v>17</v>
      </c>
      <c r="X304" s="13">
        <f t="shared" si="69"/>
        <v>555</v>
      </c>
      <c r="Y304" s="13" t="str">
        <f t="shared" si="70"/>
        <v>2B</v>
      </c>
      <c r="Z304" s="119"/>
      <c r="AA304" s="119"/>
      <c r="AB304" s="119"/>
      <c r="AC304" s="119"/>
      <c r="AD304" s="119"/>
      <c r="AE304" s="119"/>
      <c r="AF304" s="119"/>
      <c r="AG304" s="119"/>
      <c r="AH304" s="119"/>
      <c r="AJ304" s="64"/>
      <c r="AK304" s="64" t="s">
        <v>2307</v>
      </c>
    </row>
    <row r="305" spans="2:37" ht="16.5" customHeight="1">
      <c r="B305" s="12" t="s">
        <v>1872</v>
      </c>
      <c r="C305" s="12" t="str">
        <f t="shared" si="72"/>
        <v>FF03E033000218</v>
      </c>
      <c r="D305" s="60" t="s">
        <v>91</v>
      </c>
      <c r="E305" s="60" t="s">
        <v>15</v>
      </c>
      <c r="F305" s="60" t="s">
        <v>1853</v>
      </c>
      <c r="G305" s="60" t="s">
        <v>16</v>
      </c>
      <c r="H305" s="60" t="s">
        <v>17</v>
      </c>
      <c r="I305" s="12" t="str">
        <f t="shared" si="67"/>
        <v>18</v>
      </c>
      <c r="J305" s="12"/>
      <c r="K305" s="12"/>
      <c r="L305" s="12"/>
      <c r="M305" s="12"/>
      <c r="N305" s="12"/>
      <c r="O305" s="12"/>
      <c r="P305" s="12"/>
      <c r="Q305" s="13">
        <f t="shared" si="65"/>
        <v>3</v>
      </c>
      <c r="R305" s="13">
        <f t="shared" si="65"/>
        <v>224</v>
      </c>
      <c r="S305" s="13">
        <f t="shared" si="65"/>
        <v>51</v>
      </c>
      <c r="T305" s="13">
        <f t="shared" si="64"/>
        <v>0</v>
      </c>
      <c r="U305" s="13">
        <f t="shared" si="64"/>
        <v>2</v>
      </c>
      <c r="V305" s="13">
        <f t="shared" si="73"/>
        <v>280</v>
      </c>
      <c r="W305" s="13" t="str">
        <f t="shared" si="68"/>
        <v>18</v>
      </c>
      <c r="X305" s="13">
        <f t="shared" si="69"/>
        <v>557</v>
      </c>
      <c r="Y305" s="13" t="str">
        <f t="shared" si="70"/>
        <v>2D</v>
      </c>
      <c r="Z305" s="119"/>
      <c r="AA305" s="119"/>
      <c r="AB305" s="119"/>
      <c r="AC305" s="119"/>
      <c r="AD305" s="119"/>
      <c r="AE305" s="119"/>
      <c r="AF305" s="119"/>
      <c r="AG305" s="119"/>
      <c r="AH305" s="119"/>
      <c r="AJ305" s="64"/>
      <c r="AK305" s="64" t="s">
        <v>2308</v>
      </c>
    </row>
    <row r="306" spans="2:37" ht="17.25">
      <c r="B306" s="12" t="s">
        <v>1873</v>
      </c>
      <c r="C306" s="12" t="str">
        <f t="shared" si="72"/>
        <v>FF03E033000319</v>
      </c>
      <c r="D306" s="60" t="s">
        <v>91</v>
      </c>
      <c r="E306" s="60" t="s">
        <v>15</v>
      </c>
      <c r="F306" s="60" t="s">
        <v>1853</v>
      </c>
      <c r="G306" s="60" t="s">
        <v>16</v>
      </c>
      <c r="H306" s="60" t="s">
        <v>91</v>
      </c>
      <c r="I306" s="12" t="str">
        <f t="shared" si="67"/>
        <v>19</v>
      </c>
      <c r="J306" s="12"/>
      <c r="K306" s="12"/>
      <c r="L306" s="12"/>
      <c r="M306" s="12"/>
      <c r="N306" s="12"/>
      <c r="O306" s="12"/>
      <c r="P306" s="12"/>
      <c r="Q306" s="13">
        <f t="shared" si="65"/>
        <v>3</v>
      </c>
      <c r="R306" s="13">
        <f t="shared" si="65"/>
        <v>224</v>
      </c>
      <c r="S306" s="13">
        <f t="shared" si="65"/>
        <v>51</v>
      </c>
      <c r="T306" s="13">
        <f t="shared" si="64"/>
        <v>0</v>
      </c>
      <c r="U306" s="13">
        <f t="shared" si="64"/>
        <v>3</v>
      </c>
      <c r="V306" s="13">
        <f t="shared" si="73"/>
        <v>281</v>
      </c>
      <c r="W306" s="13" t="str">
        <f t="shared" si="68"/>
        <v>19</v>
      </c>
      <c r="X306" s="13">
        <f t="shared" si="69"/>
        <v>559</v>
      </c>
      <c r="Y306" s="13" t="str">
        <f t="shared" si="70"/>
        <v>2F</v>
      </c>
      <c r="Z306" s="119"/>
      <c r="AA306" s="119"/>
      <c r="AB306" s="119"/>
      <c r="AC306" s="119"/>
      <c r="AD306" s="119"/>
      <c r="AE306" s="119"/>
      <c r="AF306" s="119"/>
      <c r="AG306" s="119"/>
      <c r="AH306" s="119"/>
      <c r="AJ306" s="64"/>
      <c r="AK306" s="64" t="s">
        <v>2309</v>
      </c>
    </row>
    <row r="307" spans="2:37" ht="17.25">
      <c r="B307" s="12" t="s">
        <v>1874</v>
      </c>
      <c r="C307" s="12" t="str">
        <f t="shared" si="72"/>
        <v>FF03E03300041A</v>
      </c>
      <c r="D307" s="60" t="s">
        <v>91</v>
      </c>
      <c r="E307" s="60" t="s">
        <v>15</v>
      </c>
      <c r="F307" s="60" t="s">
        <v>1853</v>
      </c>
      <c r="G307" s="60" t="s">
        <v>16</v>
      </c>
      <c r="H307" s="60" t="s">
        <v>67</v>
      </c>
      <c r="I307" s="12" t="str">
        <f t="shared" si="67"/>
        <v>1A</v>
      </c>
      <c r="J307" s="12"/>
      <c r="K307" s="12"/>
      <c r="L307" s="12"/>
      <c r="M307" s="12"/>
      <c r="N307" s="12"/>
      <c r="O307" s="12"/>
      <c r="P307" s="12"/>
      <c r="Q307" s="13">
        <f t="shared" si="65"/>
        <v>3</v>
      </c>
      <c r="R307" s="13">
        <f t="shared" si="65"/>
        <v>224</v>
      </c>
      <c r="S307" s="13">
        <f t="shared" si="65"/>
        <v>51</v>
      </c>
      <c r="T307" s="13">
        <f t="shared" si="64"/>
        <v>0</v>
      </c>
      <c r="U307" s="13">
        <f t="shared" si="64"/>
        <v>4</v>
      </c>
      <c r="V307" s="13">
        <f t="shared" si="73"/>
        <v>282</v>
      </c>
      <c r="W307" s="13" t="str">
        <f t="shared" si="68"/>
        <v>1A</v>
      </c>
      <c r="X307" s="13">
        <f t="shared" si="69"/>
        <v>561</v>
      </c>
      <c r="Y307" s="13" t="str">
        <f t="shared" si="70"/>
        <v>31</v>
      </c>
      <c r="Z307" s="119"/>
      <c r="AA307" s="119"/>
      <c r="AB307" s="119"/>
      <c r="AC307" s="119"/>
      <c r="AD307" s="119"/>
      <c r="AE307" s="119"/>
      <c r="AF307" s="119"/>
      <c r="AG307" s="119"/>
      <c r="AH307" s="119"/>
      <c r="AJ307" s="64"/>
      <c r="AK307" s="64" t="s">
        <v>2310</v>
      </c>
    </row>
    <row r="308" spans="2:37" ht="17.25">
      <c r="B308" s="12" t="s">
        <v>1875</v>
      </c>
      <c r="C308" s="12" t="str">
        <f t="shared" si="72"/>
        <v>FF03E03300051B</v>
      </c>
      <c r="D308" s="60" t="s">
        <v>91</v>
      </c>
      <c r="E308" s="60" t="s">
        <v>15</v>
      </c>
      <c r="F308" s="60" t="s">
        <v>1853</v>
      </c>
      <c r="G308" s="60" t="s">
        <v>16</v>
      </c>
      <c r="H308" s="60" t="s">
        <v>92</v>
      </c>
      <c r="I308" s="12" t="str">
        <f t="shared" si="67"/>
        <v>1B</v>
      </c>
      <c r="J308" s="12"/>
      <c r="K308" s="12"/>
      <c r="L308" s="12"/>
      <c r="M308" s="12"/>
      <c r="N308" s="12"/>
      <c r="O308" s="12"/>
      <c r="P308" s="12"/>
      <c r="Q308" s="13">
        <f t="shared" si="65"/>
        <v>3</v>
      </c>
      <c r="R308" s="13">
        <f t="shared" si="65"/>
        <v>224</v>
      </c>
      <c r="S308" s="13">
        <f t="shared" si="65"/>
        <v>51</v>
      </c>
      <c r="T308" s="13">
        <f t="shared" si="64"/>
        <v>0</v>
      </c>
      <c r="U308" s="13">
        <f t="shared" si="64"/>
        <v>5</v>
      </c>
      <c r="V308" s="13">
        <f t="shared" si="73"/>
        <v>283</v>
      </c>
      <c r="W308" s="13" t="str">
        <f t="shared" si="68"/>
        <v>1B</v>
      </c>
      <c r="X308" s="13">
        <f t="shared" si="69"/>
        <v>563</v>
      </c>
      <c r="Y308" s="13" t="str">
        <f t="shared" si="70"/>
        <v>33</v>
      </c>
      <c r="Z308" s="119"/>
      <c r="AA308" s="119"/>
      <c r="AB308" s="119"/>
      <c r="AC308" s="119"/>
      <c r="AD308" s="119"/>
      <c r="AE308" s="119"/>
      <c r="AF308" s="119"/>
      <c r="AG308" s="119"/>
      <c r="AH308" s="119"/>
      <c r="AJ308" s="64"/>
      <c r="AK308" s="64" t="s">
        <v>2311</v>
      </c>
    </row>
    <row r="309" spans="2:37" ht="17.25">
      <c r="B309" s="12" t="s">
        <v>1876</v>
      </c>
      <c r="C309" s="12" t="str">
        <f t="shared" si="72"/>
        <v>FF03E03300061C</v>
      </c>
      <c r="D309" s="60" t="s">
        <v>91</v>
      </c>
      <c r="E309" s="60" t="s">
        <v>15</v>
      </c>
      <c r="F309" s="60" t="s">
        <v>1853</v>
      </c>
      <c r="G309" s="60" t="s">
        <v>16</v>
      </c>
      <c r="H309" s="60" t="s">
        <v>100</v>
      </c>
      <c r="I309" s="12" t="str">
        <f t="shared" si="67"/>
        <v>1C</v>
      </c>
      <c r="J309" s="12"/>
      <c r="K309" s="12"/>
      <c r="L309" s="12"/>
      <c r="M309" s="12"/>
      <c r="N309" s="12"/>
      <c r="O309" s="12"/>
      <c r="P309" s="12"/>
      <c r="Q309" s="13">
        <f t="shared" si="65"/>
        <v>3</v>
      </c>
      <c r="R309" s="13">
        <f t="shared" si="65"/>
        <v>224</v>
      </c>
      <c r="S309" s="13">
        <f t="shared" si="65"/>
        <v>51</v>
      </c>
      <c r="T309" s="13">
        <f t="shared" si="64"/>
        <v>0</v>
      </c>
      <c r="U309" s="13">
        <f t="shared" si="64"/>
        <v>6</v>
      </c>
      <c r="V309" s="13">
        <f t="shared" si="73"/>
        <v>284</v>
      </c>
      <c r="W309" s="13" t="str">
        <f t="shared" si="68"/>
        <v>1C</v>
      </c>
      <c r="X309" s="13">
        <f t="shared" si="69"/>
        <v>565</v>
      </c>
      <c r="Y309" s="13" t="str">
        <f t="shared" si="70"/>
        <v>35</v>
      </c>
      <c r="Z309" s="119"/>
      <c r="AA309" s="119"/>
      <c r="AB309" s="119"/>
      <c r="AC309" s="119"/>
      <c r="AD309" s="119"/>
      <c r="AE309" s="119"/>
      <c r="AF309" s="119"/>
      <c r="AG309" s="119"/>
      <c r="AH309" s="119"/>
      <c r="AJ309" s="64"/>
      <c r="AK309" s="64" t="s">
        <v>2312</v>
      </c>
    </row>
    <row r="310" spans="2:37" ht="17.25">
      <c r="B310" s="12" t="s">
        <v>1877</v>
      </c>
      <c r="C310" s="12" t="str">
        <f t="shared" si="72"/>
        <v>FF03E03300071D</v>
      </c>
      <c r="D310" s="60" t="s">
        <v>91</v>
      </c>
      <c r="E310" s="60" t="s">
        <v>15</v>
      </c>
      <c r="F310" s="60" t="s">
        <v>1853</v>
      </c>
      <c r="G310" s="60" t="s">
        <v>16</v>
      </c>
      <c r="H310" s="60" t="s">
        <v>101</v>
      </c>
      <c r="I310" s="12" t="str">
        <f t="shared" si="67"/>
        <v>1D</v>
      </c>
      <c r="J310" s="12"/>
      <c r="K310" s="12"/>
      <c r="L310" s="12"/>
      <c r="M310" s="12"/>
      <c r="N310" s="12"/>
      <c r="O310" s="12"/>
      <c r="P310" s="12"/>
      <c r="Q310" s="13">
        <f t="shared" si="65"/>
        <v>3</v>
      </c>
      <c r="R310" s="13">
        <f t="shared" si="65"/>
        <v>224</v>
      </c>
      <c r="S310" s="13">
        <f t="shared" si="65"/>
        <v>51</v>
      </c>
      <c r="T310" s="13">
        <f t="shared" si="64"/>
        <v>0</v>
      </c>
      <c r="U310" s="13">
        <f t="shared" si="64"/>
        <v>7</v>
      </c>
      <c r="V310" s="13">
        <f t="shared" si="73"/>
        <v>285</v>
      </c>
      <c r="W310" s="13" t="str">
        <f t="shared" si="68"/>
        <v>1D</v>
      </c>
      <c r="X310" s="13">
        <f t="shared" si="69"/>
        <v>567</v>
      </c>
      <c r="Y310" s="13" t="str">
        <f t="shared" si="70"/>
        <v>37</v>
      </c>
      <c r="Z310" s="119"/>
      <c r="AA310" s="119"/>
      <c r="AB310" s="119"/>
      <c r="AC310" s="119"/>
      <c r="AD310" s="119"/>
      <c r="AE310" s="119"/>
      <c r="AF310" s="119"/>
      <c r="AG310" s="119"/>
      <c r="AH310" s="119"/>
      <c r="AJ310" s="64"/>
      <c r="AK310" s="64" t="s">
        <v>2313</v>
      </c>
    </row>
    <row r="311" spans="2:37" ht="16.5" customHeight="1">
      <c r="B311" s="12" t="s">
        <v>1878</v>
      </c>
      <c r="C311" s="12" t="str">
        <f t="shared" si="72"/>
        <v>FF03E034000118</v>
      </c>
      <c r="D311" s="60" t="s">
        <v>91</v>
      </c>
      <c r="E311" s="60" t="s">
        <v>15</v>
      </c>
      <c r="F311" s="60" t="s">
        <v>1854</v>
      </c>
      <c r="G311" s="60" t="s">
        <v>16</v>
      </c>
      <c r="H311" s="60" t="s">
        <v>24</v>
      </c>
      <c r="I311" s="12" t="str">
        <f t="shared" si="67"/>
        <v>18</v>
      </c>
      <c r="J311" s="12"/>
      <c r="K311" s="12"/>
      <c r="L311" s="12"/>
      <c r="M311" s="12"/>
      <c r="N311" s="12"/>
      <c r="O311" s="12"/>
      <c r="P311" s="12"/>
      <c r="Q311" s="13">
        <f t="shared" si="65"/>
        <v>3</v>
      </c>
      <c r="R311" s="13">
        <f t="shared" si="65"/>
        <v>224</v>
      </c>
      <c r="S311" s="13">
        <f t="shared" si="65"/>
        <v>52</v>
      </c>
      <c r="T311" s="13">
        <f t="shared" si="64"/>
        <v>0</v>
      </c>
      <c r="U311" s="13">
        <f t="shared" si="64"/>
        <v>1</v>
      </c>
      <c r="V311" s="13">
        <f t="shared" si="73"/>
        <v>280</v>
      </c>
      <c r="W311" s="13" t="str">
        <f t="shared" si="68"/>
        <v>18</v>
      </c>
      <c r="X311" s="13">
        <f t="shared" si="69"/>
        <v>557</v>
      </c>
      <c r="Y311" s="13" t="str">
        <f t="shared" si="70"/>
        <v>2D</v>
      </c>
      <c r="Z311" s="119"/>
      <c r="AA311" s="119"/>
      <c r="AB311" s="119"/>
      <c r="AC311" s="119"/>
      <c r="AD311" s="119"/>
      <c r="AE311" s="119"/>
      <c r="AF311" s="119"/>
      <c r="AG311" s="119"/>
      <c r="AH311" s="119"/>
      <c r="AJ311" s="64"/>
      <c r="AK311" s="64" t="s">
        <v>2314</v>
      </c>
    </row>
    <row r="312" spans="2:37" ht="16.5" customHeight="1">
      <c r="B312" s="12" t="s">
        <v>1879</v>
      </c>
      <c r="C312" s="12" t="str">
        <f t="shared" si="72"/>
        <v>FF03E034000219</v>
      </c>
      <c r="D312" s="60" t="s">
        <v>91</v>
      </c>
      <c r="E312" s="60" t="s">
        <v>15</v>
      </c>
      <c r="F312" s="60" t="s">
        <v>1854</v>
      </c>
      <c r="G312" s="60" t="s">
        <v>16</v>
      </c>
      <c r="H312" s="60" t="s">
        <v>17</v>
      </c>
      <c r="I312" s="12" t="str">
        <f t="shared" si="67"/>
        <v>19</v>
      </c>
      <c r="J312" s="12"/>
      <c r="K312" s="12"/>
      <c r="L312" s="12"/>
      <c r="M312" s="12"/>
      <c r="N312" s="12"/>
      <c r="O312" s="12"/>
      <c r="P312" s="12"/>
      <c r="Q312" s="13">
        <f t="shared" si="65"/>
        <v>3</v>
      </c>
      <c r="R312" s="13">
        <f t="shared" si="65"/>
        <v>224</v>
      </c>
      <c r="S312" s="13">
        <f t="shared" si="65"/>
        <v>52</v>
      </c>
      <c r="T312" s="13">
        <f t="shared" si="64"/>
        <v>0</v>
      </c>
      <c r="U312" s="13">
        <f t="shared" si="64"/>
        <v>2</v>
      </c>
      <c r="V312" s="13">
        <f t="shared" si="73"/>
        <v>281</v>
      </c>
      <c r="W312" s="13" t="str">
        <f t="shared" si="68"/>
        <v>19</v>
      </c>
      <c r="X312" s="13">
        <f t="shared" si="69"/>
        <v>559</v>
      </c>
      <c r="Y312" s="13" t="str">
        <f t="shared" si="70"/>
        <v>2F</v>
      </c>
      <c r="Z312" s="119"/>
      <c r="AA312" s="119"/>
      <c r="AB312" s="119"/>
      <c r="AC312" s="119"/>
      <c r="AD312" s="119"/>
      <c r="AE312" s="119"/>
      <c r="AF312" s="119"/>
      <c r="AG312" s="119"/>
      <c r="AH312" s="119"/>
      <c r="AJ312" s="64"/>
      <c r="AK312" s="64" t="s">
        <v>2315</v>
      </c>
    </row>
    <row r="313" spans="2:37" ht="16.5" customHeight="1">
      <c r="B313" s="12" t="s">
        <v>1880</v>
      </c>
      <c r="C313" s="12" t="str">
        <f t="shared" si="72"/>
        <v>FF03E03400031A</v>
      </c>
      <c r="D313" s="60" t="s">
        <v>91</v>
      </c>
      <c r="E313" s="60" t="s">
        <v>15</v>
      </c>
      <c r="F313" s="60" t="s">
        <v>1854</v>
      </c>
      <c r="G313" s="60" t="s">
        <v>16</v>
      </c>
      <c r="H313" s="60" t="s">
        <v>91</v>
      </c>
      <c r="I313" s="12" t="str">
        <f t="shared" si="67"/>
        <v>1A</v>
      </c>
      <c r="J313" s="12"/>
      <c r="K313" s="12"/>
      <c r="L313" s="12"/>
      <c r="M313" s="12"/>
      <c r="N313" s="12"/>
      <c r="O313" s="12"/>
      <c r="P313" s="12"/>
      <c r="Q313" s="13">
        <f t="shared" si="65"/>
        <v>3</v>
      </c>
      <c r="R313" s="13">
        <f t="shared" si="65"/>
        <v>224</v>
      </c>
      <c r="S313" s="13">
        <f t="shared" si="65"/>
        <v>52</v>
      </c>
      <c r="T313" s="13">
        <f t="shared" si="64"/>
        <v>0</v>
      </c>
      <c r="U313" s="13">
        <f t="shared" si="64"/>
        <v>3</v>
      </c>
      <c r="V313" s="13">
        <f t="shared" si="73"/>
        <v>282</v>
      </c>
      <c r="W313" s="13" t="str">
        <f t="shared" si="68"/>
        <v>1A</v>
      </c>
      <c r="X313" s="13">
        <f t="shared" si="69"/>
        <v>561</v>
      </c>
      <c r="Y313" s="13" t="str">
        <f t="shared" si="70"/>
        <v>31</v>
      </c>
      <c r="Z313" s="119"/>
      <c r="AA313" s="119"/>
      <c r="AB313" s="119"/>
      <c r="AC313" s="119"/>
      <c r="AD313" s="119"/>
      <c r="AE313" s="119"/>
      <c r="AF313" s="119"/>
      <c r="AG313" s="119"/>
      <c r="AH313" s="119"/>
      <c r="AJ313" s="64"/>
      <c r="AK313" s="64" t="s">
        <v>2316</v>
      </c>
    </row>
    <row r="314" spans="2:37" ht="16.5" customHeight="1">
      <c r="B314" s="12" t="s">
        <v>1881</v>
      </c>
      <c r="C314" s="12" t="str">
        <f t="shared" si="72"/>
        <v>FF03E03400041B</v>
      </c>
      <c r="D314" s="60" t="s">
        <v>91</v>
      </c>
      <c r="E314" s="60" t="s">
        <v>15</v>
      </c>
      <c r="F314" s="60" t="s">
        <v>1854</v>
      </c>
      <c r="G314" s="60" t="s">
        <v>16</v>
      </c>
      <c r="H314" s="60" t="s">
        <v>67</v>
      </c>
      <c r="I314" s="12" t="str">
        <f t="shared" si="67"/>
        <v>1B</v>
      </c>
      <c r="J314" s="12"/>
      <c r="K314" s="12"/>
      <c r="L314" s="12"/>
      <c r="M314" s="12"/>
      <c r="N314" s="12"/>
      <c r="O314" s="12"/>
      <c r="P314" s="12"/>
      <c r="Q314" s="13">
        <f t="shared" si="65"/>
        <v>3</v>
      </c>
      <c r="R314" s="13">
        <f t="shared" si="65"/>
        <v>224</v>
      </c>
      <c r="S314" s="13">
        <f t="shared" si="65"/>
        <v>52</v>
      </c>
      <c r="T314" s="13">
        <f t="shared" si="64"/>
        <v>0</v>
      </c>
      <c r="U314" s="13">
        <f t="shared" si="64"/>
        <v>4</v>
      </c>
      <c r="V314" s="13">
        <f t="shared" si="73"/>
        <v>283</v>
      </c>
      <c r="W314" s="13" t="str">
        <f t="shared" si="68"/>
        <v>1B</v>
      </c>
      <c r="X314" s="13">
        <f t="shared" si="69"/>
        <v>563</v>
      </c>
      <c r="Y314" s="13" t="str">
        <f t="shared" si="70"/>
        <v>33</v>
      </c>
      <c r="Z314" s="119"/>
      <c r="AA314" s="119"/>
      <c r="AB314" s="119"/>
      <c r="AC314" s="119"/>
      <c r="AD314" s="119"/>
      <c r="AE314" s="119"/>
      <c r="AF314" s="119"/>
      <c r="AG314" s="119"/>
      <c r="AH314" s="119"/>
      <c r="AJ314" s="64"/>
      <c r="AK314" s="64" t="s">
        <v>2317</v>
      </c>
    </row>
    <row r="315" spans="2:37" ht="16.5" customHeight="1">
      <c r="B315" s="12" t="s">
        <v>1882</v>
      </c>
      <c r="C315" s="12" t="str">
        <f t="shared" si="72"/>
        <v>FF03E035FFCEE5</v>
      </c>
      <c r="D315" s="60" t="s">
        <v>91</v>
      </c>
      <c r="E315" s="60" t="s">
        <v>15</v>
      </c>
      <c r="F315" s="60" t="s">
        <v>1855</v>
      </c>
      <c r="G315" s="60" t="s">
        <v>9</v>
      </c>
      <c r="H315" s="60" t="s">
        <v>1962</v>
      </c>
      <c r="I315" s="12" t="str">
        <f t="shared" si="67"/>
        <v>E5</v>
      </c>
      <c r="J315" s="12"/>
      <c r="K315" s="12"/>
      <c r="L315" s="12"/>
      <c r="M315" s="12"/>
      <c r="N315" s="12"/>
      <c r="O315" s="12"/>
      <c r="P315" s="12"/>
      <c r="Q315" s="13">
        <f t="shared" si="65"/>
        <v>3</v>
      </c>
      <c r="R315" s="13">
        <f t="shared" si="65"/>
        <v>224</v>
      </c>
      <c r="S315" s="13">
        <f t="shared" si="65"/>
        <v>53</v>
      </c>
      <c r="T315" s="13">
        <f t="shared" si="64"/>
        <v>255</v>
      </c>
      <c r="U315" s="13">
        <f t="shared" si="64"/>
        <v>206</v>
      </c>
      <c r="V315" s="13">
        <f t="shared" si="73"/>
        <v>741</v>
      </c>
      <c r="W315" s="13" t="str">
        <f t="shared" si="68"/>
        <v>E5</v>
      </c>
      <c r="X315" s="13">
        <f t="shared" si="69"/>
        <v>1479</v>
      </c>
      <c r="Y315" s="13" t="str">
        <f t="shared" si="70"/>
        <v>C7</v>
      </c>
      <c r="Z315" s="119"/>
      <c r="AA315" s="119"/>
      <c r="AB315" s="119"/>
      <c r="AC315" s="119"/>
      <c r="AD315" s="119"/>
      <c r="AE315" s="119"/>
      <c r="AF315" s="119"/>
      <c r="AG315" s="119">
        <v>-50</v>
      </c>
      <c r="AH315" s="119"/>
      <c r="AI315" s="119" t="str">
        <f>TEXT(DEC2HEX(65536 + AG315), "0000")</f>
        <v>FFCE</v>
      </c>
      <c r="AJ315" s="64"/>
      <c r="AK315" s="64" t="s">
        <v>2318</v>
      </c>
    </row>
    <row r="316" spans="2:37" ht="16.5" customHeight="1">
      <c r="B316" s="12" t="s">
        <v>1883</v>
      </c>
      <c r="C316" s="12" t="str">
        <f t="shared" si="72"/>
        <v>FF03E03500324A</v>
      </c>
      <c r="D316" s="60" t="s">
        <v>91</v>
      </c>
      <c r="E316" s="60" t="s">
        <v>15</v>
      </c>
      <c r="F316" s="60" t="s">
        <v>1855</v>
      </c>
      <c r="G316" s="60" t="s">
        <v>16</v>
      </c>
      <c r="H316" s="60" t="s">
        <v>1330</v>
      </c>
      <c r="I316" s="12" t="str">
        <f t="shared" si="67"/>
        <v>4A</v>
      </c>
      <c r="J316" s="12"/>
      <c r="K316" s="12"/>
      <c r="L316" s="12"/>
      <c r="M316" s="12"/>
      <c r="N316" s="12"/>
      <c r="O316" s="12"/>
      <c r="P316" s="12"/>
      <c r="Q316" s="13">
        <f t="shared" si="65"/>
        <v>3</v>
      </c>
      <c r="R316" s="13">
        <f t="shared" si="65"/>
        <v>224</v>
      </c>
      <c r="S316" s="13">
        <f t="shared" si="65"/>
        <v>53</v>
      </c>
      <c r="T316" s="13">
        <f t="shared" si="64"/>
        <v>0</v>
      </c>
      <c r="U316" s="13">
        <f t="shared" si="64"/>
        <v>50</v>
      </c>
      <c r="V316" s="13">
        <f t="shared" si="73"/>
        <v>330</v>
      </c>
      <c r="W316" s="13" t="str">
        <f t="shared" si="68"/>
        <v>4A</v>
      </c>
      <c r="X316" s="13">
        <f t="shared" si="69"/>
        <v>657</v>
      </c>
      <c r="Y316" s="13" t="str">
        <f t="shared" si="70"/>
        <v>91</v>
      </c>
      <c r="Z316" s="119"/>
      <c r="AA316" s="119"/>
      <c r="AB316" s="119"/>
      <c r="AC316" s="119"/>
      <c r="AD316" s="119"/>
      <c r="AE316" s="119"/>
      <c r="AF316" s="119"/>
      <c r="AG316" s="119">
        <v>50</v>
      </c>
      <c r="AH316" s="119" t="str">
        <f>DEC2HEX(AG316)</f>
        <v>32</v>
      </c>
      <c r="AI316" s="119"/>
      <c r="AJ316" s="64"/>
      <c r="AK316" s="64" t="s">
        <v>2319</v>
      </c>
    </row>
    <row r="317" spans="2:37" ht="25.5">
      <c r="B317" s="12" t="s">
        <v>1964</v>
      </c>
      <c r="C317" s="12" t="str">
        <f t="shared" si="72"/>
        <v>FF03E036FFCEE6</v>
      </c>
      <c r="D317" s="60" t="s">
        <v>91</v>
      </c>
      <c r="E317" s="60" t="s">
        <v>15</v>
      </c>
      <c r="F317" s="60" t="s">
        <v>1856</v>
      </c>
      <c r="G317" s="60" t="s">
        <v>9</v>
      </c>
      <c r="H317" s="60" t="s">
        <v>1962</v>
      </c>
      <c r="I317" s="12" t="str">
        <f t="shared" si="67"/>
        <v>E6</v>
      </c>
      <c r="J317" s="12"/>
      <c r="K317" s="12"/>
      <c r="L317" s="12"/>
      <c r="M317" s="12"/>
      <c r="N317" s="12"/>
      <c r="O317" s="12"/>
      <c r="P317" s="12"/>
      <c r="Q317" s="13">
        <f t="shared" si="65"/>
        <v>3</v>
      </c>
      <c r="R317" s="13">
        <f t="shared" si="65"/>
        <v>224</v>
      </c>
      <c r="S317" s="13">
        <f t="shared" si="65"/>
        <v>54</v>
      </c>
      <c r="T317" s="13">
        <f t="shared" si="64"/>
        <v>255</v>
      </c>
      <c r="U317" s="13">
        <f t="shared" si="64"/>
        <v>206</v>
      </c>
      <c r="V317" s="13">
        <f t="shared" si="73"/>
        <v>742</v>
      </c>
      <c r="W317" s="13" t="str">
        <f t="shared" si="68"/>
        <v>E6</v>
      </c>
      <c r="X317" s="13">
        <f t="shared" si="69"/>
        <v>1481</v>
      </c>
      <c r="Y317" s="13" t="str">
        <f t="shared" si="70"/>
        <v>C9</v>
      </c>
      <c r="Z317" s="119"/>
      <c r="AA317" s="119"/>
      <c r="AB317" s="119"/>
      <c r="AC317" s="119"/>
      <c r="AD317" s="119"/>
      <c r="AE317" s="119"/>
      <c r="AF317" s="119"/>
      <c r="AG317" s="119"/>
      <c r="AH317" s="119"/>
      <c r="AJ317" s="64"/>
      <c r="AK317" s="64" t="s">
        <v>2320</v>
      </c>
    </row>
    <row r="318" spans="2:37" ht="17.25">
      <c r="B318" s="12" t="s">
        <v>1963</v>
      </c>
      <c r="C318" s="12" t="str">
        <f t="shared" si="72"/>
        <v>FF03E03600324B</v>
      </c>
      <c r="D318" s="60" t="s">
        <v>91</v>
      </c>
      <c r="E318" s="60" t="s">
        <v>15</v>
      </c>
      <c r="F318" s="60" t="s">
        <v>1856</v>
      </c>
      <c r="G318" s="60" t="s">
        <v>16</v>
      </c>
      <c r="H318" s="60" t="s">
        <v>1330</v>
      </c>
      <c r="I318" s="12" t="str">
        <f t="shared" si="67"/>
        <v>4B</v>
      </c>
      <c r="J318" s="12"/>
      <c r="K318" s="12"/>
      <c r="L318" s="12"/>
      <c r="M318" s="12"/>
      <c r="N318" s="12"/>
      <c r="O318" s="12"/>
      <c r="P318" s="12"/>
      <c r="Q318" s="13">
        <f t="shared" si="65"/>
        <v>3</v>
      </c>
      <c r="R318" s="13">
        <f t="shared" si="65"/>
        <v>224</v>
      </c>
      <c r="S318" s="13">
        <f t="shared" si="65"/>
        <v>54</v>
      </c>
      <c r="T318" s="13">
        <f t="shared" si="64"/>
        <v>0</v>
      </c>
      <c r="U318" s="13">
        <f t="shared" si="64"/>
        <v>50</v>
      </c>
      <c r="V318" s="13">
        <f t="shared" si="73"/>
        <v>331</v>
      </c>
      <c r="W318" s="13" t="str">
        <f t="shared" si="68"/>
        <v>4B</v>
      </c>
      <c r="X318" s="13">
        <f t="shared" si="69"/>
        <v>659</v>
      </c>
      <c r="Y318" s="13" t="str">
        <f t="shared" si="70"/>
        <v>93</v>
      </c>
      <c r="Z318" s="119"/>
      <c r="AA318" s="119"/>
      <c r="AB318" s="119"/>
      <c r="AC318" s="119"/>
      <c r="AD318" s="119"/>
      <c r="AE318" s="119"/>
      <c r="AF318" s="119"/>
      <c r="AG318" s="119"/>
      <c r="AH318" s="119"/>
      <c r="AJ318" s="64"/>
      <c r="AK318" s="64" t="s">
        <v>2321</v>
      </c>
    </row>
    <row r="319" spans="2:37" ht="16.5" customHeight="1">
      <c r="B319" s="12" t="s">
        <v>1884</v>
      </c>
      <c r="C319" s="12" t="str">
        <f t="shared" si="72"/>
        <v>FF03E03700001A</v>
      </c>
      <c r="D319" s="60" t="s">
        <v>91</v>
      </c>
      <c r="E319" s="60" t="s">
        <v>15</v>
      </c>
      <c r="F319" s="60" t="s">
        <v>1857</v>
      </c>
      <c r="G319" s="60" t="s">
        <v>16</v>
      </c>
      <c r="H319" s="60" t="s">
        <v>16</v>
      </c>
      <c r="I319" s="12" t="str">
        <f t="shared" si="67"/>
        <v>1A</v>
      </c>
      <c r="J319" s="12"/>
      <c r="K319" s="12"/>
      <c r="L319" s="12"/>
      <c r="M319" s="12"/>
      <c r="N319" s="12"/>
      <c r="O319" s="12"/>
      <c r="P319" s="12"/>
      <c r="Q319" s="13">
        <f t="shared" si="65"/>
        <v>3</v>
      </c>
      <c r="R319" s="13">
        <f t="shared" si="65"/>
        <v>224</v>
      </c>
      <c r="S319" s="13">
        <f t="shared" si="65"/>
        <v>55</v>
      </c>
      <c r="T319" s="13">
        <f t="shared" si="64"/>
        <v>0</v>
      </c>
      <c r="U319" s="13">
        <f t="shared" si="64"/>
        <v>0</v>
      </c>
      <c r="V319" s="13">
        <f t="shared" si="73"/>
        <v>282</v>
      </c>
      <c r="W319" s="13" t="str">
        <f t="shared" si="68"/>
        <v>1A</v>
      </c>
      <c r="X319" s="13">
        <f t="shared" si="69"/>
        <v>561</v>
      </c>
      <c r="Y319" s="13" t="str">
        <f t="shared" si="70"/>
        <v>31</v>
      </c>
      <c r="Z319" s="119"/>
      <c r="AA319" s="119"/>
      <c r="AB319" s="119"/>
      <c r="AC319" s="119"/>
      <c r="AD319" s="119"/>
      <c r="AE319" s="119"/>
      <c r="AF319" s="119"/>
      <c r="AG319" s="119"/>
      <c r="AH319" s="119"/>
      <c r="AJ319" s="64"/>
      <c r="AK319" s="64" t="s">
        <v>2322</v>
      </c>
    </row>
    <row r="320" spans="2:37" ht="16.5" customHeight="1">
      <c r="B320" s="12" t="s">
        <v>1885</v>
      </c>
      <c r="C320" s="12" t="str">
        <f t="shared" si="72"/>
        <v>FF03E037001E38</v>
      </c>
      <c r="D320" s="60" t="s">
        <v>91</v>
      </c>
      <c r="E320" s="60" t="s">
        <v>15</v>
      </c>
      <c r="F320" s="60" t="s">
        <v>1857</v>
      </c>
      <c r="G320" s="60" t="s">
        <v>16</v>
      </c>
      <c r="H320" s="60" t="s">
        <v>63</v>
      </c>
      <c r="I320" s="12" t="str">
        <f t="shared" si="67"/>
        <v>38</v>
      </c>
      <c r="J320" s="12"/>
      <c r="K320" s="12"/>
      <c r="L320" s="12"/>
      <c r="M320" s="12"/>
      <c r="N320" s="12"/>
      <c r="O320" s="12"/>
      <c r="P320" s="12"/>
      <c r="Q320" s="13">
        <f t="shared" si="65"/>
        <v>3</v>
      </c>
      <c r="R320" s="13">
        <f t="shared" si="65"/>
        <v>224</v>
      </c>
      <c r="S320" s="13">
        <f t="shared" si="65"/>
        <v>55</v>
      </c>
      <c r="T320" s="13">
        <f t="shared" si="64"/>
        <v>0</v>
      </c>
      <c r="U320" s="13">
        <f t="shared" si="64"/>
        <v>30</v>
      </c>
      <c r="V320" s="13">
        <f t="shared" si="73"/>
        <v>312</v>
      </c>
      <c r="W320" s="13" t="str">
        <f t="shared" si="68"/>
        <v>38</v>
      </c>
      <c r="X320" s="13">
        <f t="shared" si="69"/>
        <v>621</v>
      </c>
      <c r="Y320" s="13" t="str">
        <f t="shared" si="70"/>
        <v>6D</v>
      </c>
      <c r="Z320" s="119"/>
      <c r="AA320" s="119"/>
      <c r="AB320" s="119"/>
      <c r="AC320" s="119"/>
      <c r="AD320" s="119"/>
      <c r="AE320" s="119"/>
      <c r="AF320" s="119"/>
      <c r="AG320" s="119">
        <v>30</v>
      </c>
      <c r="AH320" s="119" t="str">
        <f>DEC2HEX(AG320)</f>
        <v>1E</v>
      </c>
      <c r="AJ320" s="64"/>
      <c r="AK320" s="64" t="s">
        <v>2323</v>
      </c>
    </row>
    <row r="321" spans="2:37" ht="16.5" customHeight="1">
      <c r="B321" s="12" t="s">
        <v>1886</v>
      </c>
      <c r="C321" s="12" t="str">
        <f t="shared" si="72"/>
        <v>FF03E03800001B</v>
      </c>
      <c r="D321" s="60" t="s">
        <v>91</v>
      </c>
      <c r="E321" s="60" t="s">
        <v>15</v>
      </c>
      <c r="F321" s="60" t="s">
        <v>1858</v>
      </c>
      <c r="G321" s="60" t="s">
        <v>16</v>
      </c>
      <c r="H321" s="60" t="s">
        <v>16</v>
      </c>
      <c r="I321" s="12" t="str">
        <f t="shared" si="67"/>
        <v>1B</v>
      </c>
      <c r="J321" s="12"/>
      <c r="K321" s="12"/>
      <c r="L321" s="12"/>
      <c r="M321" s="12"/>
      <c r="N321" s="12"/>
      <c r="O321" s="12"/>
      <c r="P321" s="12"/>
      <c r="Q321" s="13">
        <f t="shared" si="65"/>
        <v>3</v>
      </c>
      <c r="R321" s="13">
        <f t="shared" si="65"/>
        <v>224</v>
      </c>
      <c r="S321" s="13">
        <f t="shared" si="65"/>
        <v>56</v>
      </c>
      <c r="T321" s="13">
        <f t="shared" si="64"/>
        <v>0</v>
      </c>
      <c r="U321" s="13">
        <f t="shared" si="64"/>
        <v>0</v>
      </c>
      <c r="V321" s="13">
        <f t="shared" si="73"/>
        <v>283</v>
      </c>
      <c r="W321" s="13" t="str">
        <f t="shared" si="68"/>
        <v>1B</v>
      </c>
      <c r="X321" s="13">
        <f t="shared" si="69"/>
        <v>563</v>
      </c>
      <c r="Y321" s="13" t="str">
        <f t="shared" si="70"/>
        <v>33</v>
      </c>
      <c r="Z321" s="119"/>
      <c r="AA321" s="119"/>
      <c r="AB321" s="119"/>
      <c r="AC321" s="119"/>
      <c r="AD321" s="119"/>
      <c r="AE321" s="119"/>
      <c r="AF321" s="119"/>
      <c r="AG321" s="119"/>
      <c r="AH321" s="119"/>
      <c r="AJ321" s="64"/>
      <c r="AK321" s="64" t="s">
        <v>2324</v>
      </c>
    </row>
    <row r="322" spans="2:37" ht="16.5" customHeight="1">
      <c r="B322" s="12" t="s">
        <v>1887</v>
      </c>
      <c r="C322" s="12" t="str">
        <f t="shared" si="72"/>
        <v>FF03E03800011C</v>
      </c>
      <c r="D322" s="60" t="s">
        <v>91</v>
      </c>
      <c r="E322" s="60" t="s">
        <v>15</v>
      </c>
      <c r="F322" s="60" t="s">
        <v>1858</v>
      </c>
      <c r="G322" s="60" t="s">
        <v>16</v>
      </c>
      <c r="H322" s="60" t="s">
        <v>24</v>
      </c>
      <c r="I322" s="12" t="str">
        <f t="shared" si="67"/>
        <v>1C</v>
      </c>
      <c r="J322" s="12"/>
      <c r="K322" s="12"/>
      <c r="L322" s="12"/>
      <c r="M322" s="12"/>
      <c r="N322" s="12"/>
      <c r="O322" s="12"/>
      <c r="P322" s="12"/>
      <c r="Q322" s="13">
        <f t="shared" si="65"/>
        <v>3</v>
      </c>
      <c r="R322" s="13">
        <f t="shared" si="65"/>
        <v>224</v>
      </c>
      <c r="S322" s="13">
        <f t="shared" si="65"/>
        <v>56</v>
      </c>
      <c r="T322" s="13">
        <f t="shared" si="64"/>
        <v>0</v>
      </c>
      <c r="U322" s="13">
        <f t="shared" si="64"/>
        <v>1</v>
      </c>
      <c r="V322" s="13">
        <f t="shared" si="73"/>
        <v>284</v>
      </c>
      <c r="W322" s="13" t="str">
        <f t="shared" si="68"/>
        <v>1C</v>
      </c>
      <c r="X322" s="13">
        <f t="shared" si="69"/>
        <v>565</v>
      </c>
      <c r="Y322" s="13" t="str">
        <f t="shared" si="70"/>
        <v>35</v>
      </c>
      <c r="Z322" s="119"/>
      <c r="AA322" s="119"/>
      <c r="AB322" s="119"/>
      <c r="AC322" s="119"/>
      <c r="AD322" s="119"/>
      <c r="AE322" s="119"/>
      <c r="AF322" s="119"/>
      <c r="AG322" s="119"/>
      <c r="AH322" s="119"/>
      <c r="AJ322" s="64"/>
      <c r="AK322" s="64" t="s">
        <v>2325</v>
      </c>
    </row>
    <row r="323" spans="2:37" ht="16.5" customHeight="1">
      <c r="B323" s="12" t="s">
        <v>1888</v>
      </c>
      <c r="C323" s="12" t="str">
        <f t="shared" si="72"/>
        <v>FF03E03800021D</v>
      </c>
      <c r="D323" s="60" t="s">
        <v>91</v>
      </c>
      <c r="E323" s="60" t="s">
        <v>15</v>
      </c>
      <c r="F323" s="60" t="s">
        <v>1858</v>
      </c>
      <c r="G323" s="60" t="s">
        <v>16</v>
      </c>
      <c r="H323" s="60" t="s">
        <v>17</v>
      </c>
      <c r="I323" s="12" t="str">
        <f t="shared" si="67"/>
        <v>1D</v>
      </c>
      <c r="J323" s="12"/>
      <c r="K323" s="12"/>
      <c r="L323" s="12"/>
      <c r="M323" s="12"/>
      <c r="N323" s="12"/>
      <c r="O323" s="12"/>
      <c r="P323" s="12"/>
      <c r="Q323" s="13">
        <f t="shared" si="65"/>
        <v>3</v>
      </c>
      <c r="R323" s="13">
        <f t="shared" si="65"/>
        <v>224</v>
      </c>
      <c r="S323" s="13">
        <f t="shared" si="65"/>
        <v>56</v>
      </c>
      <c r="T323" s="13">
        <f t="shared" si="65"/>
        <v>0</v>
      </c>
      <c r="U323" s="13">
        <f t="shared" si="65"/>
        <v>2</v>
      </c>
      <c r="V323" s="13">
        <f t="shared" si="73"/>
        <v>285</v>
      </c>
      <c r="W323" s="13" t="str">
        <f t="shared" si="68"/>
        <v>1D</v>
      </c>
      <c r="X323" s="13">
        <f t="shared" si="69"/>
        <v>567</v>
      </c>
      <c r="Y323" s="13" t="str">
        <f t="shared" si="70"/>
        <v>37</v>
      </c>
      <c r="Z323" s="119"/>
      <c r="AA323" s="119"/>
      <c r="AB323" s="119"/>
      <c r="AC323" s="119"/>
      <c r="AD323" s="119"/>
      <c r="AE323" s="119"/>
      <c r="AF323" s="119"/>
      <c r="AG323" s="119"/>
      <c r="AH323" s="119"/>
      <c r="AJ323" s="64"/>
      <c r="AK323" s="64" t="s">
        <v>2326</v>
      </c>
    </row>
    <row r="324" spans="2:37" ht="16.5" customHeight="1">
      <c r="B324" s="12" t="s">
        <v>1889</v>
      </c>
      <c r="C324" s="12" t="str">
        <f t="shared" si="72"/>
        <v>FF03E03800031E</v>
      </c>
      <c r="D324" s="60" t="s">
        <v>91</v>
      </c>
      <c r="E324" s="60" t="s">
        <v>15</v>
      </c>
      <c r="F324" s="60" t="s">
        <v>1858</v>
      </c>
      <c r="G324" s="60" t="s">
        <v>16</v>
      </c>
      <c r="H324" s="60" t="s">
        <v>91</v>
      </c>
      <c r="I324" s="12" t="str">
        <f t="shared" si="67"/>
        <v>1E</v>
      </c>
      <c r="J324" s="12"/>
      <c r="K324" s="12"/>
      <c r="L324" s="12"/>
      <c r="M324" s="12"/>
      <c r="N324" s="12"/>
      <c r="O324" s="12"/>
      <c r="P324" s="12"/>
      <c r="Q324" s="13">
        <f t="shared" ref="Q324:U375" si="74">HEX2DEC(D324)</f>
        <v>3</v>
      </c>
      <c r="R324" s="13">
        <f t="shared" si="74"/>
        <v>224</v>
      </c>
      <c r="S324" s="13">
        <f t="shared" si="74"/>
        <v>56</v>
      </c>
      <c r="T324" s="13">
        <f t="shared" si="74"/>
        <v>0</v>
      </c>
      <c r="U324" s="13">
        <f t="shared" si="74"/>
        <v>3</v>
      </c>
      <c r="V324" s="13">
        <f t="shared" si="73"/>
        <v>286</v>
      </c>
      <c r="W324" s="13" t="str">
        <f t="shared" si="68"/>
        <v>1E</v>
      </c>
      <c r="X324" s="13">
        <f t="shared" si="69"/>
        <v>569</v>
      </c>
      <c r="Y324" s="13" t="str">
        <f t="shared" si="70"/>
        <v>39</v>
      </c>
      <c r="Z324" s="119"/>
      <c r="AA324" s="119"/>
      <c r="AB324" s="119"/>
      <c r="AC324" s="119"/>
      <c r="AD324" s="119"/>
      <c r="AE324" s="119"/>
      <c r="AF324" s="119"/>
      <c r="AG324" s="119"/>
      <c r="AH324" s="119"/>
      <c r="AJ324" s="64"/>
      <c r="AK324" s="64" t="s">
        <v>2327</v>
      </c>
    </row>
    <row r="325" spans="2:37" ht="16.5" customHeight="1">
      <c r="B325" s="12" t="s">
        <v>1890</v>
      </c>
      <c r="C325" s="12" t="str">
        <f t="shared" si="72"/>
        <v>FF03E03800041F</v>
      </c>
      <c r="D325" s="60" t="s">
        <v>91</v>
      </c>
      <c r="E325" s="60" t="s">
        <v>15</v>
      </c>
      <c r="F325" s="60" t="s">
        <v>1858</v>
      </c>
      <c r="G325" s="60" t="s">
        <v>16</v>
      </c>
      <c r="H325" s="60" t="s">
        <v>67</v>
      </c>
      <c r="I325" s="12" t="str">
        <f t="shared" si="67"/>
        <v>1F</v>
      </c>
      <c r="J325" s="12"/>
      <c r="K325" s="12"/>
      <c r="L325" s="12"/>
      <c r="M325" s="12"/>
      <c r="N325" s="12"/>
      <c r="O325" s="12"/>
      <c r="P325" s="12"/>
      <c r="Q325" s="13">
        <f t="shared" si="74"/>
        <v>3</v>
      </c>
      <c r="R325" s="13">
        <f t="shared" si="74"/>
        <v>224</v>
      </c>
      <c r="S325" s="13">
        <f t="shared" si="74"/>
        <v>56</v>
      </c>
      <c r="T325" s="13">
        <f t="shared" si="74"/>
        <v>0</v>
      </c>
      <c r="U325" s="13">
        <f t="shared" si="74"/>
        <v>4</v>
      </c>
      <c r="V325" s="13">
        <f t="shared" si="73"/>
        <v>287</v>
      </c>
      <c r="W325" s="13" t="str">
        <f t="shared" si="68"/>
        <v>1F</v>
      </c>
      <c r="X325" s="13">
        <f t="shared" si="69"/>
        <v>571</v>
      </c>
      <c r="Y325" s="13" t="str">
        <f t="shared" si="70"/>
        <v>3B</v>
      </c>
      <c r="Z325" s="119"/>
      <c r="AA325" s="119"/>
      <c r="AB325" s="119"/>
      <c r="AC325" s="119"/>
      <c r="AD325" s="119"/>
      <c r="AE325" s="119"/>
      <c r="AF325" s="119"/>
      <c r="AG325" s="119"/>
      <c r="AH325" s="119"/>
      <c r="AJ325" s="64"/>
      <c r="AK325" s="64" t="s">
        <v>2328</v>
      </c>
    </row>
    <row r="326" spans="2:37" ht="16.5" customHeight="1">
      <c r="B326" s="12" t="s">
        <v>1891</v>
      </c>
      <c r="C326" s="12" t="str">
        <f t="shared" si="72"/>
        <v>FF03E038000520</v>
      </c>
      <c r="D326" s="60" t="s">
        <v>91</v>
      </c>
      <c r="E326" s="60" t="s">
        <v>15</v>
      </c>
      <c r="F326" s="60" t="s">
        <v>1858</v>
      </c>
      <c r="G326" s="60" t="s">
        <v>16</v>
      </c>
      <c r="H326" s="60" t="s">
        <v>92</v>
      </c>
      <c r="I326" s="12" t="str">
        <f t="shared" si="67"/>
        <v>20</v>
      </c>
      <c r="J326" s="12"/>
      <c r="K326" s="12"/>
      <c r="L326" s="12"/>
      <c r="M326" s="12"/>
      <c r="N326" s="12"/>
      <c r="O326" s="12"/>
      <c r="P326" s="12"/>
      <c r="Q326" s="13">
        <f t="shared" si="74"/>
        <v>3</v>
      </c>
      <c r="R326" s="13">
        <f t="shared" si="74"/>
        <v>224</v>
      </c>
      <c r="S326" s="13">
        <f t="shared" si="74"/>
        <v>56</v>
      </c>
      <c r="T326" s="13">
        <f t="shared" si="74"/>
        <v>0</v>
      </c>
      <c r="U326" s="13">
        <f t="shared" si="74"/>
        <v>5</v>
      </c>
      <c r="V326" s="13">
        <f t="shared" si="73"/>
        <v>288</v>
      </c>
      <c r="W326" s="13" t="str">
        <f t="shared" si="68"/>
        <v>20</v>
      </c>
      <c r="X326" s="13">
        <f t="shared" si="69"/>
        <v>573</v>
      </c>
      <c r="Y326" s="13" t="str">
        <f t="shared" si="70"/>
        <v>3D</v>
      </c>
      <c r="Z326" s="119"/>
      <c r="AA326" s="119"/>
      <c r="AB326" s="119"/>
      <c r="AC326" s="119"/>
      <c r="AD326" s="119"/>
      <c r="AE326" s="119"/>
      <c r="AF326" s="119"/>
      <c r="AG326" s="119"/>
      <c r="AH326" s="119"/>
      <c r="AJ326" s="64"/>
      <c r="AK326" s="64" t="s">
        <v>2329</v>
      </c>
    </row>
    <row r="327" spans="2:37" ht="16.5" customHeight="1">
      <c r="B327" s="12" t="s">
        <v>1892</v>
      </c>
      <c r="C327" s="12" t="str">
        <f t="shared" si="72"/>
        <v>FF03E038000621</v>
      </c>
      <c r="D327" s="60" t="s">
        <v>91</v>
      </c>
      <c r="E327" s="60" t="s">
        <v>15</v>
      </c>
      <c r="F327" s="60" t="s">
        <v>1858</v>
      </c>
      <c r="G327" s="60" t="s">
        <v>16</v>
      </c>
      <c r="H327" s="60" t="s">
        <v>100</v>
      </c>
      <c r="I327" s="12" t="str">
        <f t="shared" si="67"/>
        <v>21</v>
      </c>
      <c r="J327" s="12"/>
      <c r="K327" s="12"/>
      <c r="L327" s="12"/>
      <c r="M327" s="12"/>
      <c r="N327" s="12"/>
      <c r="O327" s="12"/>
      <c r="P327" s="12"/>
      <c r="Q327" s="13">
        <f t="shared" si="74"/>
        <v>3</v>
      </c>
      <c r="R327" s="13">
        <f t="shared" si="74"/>
        <v>224</v>
      </c>
      <c r="S327" s="13">
        <f t="shared" si="74"/>
        <v>56</v>
      </c>
      <c r="T327" s="13">
        <f t="shared" si="74"/>
        <v>0</v>
      </c>
      <c r="U327" s="13">
        <f t="shared" si="74"/>
        <v>6</v>
      </c>
      <c r="V327" s="13">
        <f t="shared" si="73"/>
        <v>289</v>
      </c>
      <c r="W327" s="13" t="str">
        <f t="shared" si="68"/>
        <v>21</v>
      </c>
      <c r="X327" s="13">
        <f t="shared" si="69"/>
        <v>575</v>
      </c>
      <c r="Y327" s="13" t="str">
        <f t="shared" si="70"/>
        <v>3F</v>
      </c>
      <c r="Z327" s="119"/>
      <c r="AA327" s="119"/>
      <c r="AB327" s="119"/>
      <c r="AC327" s="119"/>
      <c r="AD327" s="119"/>
      <c r="AE327" s="119"/>
      <c r="AF327" s="119"/>
      <c r="AG327" s="119"/>
      <c r="AH327" s="119"/>
      <c r="AJ327" s="64"/>
      <c r="AK327" s="64" t="s">
        <v>2330</v>
      </c>
    </row>
    <row r="328" spans="2:37" ht="16.5" customHeight="1">
      <c r="B328" s="12" t="s">
        <v>1893</v>
      </c>
      <c r="C328" s="12" t="str">
        <f t="shared" si="72"/>
        <v>FF03E038000722</v>
      </c>
      <c r="D328" s="60" t="s">
        <v>91</v>
      </c>
      <c r="E328" s="60" t="s">
        <v>15</v>
      </c>
      <c r="F328" s="60" t="s">
        <v>1858</v>
      </c>
      <c r="G328" s="60" t="s">
        <v>16</v>
      </c>
      <c r="H328" s="60" t="s">
        <v>101</v>
      </c>
      <c r="I328" s="12" t="str">
        <f t="shared" si="67"/>
        <v>22</v>
      </c>
      <c r="J328" s="12"/>
      <c r="K328" s="12"/>
      <c r="L328" s="12"/>
      <c r="M328" s="12"/>
      <c r="N328" s="12"/>
      <c r="O328" s="12"/>
      <c r="P328" s="12"/>
      <c r="Q328" s="13">
        <f t="shared" si="74"/>
        <v>3</v>
      </c>
      <c r="R328" s="13">
        <f t="shared" si="74"/>
        <v>224</v>
      </c>
      <c r="S328" s="13">
        <f t="shared" si="74"/>
        <v>56</v>
      </c>
      <c r="T328" s="13">
        <f t="shared" si="74"/>
        <v>0</v>
      </c>
      <c r="U328" s="13">
        <f t="shared" si="74"/>
        <v>7</v>
      </c>
      <c r="V328" s="13">
        <f t="shared" si="73"/>
        <v>290</v>
      </c>
      <c r="W328" s="13" t="str">
        <f t="shared" si="68"/>
        <v>22</v>
      </c>
      <c r="X328" s="13">
        <f t="shared" si="69"/>
        <v>577</v>
      </c>
      <c r="Y328" s="13" t="str">
        <f t="shared" si="70"/>
        <v>41</v>
      </c>
      <c r="Z328" s="119"/>
      <c r="AA328" s="119"/>
      <c r="AB328" s="119"/>
      <c r="AC328" s="119"/>
      <c r="AD328" s="119"/>
      <c r="AE328" s="119"/>
      <c r="AF328" s="119"/>
      <c r="AG328" s="119"/>
      <c r="AH328" s="119"/>
      <c r="AJ328" s="64"/>
      <c r="AK328" s="64" t="s">
        <v>2331</v>
      </c>
    </row>
    <row r="329" spans="2:37" ht="16.5" customHeight="1">
      <c r="B329" s="12" t="s">
        <v>1894</v>
      </c>
      <c r="C329" s="12" t="str">
        <f t="shared" si="72"/>
        <v>FF03E038000823</v>
      </c>
      <c r="D329" s="60" t="s">
        <v>91</v>
      </c>
      <c r="E329" s="60" t="s">
        <v>15</v>
      </c>
      <c r="F329" s="60" t="s">
        <v>1858</v>
      </c>
      <c r="G329" s="60" t="s">
        <v>16</v>
      </c>
      <c r="H329" s="60" t="s">
        <v>1268</v>
      </c>
      <c r="I329" s="12" t="str">
        <f t="shared" si="67"/>
        <v>23</v>
      </c>
      <c r="J329" s="12"/>
      <c r="K329" s="12"/>
      <c r="L329" s="12"/>
      <c r="M329" s="12"/>
      <c r="N329" s="12"/>
      <c r="O329" s="12"/>
      <c r="P329" s="12"/>
      <c r="Q329" s="13">
        <f t="shared" si="74"/>
        <v>3</v>
      </c>
      <c r="R329" s="13">
        <f t="shared" si="74"/>
        <v>224</v>
      </c>
      <c r="S329" s="13">
        <f t="shared" si="74"/>
        <v>56</v>
      </c>
      <c r="T329" s="13">
        <f t="shared" si="74"/>
        <v>0</v>
      </c>
      <c r="U329" s="13">
        <f t="shared" si="74"/>
        <v>8</v>
      </c>
      <c r="V329" s="13">
        <f t="shared" si="73"/>
        <v>291</v>
      </c>
      <c r="W329" s="13" t="str">
        <f t="shared" si="68"/>
        <v>23</v>
      </c>
      <c r="X329" s="13">
        <f t="shared" si="69"/>
        <v>579</v>
      </c>
      <c r="Y329" s="13" t="str">
        <f t="shared" si="70"/>
        <v>43</v>
      </c>
      <c r="Z329" s="119"/>
      <c r="AA329" s="119"/>
      <c r="AB329" s="119"/>
      <c r="AC329" s="119"/>
      <c r="AD329" s="119"/>
      <c r="AE329" s="119"/>
      <c r="AF329" s="119"/>
      <c r="AG329" s="119"/>
      <c r="AH329" s="119"/>
      <c r="AJ329" s="64"/>
      <c r="AK329" s="64" t="s">
        <v>2332</v>
      </c>
    </row>
    <row r="330" spans="2:37" ht="16.5" customHeight="1">
      <c r="B330" s="12" t="s">
        <v>1895</v>
      </c>
      <c r="C330" s="12" t="str">
        <f t="shared" si="72"/>
        <v>FF03E038000924</v>
      </c>
      <c r="D330" s="60" t="s">
        <v>91</v>
      </c>
      <c r="E330" s="60" t="s">
        <v>15</v>
      </c>
      <c r="F330" s="60" t="s">
        <v>1858</v>
      </c>
      <c r="G330" s="60" t="s">
        <v>16</v>
      </c>
      <c r="H330" s="60" t="s">
        <v>1520</v>
      </c>
      <c r="I330" s="12" t="str">
        <f t="shared" si="67"/>
        <v>24</v>
      </c>
      <c r="J330" s="12"/>
      <c r="K330" s="12"/>
      <c r="L330" s="12"/>
      <c r="M330" s="12"/>
      <c r="N330" s="12"/>
      <c r="O330" s="12"/>
      <c r="P330" s="12"/>
      <c r="Q330" s="13">
        <f t="shared" si="74"/>
        <v>3</v>
      </c>
      <c r="R330" s="13">
        <f t="shared" si="74"/>
        <v>224</v>
      </c>
      <c r="S330" s="13">
        <f t="shared" si="74"/>
        <v>56</v>
      </c>
      <c r="T330" s="13">
        <f t="shared" si="74"/>
        <v>0</v>
      </c>
      <c r="U330" s="13">
        <f t="shared" si="74"/>
        <v>9</v>
      </c>
      <c r="V330" s="13">
        <f t="shared" si="73"/>
        <v>292</v>
      </c>
      <c r="W330" s="13" t="str">
        <f t="shared" si="68"/>
        <v>24</v>
      </c>
      <c r="X330" s="13">
        <f t="shared" si="69"/>
        <v>581</v>
      </c>
      <c r="Y330" s="13" t="str">
        <f t="shared" si="70"/>
        <v>45</v>
      </c>
      <c r="Z330" s="119"/>
      <c r="AA330" s="119"/>
      <c r="AB330" s="119"/>
      <c r="AC330" s="119"/>
      <c r="AD330" s="119"/>
      <c r="AE330" s="119"/>
      <c r="AF330" s="119"/>
      <c r="AG330" s="119"/>
      <c r="AH330" s="119"/>
      <c r="AJ330" s="64"/>
      <c r="AK330" s="64" t="s">
        <v>2333</v>
      </c>
    </row>
    <row r="331" spans="2:37" ht="16.5" customHeight="1">
      <c r="B331" s="12" t="s">
        <v>1896</v>
      </c>
      <c r="C331" s="12" t="str">
        <f t="shared" si="72"/>
        <v>FF03E038000A25</v>
      </c>
      <c r="D331" s="60" t="s">
        <v>91</v>
      </c>
      <c r="E331" s="60" t="s">
        <v>15</v>
      </c>
      <c r="F331" s="60" t="s">
        <v>1858</v>
      </c>
      <c r="G331" s="60" t="s">
        <v>16</v>
      </c>
      <c r="H331" s="60" t="s">
        <v>61</v>
      </c>
      <c r="I331" s="12" t="str">
        <f t="shared" si="67"/>
        <v>25</v>
      </c>
      <c r="J331" s="12"/>
      <c r="K331" s="12"/>
      <c r="L331" s="12"/>
      <c r="M331" s="12"/>
      <c r="N331" s="12"/>
      <c r="O331" s="12"/>
      <c r="P331" s="12"/>
      <c r="Q331" s="13">
        <f t="shared" si="74"/>
        <v>3</v>
      </c>
      <c r="R331" s="13">
        <f t="shared" si="74"/>
        <v>224</v>
      </c>
      <c r="S331" s="13">
        <f t="shared" si="74"/>
        <v>56</v>
      </c>
      <c r="T331" s="13">
        <f t="shared" si="74"/>
        <v>0</v>
      </c>
      <c r="U331" s="13">
        <f t="shared" si="74"/>
        <v>10</v>
      </c>
      <c r="V331" s="13">
        <f t="shared" si="73"/>
        <v>293</v>
      </c>
      <c r="W331" s="13" t="str">
        <f t="shared" si="68"/>
        <v>25</v>
      </c>
      <c r="X331" s="13">
        <f t="shared" si="69"/>
        <v>583</v>
      </c>
      <c r="Y331" s="13" t="str">
        <f t="shared" si="70"/>
        <v>47</v>
      </c>
      <c r="Z331" s="119"/>
      <c r="AA331" s="119"/>
      <c r="AB331" s="119"/>
      <c r="AC331" s="119"/>
      <c r="AD331" s="119"/>
      <c r="AE331" s="119"/>
      <c r="AF331" s="119"/>
      <c r="AG331" s="119"/>
      <c r="AH331" s="119"/>
      <c r="AJ331" s="64"/>
      <c r="AK331" s="64" t="s">
        <v>2334</v>
      </c>
    </row>
    <row r="332" spans="2:37" ht="16.5" customHeight="1">
      <c r="B332" s="12" t="s">
        <v>1897</v>
      </c>
      <c r="C332" s="12" t="str">
        <f t="shared" si="72"/>
        <v>FF03E03900001C</v>
      </c>
      <c r="D332" s="60" t="s">
        <v>91</v>
      </c>
      <c r="E332" s="60" t="s">
        <v>15</v>
      </c>
      <c r="F332" s="60" t="s">
        <v>1859</v>
      </c>
      <c r="G332" s="60" t="s">
        <v>16</v>
      </c>
      <c r="H332" s="60" t="s">
        <v>16</v>
      </c>
      <c r="I332" s="12" t="str">
        <f t="shared" si="67"/>
        <v>1C</v>
      </c>
      <c r="J332" s="12"/>
      <c r="K332" s="12"/>
      <c r="L332" s="12"/>
      <c r="M332" s="12"/>
      <c r="N332" s="12"/>
      <c r="O332" s="12"/>
      <c r="P332" s="12"/>
      <c r="Q332" s="13">
        <f t="shared" si="74"/>
        <v>3</v>
      </c>
      <c r="R332" s="13">
        <f t="shared" si="74"/>
        <v>224</v>
      </c>
      <c r="S332" s="13">
        <f t="shared" si="74"/>
        <v>57</v>
      </c>
      <c r="T332" s="13">
        <f t="shared" si="74"/>
        <v>0</v>
      </c>
      <c r="U332" s="13">
        <f t="shared" si="74"/>
        <v>0</v>
      </c>
      <c r="V332" s="13">
        <f t="shared" si="73"/>
        <v>284</v>
      </c>
      <c r="W332" s="13" t="str">
        <f t="shared" si="68"/>
        <v>1C</v>
      </c>
      <c r="X332" s="13">
        <f t="shared" si="69"/>
        <v>565</v>
      </c>
      <c r="Y332" s="13" t="str">
        <f t="shared" si="70"/>
        <v>35</v>
      </c>
      <c r="Z332" s="119"/>
      <c r="AA332" s="119"/>
      <c r="AB332" s="119"/>
      <c r="AC332" s="119"/>
      <c r="AD332" s="119"/>
      <c r="AE332" s="119"/>
      <c r="AF332" s="119"/>
      <c r="AG332" s="119"/>
      <c r="AH332" s="119"/>
      <c r="AJ332" s="64"/>
      <c r="AK332" s="64" t="s">
        <v>2335</v>
      </c>
    </row>
    <row r="333" spans="2:37" ht="16.5" customHeight="1">
      <c r="B333" s="12" t="s">
        <v>1898</v>
      </c>
      <c r="C333" s="12" t="str">
        <f t="shared" si="72"/>
        <v>FF03E03900011D</v>
      </c>
      <c r="D333" s="60" t="s">
        <v>91</v>
      </c>
      <c r="E333" s="60" t="s">
        <v>15</v>
      </c>
      <c r="F333" s="60" t="s">
        <v>1859</v>
      </c>
      <c r="G333" s="60" t="s">
        <v>16</v>
      </c>
      <c r="H333" s="60" t="s">
        <v>24</v>
      </c>
      <c r="I333" s="12" t="str">
        <f t="shared" si="67"/>
        <v>1D</v>
      </c>
      <c r="J333" s="12"/>
      <c r="K333" s="12"/>
      <c r="L333" s="12"/>
      <c r="M333" s="12"/>
      <c r="N333" s="12"/>
      <c r="O333" s="12"/>
      <c r="P333" s="12"/>
      <c r="Q333" s="13">
        <f t="shared" si="74"/>
        <v>3</v>
      </c>
      <c r="R333" s="13">
        <f t="shared" si="74"/>
        <v>224</v>
      </c>
      <c r="S333" s="13">
        <f t="shared" si="74"/>
        <v>57</v>
      </c>
      <c r="T333" s="13">
        <f t="shared" si="74"/>
        <v>0</v>
      </c>
      <c r="U333" s="13">
        <f t="shared" si="74"/>
        <v>1</v>
      </c>
      <c r="V333" s="13">
        <f t="shared" si="73"/>
        <v>285</v>
      </c>
      <c r="W333" s="13" t="str">
        <f t="shared" si="68"/>
        <v>1D</v>
      </c>
      <c r="X333" s="13">
        <f t="shared" si="69"/>
        <v>567</v>
      </c>
      <c r="Y333" s="13" t="str">
        <f t="shared" si="70"/>
        <v>37</v>
      </c>
      <c r="Z333" s="119"/>
      <c r="AA333" s="119"/>
      <c r="AB333" s="119"/>
      <c r="AC333" s="119"/>
      <c r="AD333" s="119"/>
      <c r="AE333" s="119"/>
      <c r="AF333" s="119"/>
      <c r="AG333" s="119"/>
      <c r="AH333" s="119"/>
      <c r="AJ333" s="64"/>
      <c r="AK333" s="64" t="s">
        <v>2336</v>
      </c>
    </row>
    <row r="334" spans="2:37" ht="16.5" customHeight="1">
      <c r="B334" s="12" t="s">
        <v>1899</v>
      </c>
      <c r="C334" s="12" t="str">
        <f t="shared" si="72"/>
        <v>FF03E03A00001D</v>
      </c>
      <c r="D334" s="60" t="s">
        <v>91</v>
      </c>
      <c r="E334" s="60" t="s">
        <v>15</v>
      </c>
      <c r="F334" s="60" t="s">
        <v>1860</v>
      </c>
      <c r="G334" s="60" t="s">
        <v>16</v>
      </c>
      <c r="H334" s="60" t="s">
        <v>16</v>
      </c>
      <c r="I334" s="12" t="str">
        <f t="shared" si="67"/>
        <v>1D</v>
      </c>
      <c r="J334" s="12"/>
      <c r="K334" s="12"/>
      <c r="L334" s="12"/>
      <c r="M334" s="12"/>
      <c r="N334" s="12"/>
      <c r="O334" s="12"/>
      <c r="P334" s="12"/>
      <c r="Q334" s="13">
        <f t="shared" si="74"/>
        <v>3</v>
      </c>
      <c r="R334" s="13">
        <f t="shared" si="74"/>
        <v>224</v>
      </c>
      <c r="S334" s="13">
        <f t="shared" si="74"/>
        <v>58</v>
      </c>
      <c r="T334" s="13">
        <f t="shared" si="74"/>
        <v>0</v>
      </c>
      <c r="U334" s="13">
        <f t="shared" si="74"/>
        <v>0</v>
      </c>
      <c r="V334" s="13">
        <f t="shared" si="73"/>
        <v>285</v>
      </c>
      <c r="W334" s="13" t="str">
        <f t="shared" si="68"/>
        <v>1D</v>
      </c>
      <c r="X334" s="13">
        <f t="shared" si="69"/>
        <v>567</v>
      </c>
      <c r="Y334" s="13" t="str">
        <f t="shared" si="70"/>
        <v>37</v>
      </c>
      <c r="Z334" s="119"/>
      <c r="AA334" s="119"/>
      <c r="AB334" s="119"/>
      <c r="AC334" s="119"/>
      <c r="AD334" s="119"/>
      <c r="AE334" s="119"/>
      <c r="AF334" s="119"/>
      <c r="AG334" s="119"/>
      <c r="AH334" s="119"/>
      <c r="AJ334" s="64"/>
      <c r="AK334" s="64" t="s">
        <v>2337</v>
      </c>
    </row>
    <row r="335" spans="2:37" ht="16.5" customHeight="1">
      <c r="B335" s="12" t="s">
        <v>1900</v>
      </c>
      <c r="C335" s="12" t="str">
        <f t="shared" si="72"/>
        <v>FF03E03A00011E</v>
      </c>
      <c r="D335" s="60" t="s">
        <v>91</v>
      </c>
      <c r="E335" s="60" t="s">
        <v>15</v>
      </c>
      <c r="F335" s="60" t="s">
        <v>1860</v>
      </c>
      <c r="G335" s="60" t="s">
        <v>16</v>
      </c>
      <c r="H335" s="60" t="s">
        <v>24</v>
      </c>
      <c r="I335" s="12" t="str">
        <f t="shared" ref="I335:I345" si="75">W335</f>
        <v>1E</v>
      </c>
      <c r="J335" s="12"/>
      <c r="K335" s="12"/>
      <c r="L335" s="12"/>
      <c r="M335" s="12"/>
      <c r="N335" s="12"/>
      <c r="O335" s="12"/>
      <c r="P335" s="12"/>
      <c r="Q335" s="13">
        <f t="shared" si="74"/>
        <v>3</v>
      </c>
      <c r="R335" s="13">
        <f t="shared" si="74"/>
        <v>224</v>
      </c>
      <c r="S335" s="13">
        <f t="shared" si="74"/>
        <v>58</v>
      </c>
      <c r="T335" s="13">
        <f t="shared" si="74"/>
        <v>0</v>
      </c>
      <c r="U335" s="13">
        <f t="shared" si="74"/>
        <v>1</v>
      </c>
      <c r="V335" s="13">
        <f t="shared" si="73"/>
        <v>286</v>
      </c>
      <c r="W335" s="13" t="str">
        <f t="shared" ref="W335:W352" si="76">REPT("0",2-LEN(RIGHT(DEC2HEX(V335), 2)))&amp;RIGHT(DEC2HEX(V335), 2)</f>
        <v>1E</v>
      </c>
      <c r="X335" s="13">
        <f t="shared" ref="X335:X345" si="77">SUM(R335:W335)</f>
        <v>569</v>
      </c>
      <c r="Y335" s="13" t="str">
        <f t="shared" si="70"/>
        <v>39</v>
      </c>
      <c r="Z335" s="119"/>
      <c r="AA335" s="119"/>
      <c r="AB335" s="119"/>
      <c r="AC335" s="119"/>
      <c r="AD335" s="119"/>
      <c r="AE335" s="119"/>
      <c r="AF335" s="119"/>
      <c r="AG335" s="119"/>
      <c r="AH335" s="119"/>
      <c r="AJ335" s="64"/>
      <c r="AK335" s="64" t="s">
        <v>2338</v>
      </c>
    </row>
    <row r="336" spans="2:37" ht="16.5" customHeight="1">
      <c r="B336" s="12" t="s">
        <v>1901</v>
      </c>
      <c r="C336" s="12" t="str">
        <f t="shared" si="72"/>
        <v>FF03E03B00001E</v>
      </c>
      <c r="D336" s="60" t="s">
        <v>91</v>
      </c>
      <c r="E336" s="60" t="s">
        <v>15</v>
      </c>
      <c r="F336" s="60" t="s">
        <v>1861</v>
      </c>
      <c r="G336" s="60" t="s">
        <v>16</v>
      </c>
      <c r="H336" s="60" t="s">
        <v>16</v>
      </c>
      <c r="I336" s="12" t="str">
        <f t="shared" si="75"/>
        <v>1E</v>
      </c>
      <c r="J336" s="12"/>
      <c r="K336" s="12"/>
      <c r="L336" s="12"/>
      <c r="M336" s="12"/>
      <c r="N336" s="12"/>
      <c r="O336" s="12"/>
      <c r="P336" s="12"/>
      <c r="Q336" s="13">
        <f t="shared" si="74"/>
        <v>3</v>
      </c>
      <c r="R336" s="13">
        <f t="shared" si="74"/>
        <v>224</v>
      </c>
      <c r="S336" s="13">
        <f t="shared" si="74"/>
        <v>59</v>
      </c>
      <c r="T336" s="13">
        <f t="shared" si="74"/>
        <v>0</v>
      </c>
      <c r="U336" s="13">
        <f t="shared" si="74"/>
        <v>0</v>
      </c>
      <c r="V336" s="13">
        <f t="shared" ref="V336:V343" si="78">SUM(Q336:U336)</f>
        <v>286</v>
      </c>
      <c r="W336" s="13" t="str">
        <f t="shared" si="76"/>
        <v>1E</v>
      </c>
      <c r="X336" s="13">
        <f t="shared" si="77"/>
        <v>569</v>
      </c>
      <c r="Y336" s="13" t="str">
        <f t="shared" si="70"/>
        <v>39</v>
      </c>
      <c r="Z336" s="119"/>
      <c r="AA336" s="119"/>
      <c r="AB336" s="119"/>
      <c r="AC336" s="119"/>
      <c r="AD336" s="119"/>
      <c r="AE336" s="119"/>
      <c r="AF336" s="119"/>
      <c r="AG336" s="119"/>
      <c r="AH336" s="119"/>
      <c r="AJ336" s="64"/>
      <c r="AK336" s="64" t="s">
        <v>2339</v>
      </c>
    </row>
    <row r="337" spans="2:37" ht="16.5" customHeight="1">
      <c r="B337" s="12" t="s">
        <v>1902</v>
      </c>
      <c r="C337" s="12" t="str">
        <f t="shared" si="72"/>
        <v>FF03E03B00011F</v>
      </c>
      <c r="D337" s="60" t="s">
        <v>91</v>
      </c>
      <c r="E337" s="60" t="s">
        <v>15</v>
      </c>
      <c r="F337" s="60" t="s">
        <v>1861</v>
      </c>
      <c r="G337" s="60" t="s">
        <v>16</v>
      </c>
      <c r="H337" s="60" t="s">
        <v>24</v>
      </c>
      <c r="I337" s="12" t="str">
        <f t="shared" si="75"/>
        <v>1F</v>
      </c>
      <c r="J337" s="12"/>
      <c r="K337" s="12"/>
      <c r="L337" s="12"/>
      <c r="M337" s="12"/>
      <c r="N337" s="12"/>
      <c r="O337" s="12"/>
      <c r="P337" s="12"/>
      <c r="Q337" s="13">
        <f t="shared" si="74"/>
        <v>3</v>
      </c>
      <c r="R337" s="13">
        <f t="shared" si="74"/>
        <v>224</v>
      </c>
      <c r="S337" s="13">
        <f t="shared" si="74"/>
        <v>59</v>
      </c>
      <c r="T337" s="13">
        <f t="shared" si="74"/>
        <v>0</v>
      </c>
      <c r="U337" s="13">
        <f t="shared" si="74"/>
        <v>1</v>
      </c>
      <c r="V337" s="13">
        <f t="shared" si="78"/>
        <v>287</v>
      </c>
      <c r="W337" s="13" t="str">
        <f t="shared" si="76"/>
        <v>1F</v>
      </c>
      <c r="X337" s="13">
        <f t="shared" si="77"/>
        <v>571</v>
      </c>
      <c r="Y337" s="13" t="str">
        <f t="shared" si="70"/>
        <v>3B</v>
      </c>
      <c r="Z337" s="119"/>
      <c r="AA337" s="119"/>
      <c r="AB337" s="119"/>
      <c r="AC337" s="119"/>
      <c r="AD337" s="119"/>
      <c r="AE337" s="119"/>
      <c r="AF337" s="119"/>
      <c r="AG337" s="119"/>
      <c r="AH337" s="119"/>
      <c r="AJ337" s="64"/>
      <c r="AK337" s="64" t="s">
        <v>2340</v>
      </c>
    </row>
    <row r="338" spans="2:37" ht="16.5" customHeight="1">
      <c r="B338" s="12" t="s">
        <v>1903</v>
      </c>
      <c r="C338" s="12" t="str">
        <f t="shared" si="72"/>
        <v>FF03E03D000020</v>
      </c>
      <c r="D338" s="60" t="s">
        <v>91</v>
      </c>
      <c r="E338" s="60" t="s">
        <v>15</v>
      </c>
      <c r="F338" s="60" t="s">
        <v>1907</v>
      </c>
      <c r="G338" s="60" t="s">
        <v>16</v>
      </c>
      <c r="H338" s="60" t="s">
        <v>16</v>
      </c>
      <c r="I338" s="12" t="str">
        <f t="shared" si="75"/>
        <v>20</v>
      </c>
      <c r="J338" s="12"/>
      <c r="K338" s="12"/>
      <c r="L338" s="12"/>
      <c r="M338" s="12"/>
      <c r="N338" s="12"/>
      <c r="O338" s="12"/>
      <c r="P338" s="12"/>
      <c r="Q338" s="13">
        <f t="shared" si="74"/>
        <v>3</v>
      </c>
      <c r="R338" s="13">
        <f t="shared" si="74"/>
        <v>224</v>
      </c>
      <c r="S338" s="13">
        <f t="shared" si="74"/>
        <v>61</v>
      </c>
      <c r="T338" s="13">
        <f t="shared" si="74"/>
        <v>0</v>
      </c>
      <c r="U338" s="13">
        <f t="shared" si="74"/>
        <v>0</v>
      </c>
      <c r="V338" s="13">
        <f t="shared" si="78"/>
        <v>288</v>
      </c>
      <c r="W338" s="13" t="str">
        <f t="shared" si="76"/>
        <v>20</v>
      </c>
      <c r="X338" s="13">
        <f t="shared" si="77"/>
        <v>573</v>
      </c>
      <c r="Y338" s="13" t="str">
        <f t="shared" si="70"/>
        <v>3D</v>
      </c>
      <c r="Z338" s="119"/>
      <c r="AA338" s="119"/>
      <c r="AB338" s="119"/>
      <c r="AC338" s="119"/>
      <c r="AD338" s="119"/>
      <c r="AE338" s="119"/>
      <c r="AF338" s="119"/>
      <c r="AG338" s="119"/>
      <c r="AH338" s="119"/>
      <c r="AJ338" s="64"/>
      <c r="AK338" s="64" t="s">
        <v>2341</v>
      </c>
    </row>
    <row r="339" spans="2:37" ht="16.5" customHeight="1">
      <c r="B339" s="12" t="s">
        <v>1904</v>
      </c>
      <c r="C339" s="12" t="str">
        <f t="shared" si="72"/>
        <v>FF03E03E000021</v>
      </c>
      <c r="D339" s="60" t="s">
        <v>91</v>
      </c>
      <c r="E339" s="60" t="s">
        <v>15</v>
      </c>
      <c r="F339" s="60" t="s">
        <v>1862</v>
      </c>
      <c r="G339" s="60" t="s">
        <v>16</v>
      </c>
      <c r="H339" s="60" t="s">
        <v>16</v>
      </c>
      <c r="I339" s="12" t="str">
        <f t="shared" si="75"/>
        <v>21</v>
      </c>
      <c r="J339" s="12"/>
      <c r="K339" s="12"/>
      <c r="L339" s="12"/>
      <c r="M339" s="12"/>
      <c r="N339" s="12"/>
      <c r="O339" s="12"/>
      <c r="P339" s="12"/>
      <c r="Q339" s="13">
        <f t="shared" si="74"/>
        <v>3</v>
      </c>
      <c r="R339" s="13">
        <f t="shared" si="74"/>
        <v>224</v>
      </c>
      <c r="S339" s="13">
        <f t="shared" si="74"/>
        <v>62</v>
      </c>
      <c r="T339" s="13">
        <f t="shared" si="74"/>
        <v>0</v>
      </c>
      <c r="U339" s="13">
        <f t="shared" si="74"/>
        <v>0</v>
      </c>
      <c r="V339" s="13">
        <f t="shared" si="78"/>
        <v>289</v>
      </c>
      <c r="W339" s="13" t="str">
        <f t="shared" si="76"/>
        <v>21</v>
      </c>
      <c r="X339" s="13">
        <f t="shared" si="77"/>
        <v>575</v>
      </c>
      <c r="Y339" s="13" t="str">
        <f t="shared" si="70"/>
        <v>3F</v>
      </c>
      <c r="Z339" s="119"/>
      <c r="AA339" s="119"/>
      <c r="AB339" s="119"/>
      <c r="AC339" s="119"/>
      <c r="AD339" s="119"/>
      <c r="AE339" s="119"/>
      <c r="AF339" s="119"/>
      <c r="AG339" s="119"/>
      <c r="AH339" s="119"/>
      <c r="AJ339" s="64"/>
      <c r="AK339" s="64" t="s">
        <v>2342</v>
      </c>
    </row>
    <row r="340" spans="2:37" ht="16.5" customHeight="1">
      <c r="B340" s="12" t="s">
        <v>1905</v>
      </c>
      <c r="C340" s="12" t="str">
        <f t="shared" si="72"/>
        <v>FF03E03F000022</v>
      </c>
      <c r="D340" s="60" t="s">
        <v>91</v>
      </c>
      <c r="E340" s="60" t="s">
        <v>15</v>
      </c>
      <c r="F340" s="60" t="s">
        <v>1389</v>
      </c>
      <c r="G340" s="60" t="s">
        <v>16</v>
      </c>
      <c r="H340" s="60" t="s">
        <v>16</v>
      </c>
      <c r="I340" s="12" t="str">
        <f t="shared" si="75"/>
        <v>22</v>
      </c>
      <c r="J340" s="12"/>
      <c r="K340" s="12"/>
      <c r="L340" s="12"/>
      <c r="M340" s="12"/>
      <c r="N340" s="12"/>
      <c r="O340" s="12"/>
      <c r="P340" s="12"/>
      <c r="Q340" s="13">
        <f t="shared" si="74"/>
        <v>3</v>
      </c>
      <c r="R340" s="13">
        <f t="shared" si="74"/>
        <v>224</v>
      </c>
      <c r="S340" s="13">
        <f t="shared" si="74"/>
        <v>63</v>
      </c>
      <c r="T340" s="13">
        <f t="shared" si="74"/>
        <v>0</v>
      </c>
      <c r="U340" s="13">
        <f t="shared" si="74"/>
        <v>0</v>
      </c>
      <c r="V340" s="13">
        <f t="shared" si="78"/>
        <v>290</v>
      </c>
      <c r="W340" s="13" t="str">
        <f>REPT("0",2-LEN(RIGHT(DEC2HEX(V340), 2)))&amp;RIGHT(DEC2HEX(V340), 2)</f>
        <v>22</v>
      </c>
      <c r="X340" s="13">
        <f t="shared" si="77"/>
        <v>577</v>
      </c>
      <c r="Y340" s="13" t="str">
        <f t="shared" si="70"/>
        <v>41</v>
      </c>
      <c r="Z340" s="119"/>
      <c r="AA340" s="119"/>
      <c r="AB340" s="119"/>
      <c r="AC340" s="119"/>
      <c r="AD340" s="119"/>
      <c r="AE340" s="119"/>
      <c r="AF340" s="119"/>
      <c r="AG340" s="119"/>
      <c r="AH340" s="119"/>
      <c r="AJ340" s="64"/>
      <c r="AK340" s="64" t="s">
        <v>2343</v>
      </c>
    </row>
    <row r="341" spans="2:37" s="115" customFormat="1" ht="16.5" customHeight="1">
      <c r="B341" s="112" t="s">
        <v>1961</v>
      </c>
      <c r="C341" s="112" t="s">
        <v>1614</v>
      </c>
      <c r="D341" s="113" t="s">
        <v>91</v>
      </c>
      <c r="E341" s="113"/>
      <c r="F341" s="113"/>
      <c r="G341" s="113"/>
      <c r="H341" s="113"/>
      <c r="I341" s="112" t="str">
        <f t="shared" si="75"/>
        <v>03</v>
      </c>
      <c r="J341" s="112"/>
      <c r="K341" s="112"/>
      <c r="L341" s="112"/>
      <c r="M341" s="112"/>
      <c r="N341" s="112"/>
      <c r="O341" s="112"/>
      <c r="P341" s="112"/>
      <c r="Q341" s="114">
        <f t="shared" si="74"/>
        <v>3</v>
      </c>
      <c r="R341" s="114">
        <f t="shared" si="74"/>
        <v>0</v>
      </c>
      <c r="S341" s="114">
        <f t="shared" si="74"/>
        <v>0</v>
      </c>
      <c r="T341" s="114">
        <f t="shared" si="74"/>
        <v>0</v>
      </c>
      <c r="U341" s="114">
        <f t="shared" si="74"/>
        <v>0</v>
      </c>
      <c r="V341" s="114">
        <f t="shared" si="78"/>
        <v>3</v>
      </c>
      <c r="W341" s="114" t="str">
        <f t="shared" si="76"/>
        <v>03</v>
      </c>
      <c r="X341" s="114">
        <f t="shared" si="77"/>
        <v>3</v>
      </c>
      <c r="Y341" s="114" t="str">
        <f t="shared" si="70"/>
        <v>03</v>
      </c>
      <c r="Z341" s="118"/>
      <c r="AA341" s="118"/>
      <c r="AB341" s="118"/>
      <c r="AC341" s="118"/>
      <c r="AD341" s="118"/>
      <c r="AE341" s="118"/>
      <c r="AF341" s="118"/>
      <c r="AG341" s="118"/>
      <c r="AH341" s="118"/>
      <c r="AJ341" s="116"/>
      <c r="AK341" s="116" t="s">
        <v>1613</v>
      </c>
    </row>
    <row r="342" spans="2:37" ht="16.5" customHeight="1">
      <c r="B342" s="111" t="s">
        <v>2353</v>
      </c>
      <c r="C342" s="111" t="str">
        <f>"FF"&amp;D342&amp;E342&amp;""&amp;F342&amp;G342&amp;H342&amp;I342</f>
        <v>FF01E140000022</v>
      </c>
      <c r="D342" s="60" t="s">
        <v>24</v>
      </c>
      <c r="E342" s="60" t="s">
        <v>161</v>
      </c>
      <c r="F342" s="60" t="s">
        <v>1503</v>
      </c>
      <c r="G342" s="60" t="s">
        <v>16</v>
      </c>
      <c r="H342" s="60" t="s">
        <v>16</v>
      </c>
      <c r="I342" s="12" t="str">
        <f t="shared" si="75"/>
        <v>22</v>
      </c>
      <c r="J342" s="12"/>
      <c r="K342" s="12"/>
      <c r="L342" s="12"/>
      <c r="M342" s="12"/>
      <c r="N342" s="12"/>
      <c r="O342" s="12"/>
      <c r="P342" s="12"/>
      <c r="Q342" s="13">
        <f t="shared" si="74"/>
        <v>1</v>
      </c>
      <c r="R342" s="13">
        <f t="shared" si="74"/>
        <v>225</v>
      </c>
      <c r="S342" s="13">
        <f t="shared" si="74"/>
        <v>64</v>
      </c>
      <c r="T342" s="13">
        <f t="shared" si="74"/>
        <v>0</v>
      </c>
      <c r="U342" s="13">
        <f t="shared" si="74"/>
        <v>0</v>
      </c>
      <c r="V342" s="13">
        <f t="shared" si="78"/>
        <v>290</v>
      </c>
      <c r="W342" s="13" t="str">
        <f t="shared" si="76"/>
        <v>22</v>
      </c>
      <c r="X342" s="13">
        <f t="shared" si="77"/>
        <v>579</v>
      </c>
      <c r="Y342" s="13" t="str">
        <f t="shared" si="70"/>
        <v>43</v>
      </c>
      <c r="Z342" s="119"/>
      <c r="AA342" s="119"/>
      <c r="AB342" s="119"/>
      <c r="AC342" s="119"/>
      <c r="AD342" s="119"/>
      <c r="AE342" s="119"/>
      <c r="AF342" s="119"/>
      <c r="AG342" s="119"/>
      <c r="AH342" s="119"/>
      <c r="AJ342" s="64"/>
      <c r="AK342" s="64" t="s">
        <v>2354</v>
      </c>
    </row>
    <row r="343" spans="2:37" ht="16.5" customHeight="1">
      <c r="B343" s="111" t="s">
        <v>2065</v>
      </c>
      <c r="C343" s="111" t="str">
        <f>"FF"&amp;D343&amp;E343&amp;""&amp;F343&amp;G343&amp;H343&amp;I343</f>
        <v>FF02E140000023</v>
      </c>
      <c r="D343" s="60" t="s">
        <v>17</v>
      </c>
      <c r="E343" s="60" t="s">
        <v>161</v>
      </c>
      <c r="F343" s="60" t="s">
        <v>1503</v>
      </c>
      <c r="G343" s="60" t="s">
        <v>16</v>
      </c>
      <c r="H343" s="60" t="s">
        <v>16</v>
      </c>
      <c r="I343" s="12" t="str">
        <f t="shared" si="75"/>
        <v>23</v>
      </c>
      <c r="J343" s="12"/>
      <c r="K343" s="12"/>
      <c r="L343" s="12"/>
      <c r="M343" s="12"/>
      <c r="N343" s="12"/>
      <c r="O343" s="12"/>
      <c r="P343" s="12"/>
      <c r="Q343" s="13">
        <f t="shared" si="74"/>
        <v>2</v>
      </c>
      <c r="R343" s="13">
        <f t="shared" si="74"/>
        <v>225</v>
      </c>
      <c r="S343" s="13">
        <f t="shared" si="74"/>
        <v>64</v>
      </c>
      <c r="T343" s="13">
        <f t="shared" si="74"/>
        <v>0</v>
      </c>
      <c r="U343" s="13">
        <f t="shared" si="74"/>
        <v>0</v>
      </c>
      <c r="V343" s="13">
        <f t="shared" si="78"/>
        <v>291</v>
      </c>
      <c r="W343" s="13" t="str">
        <f t="shared" si="76"/>
        <v>23</v>
      </c>
      <c r="X343" s="13">
        <f t="shared" si="77"/>
        <v>580</v>
      </c>
      <c r="Y343" s="13" t="str">
        <f t="shared" si="70"/>
        <v>44</v>
      </c>
      <c r="Z343" s="119"/>
      <c r="AA343" s="119"/>
      <c r="AB343" s="119"/>
      <c r="AC343" s="119"/>
      <c r="AD343" s="119"/>
      <c r="AE343" s="119"/>
      <c r="AF343" s="119"/>
      <c r="AG343" s="119"/>
      <c r="AH343" s="119"/>
      <c r="AJ343" s="64"/>
      <c r="AK343" s="64" t="s">
        <v>2344</v>
      </c>
    </row>
    <row r="344" spans="2:37" ht="16.5" customHeight="1">
      <c r="B344" s="111" t="s">
        <v>2066</v>
      </c>
      <c r="C344" s="111" t="str">
        <f>"FF"&amp;D344&amp;E344&amp;""&amp;F344&amp;G344&amp;H344&amp;I344</f>
        <v>FF03E140000024</v>
      </c>
      <c r="D344" s="60" t="s">
        <v>91</v>
      </c>
      <c r="E344" s="60" t="s">
        <v>161</v>
      </c>
      <c r="F344" s="60" t="s">
        <v>1503</v>
      </c>
      <c r="G344" s="60" t="s">
        <v>16</v>
      </c>
      <c r="H344" s="60" t="s">
        <v>16</v>
      </c>
      <c r="I344" s="12" t="str">
        <f t="shared" si="75"/>
        <v>24</v>
      </c>
      <c r="J344" s="12"/>
      <c r="K344" s="12"/>
      <c r="L344" s="12"/>
      <c r="M344" s="12"/>
      <c r="N344" s="12"/>
      <c r="O344" s="12"/>
      <c r="P344" s="12"/>
      <c r="Q344" s="13">
        <f t="shared" si="74"/>
        <v>3</v>
      </c>
      <c r="R344" s="13">
        <f t="shared" si="74"/>
        <v>225</v>
      </c>
      <c r="S344" s="13">
        <f t="shared" si="74"/>
        <v>64</v>
      </c>
      <c r="T344" s="13">
        <f t="shared" si="74"/>
        <v>0</v>
      </c>
      <c r="U344" s="13">
        <f t="shared" si="74"/>
        <v>0</v>
      </c>
      <c r="V344" s="13">
        <f t="shared" ref="V344" si="79">SUM(Q344:U344)</f>
        <v>292</v>
      </c>
      <c r="W344" s="13" t="str">
        <f t="shared" si="76"/>
        <v>24</v>
      </c>
      <c r="X344" s="13">
        <f t="shared" si="77"/>
        <v>581</v>
      </c>
      <c r="Y344" s="13" t="str">
        <f t="shared" si="70"/>
        <v>45</v>
      </c>
      <c r="Z344" s="119"/>
      <c r="AA344" s="119"/>
      <c r="AB344" s="119"/>
      <c r="AC344" s="119"/>
      <c r="AD344" s="119"/>
      <c r="AE344" s="119"/>
      <c r="AF344" s="119"/>
      <c r="AG344" s="119"/>
      <c r="AH344" s="119"/>
      <c r="AJ344" s="64"/>
      <c r="AK344" s="64" t="s">
        <v>2345</v>
      </c>
    </row>
    <row r="345" spans="2:37" s="115" customFormat="1" ht="16.5" customHeight="1">
      <c r="B345" s="112" t="s">
        <v>1988</v>
      </c>
      <c r="C345" s="112" t="s">
        <v>1614</v>
      </c>
      <c r="D345" s="113" t="s">
        <v>17</v>
      </c>
      <c r="E345" s="113"/>
      <c r="F345" s="113"/>
      <c r="G345" s="113"/>
      <c r="H345" s="113"/>
      <c r="I345" s="112" t="str">
        <f t="shared" si="75"/>
        <v>02</v>
      </c>
      <c r="J345" s="112"/>
      <c r="K345" s="112"/>
      <c r="L345" s="112"/>
      <c r="M345" s="112"/>
      <c r="N345" s="112"/>
      <c r="O345" s="112"/>
      <c r="P345" s="112"/>
      <c r="Q345" s="114">
        <f t="shared" si="74"/>
        <v>2</v>
      </c>
      <c r="R345" s="114">
        <f t="shared" si="74"/>
        <v>0</v>
      </c>
      <c r="S345" s="114">
        <f t="shared" si="74"/>
        <v>0</v>
      </c>
      <c r="T345" s="114">
        <f t="shared" si="74"/>
        <v>0</v>
      </c>
      <c r="U345" s="114">
        <f t="shared" si="74"/>
        <v>0</v>
      </c>
      <c r="V345" s="114">
        <f>SUM(Q345:U345)</f>
        <v>2</v>
      </c>
      <c r="W345" s="114" t="str">
        <f t="shared" si="76"/>
        <v>02</v>
      </c>
      <c r="X345" s="114">
        <f t="shared" si="77"/>
        <v>2</v>
      </c>
      <c r="Y345" s="114" t="str">
        <f t="shared" ref="Y345" si="80">REPT("0",2-LEN(RIGHT(DEC2HEX(X345), 2)))&amp;RIGHT(DEC2HEX(X345), 2)</f>
        <v>02</v>
      </c>
      <c r="Z345" s="118"/>
      <c r="AA345" s="118"/>
      <c r="AB345" s="118"/>
      <c r="AC345" s="118"/>
      <c r="AD345" s="118"/>
      <c r="AE345" s="118"/>
      <c r="AF345" s="118"/>
      <c r="AG345" s="118"/>
      <c r="AH345" s="118"/>
      <c r="AJ345" s="116"/>
      <c r="AK345" s="116" t="s">
        <v>1613</v>
      </c>
    </row>
    <row r="346" spans="2:37" ht="16.5" customHeight="1">
      <c r="B346" s="111" t="s">
        <v>1989</v>
      </c>
      <c r="C346" s="12" t="str">
        <f t="shared" ref="C346:C364" si="81">"82"&amp;D346&amp;E346&amp;""&amp;F346&amp;G346&amp;H346&amp;I346&amp;J346&amp;K346&amp;L346&amp;M346&amp;N346&amp;O346&amp;P346</f>
        <v>820200A7000000000000000000A9</v>
      </c>
      <c r="D346" s="60" t="s">
        <v>17</v>
      </c>
      <c r="E346" s="60" t="s">
        <v>16</v>
      </c>
      <c r="F346" s="60" t="s">
        <v>1958</v>
      </c>
      <c r="G346" s="60" t="s">
        <v>16</v>
      </c>
      <c r="H346" s="60" t="s">
        <v>16</v>
      </c>
      <c r="I346" s="60" t="s">
        <v>16</v>
      </c>
      <c r="J346" s="60" t="s">
        <v>16</v>
      </c>
      <c r="K346" s="60" t="s">
        <v>16</v>
      </c>
      <c r="L346" s="60" t="s">
        <v>16</v>
      </c>
      <c r="M346" s="60" t="s">
        <v>16</v>
      </c>
      <c r="N346" s="60" t="s">
        <v>16</v>
      </c>
      <c r="O346" s="60" t="s">
        <v>16</v>
      </c>
      <c r="P346" s="12" t="str">
        <f t="shared" ref="P346:P364" si="82">W346</f>
        <v>A9</v>
      </c>
      <c r="Q346" s="114">
        <f t="shared" si="74"/>
        <v>2</v>
      </c>
      <c r="R346" s="114">
        <f t="shared" si="74"/>
        <v>0</v>
      </c>
      <c r="S346" s="114">
        <f t="shared" si="74"/>
        <v>167</v>
      </c>
      <c r="T346" s="114">
        <f t="shared" si="74"/>
        <v>0</v>
      </c>
      <c r="U346" s="114">
        <f t="shared" si="74"/>
        <v>0</v>
      </c>
      <c r="V346" s="114">
        <f t="shared" ref="V346:V364" si="83">SUM(Q346:U346)+SUM(Z346:AF346)</f>
        <v>169</v>
      </c>
      <c r="W346" s="13" t="str">
        <f t="shared" si="76"/>
        <v>A9</v>
      </c>
      <c r="X346" s="13"/>
      <c r="Y346" s="13"/>
      <c r="Z346" s="114">
        <f t="shared" ref="Z346:AF361" si="84">HEX2DEC(I346)</f>
        <v>0</v>
      </c>
      <c r="AA346" s="114">
        <f t="shared" si="84"/>
        <v>0</v>
      </c>
      <c r="AB346" s="114">
        <f t="shared" si="84"/>
        <v>0</v>
      </c>
      <c r="AC346" s="114">
        <f t="shared" si="84"/>
        <v>0</v>
      </c>
      <c r="AD346" s="114">
        <f t="shared" si="84"/>
        <v>0</v>
      </c>
      <c r="AE346" s="114">
        <f t="shared" si="84"/>
        <v>0</v>
      </c>
      <c r="AF346" s="114">
        <f t="shared" si="84"/>
        <v>0</v>
      </c>
      <c r="AG346" s="119"/>
      <c r="AH346" s="119"/>
      <c r="AJ346" s="64"/>
      <c r="AK346" s="64" t="s">
        <v>2346</v>
      </c>
    </row>
    <row r="347" spans="2:37" ht="16.5" customHeight="1">
      <c r="B347" s="111" t="s">
        <v>1997</v>
      </c>
      <c r="C347" s="12" t="str">
        <f t="shared" si="81"/>
        <v>820200A9000000000000000000AB</v>
      </c>
      <c r="D347" s="60" t="s">
        <v>17</v>
      </c>
      <c r="E347" s="60" t="s">
        <v>16</v>
      </c>
      <c r="F347" s="60" t="s">
        <v>1998</v>
      </c>
      <c r="G347" s="60" t="s">
        <v>16</v>
      </c>
      <c r="H347" s="60" t="s">
        <v>16</v>
      </c>
      <c r="I347" s="60" t="s">
        <v>16</v>
      </c>
      <c r="J347" s="60" t="s">
        <v>16</v>
      </c>
      <c r="K347" s="60" t="s">
        <v>16</v>
      </c>
      <c r="L347" s="60" t="s">
        <v>16</v>
      </c>
      <c r="M347" s="60" t="s">
        <v>16</v>
      </c>
      <c r="N347" s="60" t="s">
        <v>16</v>
      </c>
      <c r="O347" s="60" t="s">
        <v>16</v>
      </c>
      <c r="P347" s="12" t="str">
        <f t="shared" si="82"/>
        <v>AB</v>
      </c>
      <c r="Q347" s="114">
        <f t="shared" si="74"/>
        <v>2</v>
      </c>
      <c r="R347" s="114">
        <f t="shared" si="74"/>
        <v>0</v>
      </c>
      <c r="S347" s="114">
        <f t="shared" si="74"/>
        <v>169</v>
      </c>
      <c r="T347" s="114">
        <f t="shared" si="74"/>
        <v>0</v>
      </c>
      <c r="U347" s="114">
        <f t="shared" si="74"/>
        <v>0</v>
      </c>
      <c r="V347" s="114">
        <f t="shared" si="83"/>
        <v>171</v>
      </c>
      <c r="W347" s="13" t="str">
        <f t="shared" si="76"/>
        <v>AB</v>
      </c>
      <c r="X347" s="13"/>
      <c r="Y347" s="13"/>
      <c r="Z347" s="114">
        <f t="shared" si="84"/>
        <v>0</v>
      </c>
      <c r="AA347" s="114">
        <f t="shared" si="84"/>
        <v>0</v>
      </c>
      <c r="AB347" s="114">
        <f t="shared" si="84"/>
        <v>0</v>
      </c>
      <c r="AC347" s="114">
        <f t="shared" si="84"/>
        <v>0</v>
      </c>
      <c r="AD347" s="114">
        <f t="shared" si="84"/>
        <v>0</v>
      </c>
      <c r="AE347" s="114">
        <f t="shared" si="84"/>
        <v>0</v>
      </c>
      <c r="AF347" s="114">
        <f t="shared" si="84"/>
        <v>0</v>
      </c>
      <c r="AG347" s="119"/>
      <c r="AH347" s="119"/>
      <c r="AJ347" s="64"/>
      <c r="AK347" s="64" t="s">
        <v>2347</v>
      </c>
    </row>
    <row r="348" spans="2:37" ht="16.5" customHeight="1">
      <c r="B348" s="111" t="s">
        <v>1999</v>
      </c>
      <c r="C348" s="12" t="str">
        <f t="shared" si="81"/>
        <v>820200AF000000000000000000B1</v>
      </c>
      <c r="D348" s="60" t="s">
        <v>17</v>
      </c>
      <c r="E348" s="60" t="s">
        <v>16</v>
      </c>
      <c r="F348" s="60" t="s">
        <v>28</v>
      </c>
      <c r="G348" s="60" t="s">
        <v>16</v>
      </c>
      <c r="H348" s="60" t="s">
        <v>16</v>
      </c>
      <c r="I348" s="60" t="s">
        <v>16</v>
      </c>
      <c r="J348" s="60" t="s">
        <v>16</v>
      </c>
      <c r="K348" s="60" t="s">
        <v>16</v>
      </c>
      <c r="L348" s="60" t="s">
        <v>16</v>
      </c>
      <c r="M348" s="60" t="s">
        <v>16</v>
      </c>
      <c r="N348" s="60" t="s">
        <v>16</v>
      </c>
      <c r="O348" s="60" t="s">
        <v>16</v>
      </c>
      <c r="P348" s="12" t="str">
        <f t="shared" si="82"/>
        <v>B1</v>
      </c>
      <c r="Q348" s="114">
        <f t="shared" si="74"/>
        <v>2</v>
      </c>
      <c r="R348" s="114">
        <f t="shared" si="74"/>
        <v>0</v>
      </c>
      <c r="S348" s="114">
        <f t="shared" si="74"/>
        <v>175</v>
      </c>
      <c r="T348" s="114">
        <f t="shared" si="74"/>
        <v>0</v>
      </c>
      <c r="U348" s="114">
        <f t="shared" si="74"/>
        <v>0</v>
      </c>
      <c r="V348" s="114">
        <f t="shared" si="83"/>
        <v>177</v>
      </c>
      <c r="W348" s="13" t="str">
        <f t="shared" si="76"/>
        <v>B1</v>
      </c>
      <c r="X348" s="13"/>
      <c r="Y348" s="13"/>
      <c r="Z348" s="114">
        <f t="shared" si="84"/>
        <v>0</v>
      </c>
      <c r="AA348" s="114">
        <f t="shared" si="84"/>
        <v>0</v>
      </c>
      <c r="AB348" s="114">
        <f t="shared" si="84"/>
        <v>0</v>
      </c>
      <c r="AC348" s="114">
        <f t="shared" si="84"/>
        <v>0</v>
      </c>
      <c r="AD348" s="114">
        <f t="shared" si="84"/>
        <v>0</v>
      </c>
      <c r="AE348" s="114">
        <f t="shared" si="84"/>
        <v>0</v>
      </c>
      <c r="AF348" s="114">
        <f t="shared" si="84"/>
        <v>0</v>
      </c>
      <c r="AG348" s="119"/>
      <c r="AH348" s="119"/>
      <c r="AJ348" s="64"/>
      <c r="AK348" s="64" t="s">
        <v>2348</v>
      </c>
    </row>
    <row r="349" spans="2:37" ht="16.5" customHeight="1">
      <c r="B349" s="111" t="s">
        <v>2000</v>
      </c>
      <c r="C349" s="12" t="str">
        <f t="shared" si="81"/>
        <v>820200AF0FA00000000000000060</v>
      </c>
      <c r="D349" s="60" t="s">
        <v>17</v>
      </c>
      <c r="E349" s="60" t="s">
        <v>16</v>
      </c>
      <c r="F349" s="60" t="s">
        <v>28</v>
      </c>
      <c r="G349" s="60" t="s">
        <v>78</v>
      </c>
      <c r="H349" s="60" t="s">
        <v>23</v>
      </c>
      <c r="I349" s="60" t="s">
        <v>16</v>
      </c>
      <c r="J349" s="60" t="s">
        <v>16</v>
      </c>
      <c r="K349" s="60" t="s">
        <v>16</v>
      </c>
      <c r="L349" s="60" t="s">
        <v>16</v>
      </c>
      <c r="M349" s="60" t="s">
        <v>16</v>
      </c>
      <c r="N349" s="60" t="s">
        <v>16</v>
      </c>
      <c r="O349" s="60" t="s">
        <v>16</v>
      </c>
      <c r="P349" s="12" t="str">
        <f t="shared" si="82"/>
        <v>60</v>
      </c>
      <c r="Q349" s="114">
        <f t="shared" si="74"/>
        <v>2</v>
      </c>
      <c r="R349" s="114">
        <f t="shared" si="74"/>
        <v>0</v>
      </c>
      <c r="S349" s="114">
        <f t="shared" si="74"/>
        <v>175</v>
      </c>
      <c r="T349" s="114">
        <f t="shared" si="74"/>
        <v>15</v>
      </c>
      <c r="U349" s="114">
        <f t="shared" si="74"/>
        <v>160</v>
      </c>
      <c r="V349" s="114">
        <f t="shared" si="83"/>
        <v>352</v>
      </c>
      <c r="W349" s="13" t="str">
        <f t="shared" si="76"/>
        <v>60</v>
      </c>
      <c r="X349" s="13"/>
      <c r="Y349" s="13"/>
      <c r="Z349" s="114">
        <f t="shared" si="84"/>
        <v>0</v>
      </c>
      <c r="AA349" s="114">
        <f>HEX2DEC(J349)</f>
        <v>0</v>
      </c>
      <c r="AB349" s="114">
        <f t="shared" si="84"/>
        <v>0</v>
      </c>
      <c r="AC349" s="114">
        <f t="shared" si="84"/>
        <v>0</v>
      </c>
      <c r="AD349" s="114">
        <f t="shared" si="84"/>
        <v>0</v>
      </c>
      <c r="AE349" s="114">
        <f t="shared" si="84"/>
        <v>0</v>
      </c>
      <c r="AF349" s="114">
        <f t="shared" si="84"/>
        <v>0</v>
      </c>
      <c r="AG349" s="119"/>
      <c r="AH349" s="119"/>
      <c r="AJ349" s="64"/>
      <c r="AK349" s="64" t="s">
        <v>2032</v>
      </c>
    </row>
    <row r="350" spans="2:37" ht="16.5" customHeight="1">
      <c r="B350" s="111" t="s">
        <v>2001</v>
      </c>
      <c r="C350" s="12" t="str">
        <f t="shared" si="81"/>
        <v>820200AF1F400000000000000010</v>
      </c>
      <c r="D350" s="60" t="s">
        <v>17</v>
      </c>
      <c r="E350" s="60" t="s">
        <v>16</v>
      </c>
      <c r="F350" s="60" t="s">
        <v>28</v>
      </c>
      <c r="G350" s="60" t="s">
        <v>1803</v>
      </c>
      <c r="H350" s="60" t="s">
        <v>1503</v>
      </c>
      <c r="I350" s="60" t="s">
        <v>16</v>
      </c>
      <c r="J350" s="60" t="s">
        <v>16</v>
      </c>
      <c r="K350" s="60" t="s">
        <v>16</v>
      </c>
      <c r="L350" s="60" t="s">
        <v>16</v>
      </c>
      <c r="M350" s="60" t="s">
        <v>16</v>
      </c>
      <c r="N350" s="60" t="s">
        <v>16</v>
      </c>
      <c r="O350" s="60" t="s">
        <v>16</v>
      </c>
      <c r="P350" s="12" t="str">
        <f t="shared" si="82"/>
        <v>10</v>
      </c>
      <c r="Q350" s="114">
        <f t="shared" si="74"/>
        <v>2</v>
      </c>
      <c r="R350" s="114">
        <f t="shared" si="74"/>
        <v>0</v>
      </c>
      <c r="S350" s="114">
        <f t="shared" si="74"/>
        <v>175</v>
      </c>
      <c r="T350" s="114">
        <f t="shared" si="74"/>
        <v>31</v>
      </c>
      <c r="U350" s="114">
        <f t="shared" si="74"/>
        <v>64</v>
      </c>
      <c r="V350" s="114">
        <f t="shared" si="83"/>
        <v>272</v>
      </c>
      <c r="W350" s="13" t="str">
        <f t="shared" si="76"/>
        <v>10</v>
      </c>
      <c r="X350" s="13"/>
      <c r="Y350" s="13"/>
      <c r="Z350" s="114">
        <f t="shared" si="84"/>
        <v>0</v>
      </c>
      <c r="AA350" s="114">
        <f t="shared" si="84"/>
        <v>0</v>
      </c>
      <c r="AB350" s="114">
        <f t="shared" si="84"/>
        <v>0</v>
      </c>
      <c r="AC350" s="114">
        <f t="shared" si="84"/>
        <v>0</v>
      </c>
      <c r="AD350" s="114">
        <f t="shared" si="84"/>
        <v>0</v>
      </c>
      <c r="AE350" s="114">
        <f t="shared" si="84"/>
        <v>0</v>
      </c>
      <c r="AF350" s="114">
        <f t="shared" si="84"/>
        <v>0</v>
      </c>
      <c r="AG350" s="119"/>
      <c r="AH350" s="119"/>
      <c r="AJ350" s="64"/>
      <c r="AK350" s="64" t="s">
        <v>2033</v>
      </c>
    </row>
    <row r="351" spans="2:37" ht="16.5" customHeight="1">
      <c r="B351" s="111" t="s">
        <v>2002</v>
      </c>
      <c r="C351" s="12" t="str">
        <f t="shared" si="81"/>
        <v>820200AF2EE000000000000000BF</v>
      </c>
      <c r="D351" s="60" t="s">
        <v>17</v>
      </c>
      <c r="E351" s="60" t="s">
        <v>16</v>
      </c>
      <c r="F351" s="60" t="s">
        <v>28</v>
      </c>
      <c r="G351" s="60" t="s">
        <v>2003</v>
      </c>
      <c r="H351" s="60" t="s">
        <v>15</v>
      </c>
      <c r="I351" s="60" t="s">
        <v>16</v>
      </c>
      <c r="J351" s="60" t="s">
        <v>16</v>
      </c>
      <c r="K351" s="60" t="s">
        <v>16</v>
      </c>
      <c r="L351" s="60" t="s">
        <v>16</v>
      </c>
      <c r="M351" s="60" t="s">
        <v>16</v>
      </c>
      <c r="N351" s="60" t="s">
        <v>16</v>
      </c>
      <c r="O351" s="60" t="s">
        <v>16</v>
      </c>
      <c r="P351" s="12" t="str">
        <f t="shared" si="82"/>
        <v>BF</v>
      </c>
      <c r="Q351" s="114">
        <f t="shared" si="74"/>
        <v>2</v>
      </c>
      <c r="R351" s="114">
        <f t="shared" si="74"/>
        <v>0</v>
      </c>
      <c r="S351" s="114">
        <f t="shared" si="74"/>
        <v>175</v>
      </c>
      <c r="T351" s="114">
        <f t="shared" si="74"/>
        <v>46</v>
      </c>
      <c r="U351" s="114">
        <f t="shared" si="74"/>
        <v>224</v>
      </c>
      <c r="V351" s="114">
        <f t="shared" si="83"/>
        <v>447</v>
      </c>
      <c r="W351" s="13" t="str">
        <f t="shared" si="76"/>
        <v>BF</v>
      </c>
      <c r="X351" s="13"/>
      <c r="Y351" s="13"/>
      <c r="Z351" s="114">
        <f t="shared" si="84"/>
        <v>0</v>
      </c>
      <c r="AA351" s="114">
        <f t="shared" si="84"/>
        <v>0</v>
      </c>
      <c r="AB351" s="114">
        <f t="shared" si="84"/>
        <v>0</v>
      </c>
      <c r="AC351" s="114">
        <f t="shared" si="84"/>
        <v>0</v>
      </c>
      <c r="AD351" s="114">
        <f t="shared" si="84"/>
        <v>0</v>
      </c>
      <c r="AE351" s="114">
        <f t="shared" si="84"/>
        <v>0</v>
      </c>
      <c r="AF351" s="114">
        <f t="shared" si="84"/>
        <v>0</v>
      </c>
      <c r="AG351" s="119"/>
      <c r="AH351" s="119"/>
      <c r="AJ351" s="64"/>
      <c r="AK351" s="64" t="s">
        <v>2349</v>
      </c>
    </row>
    <row r="352" spans="2:37" ht="16.5" customHeight="1">
      <c r="B352" s="111" t="s">
        <v>2004</v>
      </c>
      <c r="C352" s="12" t="str">
        <f t="shared" si="81"/>
        <v>820200AF3E7F000000000000006E</v>
      </c>
      <c r="D352" s="60" t="s">
        <v>17</v>
      </c>
      <c r="E352" s="60" t="s">
        <v>16</v>
      </c>
      <c r="F352" s="60" t="s">
        <v>28</v>
      </c>
      <c r="G352" s="60" t="s">
        <v>1862</v>
      </c>
      <c r="H352" s="60" t="s">
        <v>1388</v>
      </c>
      <c r="I352" s="60" t="s">
        <v>16</v>
      </c>
      <c r="J352" s="60" t="s">
        <v>16</v>
      </c>
      <c r="K352" s="60" t="s">
        <v>16</v>
      </c>
      <c r="L352" s="60" t="s">
        <v>16</v>
      </c>
      <c r="M352" s="60" t="s">
        <v>16</v>
      </c>
      <c r="N352" s="60" t="s">
        <v>16</v>
      </c>
      <c r="O352" s="60" t="s">
        <v>16</v>
      </c>
      <c r="P352" s="12" t="str">
        <f t="shared" si="82"/>
        <v>6E</v>
      </c>
      <c r="Q352" s="114">
        <f t="shared" si="74"/>
        <v>2</v>
      </c>
      <c r="R352" s="114">
        <f t="shared" si="74"/>
        <v>0</v>
      </c>
      <c r="S352" s="114">
        <f t="shared" si="74"/>
        <v>175</v>
      </c>
      <c r="T352" s="114">
        <f t="shared" si="74"/>
        <v>62</v>
      </c>
      <c r="U352" s="114">
        <f t="shared" si="74"/>
        <v>127</v>
      </c>
      <c r="V352" s="114">
        <f t="shared" si="83"/>
        <v>366</v>
      </c>
      <c r="W352" s="13" t="str">
        <f t="shared" si="76"/>
        <v>6E</v>
      </c>
      <c r="X352" s="13"/>
      <c r="Y352" s="13"/>
      <c r="Z352" s="114">
        <f t="shared" si="84"/>
        <v>0</v>
      </c>
      <c r="AA352" s="114">
        <f t="shared" si="84"/>
        <v>0</v>
      </c>
      <c r="AB352" s="114">
        <f t="shared" si="84"/>
        <v>0</v>
      </c>
      <c r="AC352" s="114">
        <f t="shared" si="84"/>
        <v>0</v>
      </c>
      <c r="AD352" s="114">
        <f t="shared" si="84"/>
        <v>0</v>
      </c>
      <c r="AE352" s="114">
        <f t="shared" si="84"/>
        <v>0</v>
      </c>
      <c r="AF352" s="114">
        <f t="shared" si="84"/>
        <v>0</v>
      </c>
      <c r="AG352" s="119"/>
      <c r="AH352" s="119"/>
      <c r="AJ352" s="64"/>
      <c r="AK352" s="64" t="s">
        <v>2034</v>
      </c>
    </row>
    <row r="353" spans="2:37" ht="16.5" customHeight="1">
      <c r="B353" s="111" t="s">
        <v>2005</v>
      </c>
      <c r="C353" s="12" t="str">
        <f t="shared" si="81"/>
        <v>820200AF00000FA0000000000060</v>
      </c>
      <c r="D353" s="60" t="s">
        <v>17</v>
      </c>
      <c r="E353" s="60" t="s">
        <v>16</v>
      </c>
      <c r="F353" s="60" t="s">
        <v>28</v>
      </c>
      <c r="G353" s="60" t="s">
        <v>16</v>
      </c>
      <c r="H353" s="60" t="s">
        <v>16</v>
      </c>
      <c r="I353" s="60" t="s">
        <v>78</v>
      </c>
      <c r="J353" s="60" t="s">
        <v>23</v>
      </c>
      <c r="K353" s="60" t="s">
        <v>16</v>
      </c>
      <c r="L353" s="60" t="s">
        <v>16</v>
      </c>
      <c r="M353" s="60" t="s">
        <v>16</v>
      </c>
      <c r="N353" s="60" t="s">
        <v>16</v>
      </c>
      <c r="O353" s="60" t="s">
        <v>16</v>
      </c>
      <c r="P353" s="12" t="str">
        <f t="shared" si="82"/>
        <v>60</v>
      </c>
      <c r="Q353" s="114">
        <f t="shared" si="74"/>
        <v>2</v>
      </c>
      <c r="R353" s="114">
        <f t="shared" si="74"/>
        <v>0</v>
      </c>
      <c r="S353" s="114">
        <f t="shared" si="74"/>
        <v>175</v>
      </c>
      <c r="T353" s="114">
        <f t="shared" si="74"/>
        <v>0</v>
      </c>
      <c r="U353" s="114">
        <f t="shared" si="74"/>
        <v>0</v>
      </c>
      <c r="V353" s="114">
        <f t="shared" si="83"/>
        <v>352</v>
      </c>
      <c r="W353" s="13" t="str">
        <f>REPT("0",2-LEN(RIGHT(DEC2HEX(V353), 2)))&amp;RIGHT(DEC2HEX(V353), 2)</f>
        <v>60</v>
      </c>
      <c r="X353" s="13"/>
      <c r="Y353" s="13"/>
      <c r="Z353" s="114">
        <f t="shared" si="84"/>
        <v>15</v>
      </c>
      <c r="AA353" s="114">
        <f t="shared" si="84"/>
        <v>160</v>
      </c>
      <c r="AB353" s="114">
        <f t="shared" si="84"/>
        <v>0</v>
      </c>
      <c r="AC353" s="114">
        <f t="shared" si="84"/>
        <v>0</v>
      </c>
      <c r="AD353" s="114">
        <f t="shared" si="84"/>
        <v>0</v>
      </c>
      <c r="AE353" s="114">
        <f t="shared" si="84"/>
        <v>0</v>
      </c>
      <c r="AF353" s="114">
        <f t="shared" si="84"/>
        <v>0</v>
      </c>
      <c r="AG353" s="119"/>
      <c r="AH353" s="119"/>
      <c r="AJ353" s="64"/>
      <c r="AK353" s="64" t="s">
        <v>2035</v>
      </c>
    </row>
    <row r="354" spans="2:37" ht="16.5" customHeight="1">
      <c r="B354" s="111" t="s">
        <v>2006</v>
      </c>
      <c r="C354" s="12" t="str">
        <f t="shared" si="81"/>
        <v>820200AF00001F40000000000010</v>
      </c>
      <c r="D354" s="60" t="s">
        <v>17</v>
      </c>
      <c r="E354" s="60" t="s">
        <v>16</v>
      </c>
      <c r="F354" s="60" t="s">
        <v>28</v>
      </c>
      <c r="G354" s="60" t="s">
        <v>16</v>
      </c>
      <c r="H354" s="60" t="s">
        <v>16</v>
      </c>
      <c r="I354" s="60" t="s">
        <v>1803</v>
      </c>
      <c r="J354" s="60" t="s">
        <v>1503</v>
      </c>
      <c r="K354" s="60" t="s">
        <v>16</v>
      </c>
      <c r="L354" s="60" t="s">
        <v>16</v>
      </c>
      <c r="M354" s="60" t="s">
        <v>16</v>
      </c>
      <c r="N354" s="60" t="s">
        <v>16</v>
      </c>
      <c r="O354" s="60" t="s">
        <v>16</v>
      </c>
      <c r="P354" s="12" t="str">
        <f t="shared" si="82"/>
        <v>10</v>
      </c>
      <c r="Q354" s="114">
        <f t="shared" si="74"/>
        <v>2</v>
      </c>
      <c r="R354" s="114">
        <f t="shared" si="74"/>
        <v>0</v>
      </c>
      <c r="S354" s="114">
        <f t="shared" si="74"/>
        <v>175</v>
      </c>
      <c r="T354" s="114">
        <f t="shared" si="74"/>
        <v>0</v>
      </c>
      <c r="U354" s="114">
        <f t="shared" si="74"/>
        <v>0</v>
      </c>
      <c r="V354" s="114">
        <f t="shared" si="83"/>
        <v>272</v>
      </c>
      <c r="W354" s="13" t="str">
        <f t="shared" ref="W354:W364" si="85">REPT("0",2-LEN(RIGHT(DEC2HEX(V354), 2)))&amp;RIGHT(DEC2HEX(V354), 2)</f>
        <v>10</v>
      </c>
      <c r="X354" s="13"/>
      <c r="Y354" s="13"/>
      <c r="Z354" s="114">
        <f t="shared" si="84"/>
        <v>31</v>
      </c>
      <c r="AA354" s="114">
        <f t="shared" si="84"/>
        <v>64</v>
      </c>
      <c r="AB354" s="114">
        <f t="shared" si="84"/>
        <v>0</v>
      </c>
      <c r="AC354" s="114">
        <f t="shared" si="84"/>
        <v>0</v>
      </c>
      <c r="AD354" s="114">
        <f t="shared" si="84"/>
        <v>0</v>
      </c>
      <c r="AE354" s="114">
        <f t="shared" si="84"/>
        <v>0</v>
      </c>
      <c r="AF354" s="114">
        <f t="shared" si="84"/>
        <v>0</v>
      </c>
      <c r="AG354" s="119"/>
      <c r="AH354" s="119"/>
      <c r="AJ354" s="64"/>
      <c r="AK354" s="64" t="s">
        <v>2036</v>
      </c>
    </row>
    <row r="355" spans="2:37" ht="16.5" customHeight="1">
      <c r="B355" s="111" t="s">
        <v>2007</v>
      </c>
      <c r="C355" s="12" t="str">
        <f t="shared" si="81"/>
        <v>820200AF00002EE00000000000BF</v>
      </c>
      <c r="D355" s="60" t="s">
        <v>17</v>
      </c>
      <c r="E355" s="60" t="s">
        <v>16</v>
      </c>
      <c r="F355" s="60" t="s">
        <v>28</v>
      </c>
      <c r="G355" s="60" t="s">
        <v>16</v>
      </c>
      <c r="H355" s="60" t="s">
        <v>16</v>
      </c>
      <c r="I355" s="60" t="s">
        <v>2003</v>
      </c>
      <c r="J355" s="60" t="s">
        <v>15</v>
      </c>
      <c r="K355" s="60" t="s">
        <v>16</v>
      </c>
      <c r="L355" s="60" t="s">
        <v>16</v>
      </c>
      <c r="M355" s="60" t="s">
        <v>16</v>
      </c>
      <c r="N355" s="60" t="s">
        <v>16</v>
      </c>
      <c r="O355" s="60" t="s">
        <v>16</v>
      </c>
      <c r="P355" s="12" t="str">
        <f t="shared" si="82"/>
        <v>BF</v>
      </c>
      <c r="Q355" s="114">
        <f t="shared" si="74"/>
        <v>2</v>
      </c>
      <c r="R355" s="114">
        <f t="shared" si="74"/>
        <v>0</v>
      </c>
      <c r="S355" s="114">
        <f t="shared" si="74"/>
        <v>175</v>
      </c>
      <c r="T355" s="114">
        <f t="shared" si="74"/>
        <v>0</v>
      </c>
      <c r="U355" s="114">
        <f t="shared" si="74"/>
        <v>0</v>
      </c>
      <c r="V355" s="114">
        <f t="shared" si="83"/>
        <v>447</v>
      </c>
      <c r="W355" s="13" t="str">
        <f t="shared" si="85"/>
        <v>BF</v>
      </c>
      <c r="X355" s="13"/>
      <c r="Y355" s="13"/>
      <c r="Z355" s="114">
        <f t="shared" si="84"/>
        <v>46</v>
      </c>
      <c r="AA355" s="114">
        <f t="shared" si="84"/>
        <v>224</v>
      </c>
      <c r="AB355" s="114">
        <f t="shared" si="84"/>
        <v>0</v>
      </c>
      <c r="AC355" s="114">
        <f t="shared" si="84"/>
        <v>0</v>
      </c>
      <c r="AD355" s="114">
        <f t="shared" si="84"/>
        <v>0</v>
      </c>
      <c r="AE355" s="114">
        <f t="shared" si="84"/>
        <v>0</v>
      </c>
      <c r="AF355" s="114">
        <f t="shared" si="84"/>
        <v>0</v>
      </c>
      <c r="AG355" s="119"/>
      <c r="AH355" s="119"/>
      <c r="AJ355" s="64"/>
      <c r="AK355" s="64" t="s">
        <v>2037</v>
      </c>
    </row>
    <row r="356" spans="2:37" ht="16.5" customHeight="1">
      <c r="B356" s="111" t="s">
        <v>2008</v>
      </c>
      <c r="C356" s="12" t="str">
        <f t="shared" si="81"/>
        <v>820200AF00003E7F00000000006E</v>
      </c>
      <c r="D356" s="60" t="s">
        <v>17</v>
      </c>
      <c r="E356" s="60" t="s">
        <v>16</v>
      </c>
      <c r="F356" s="60" t="s">
        <v>28</v>
      </c>
      <c r="G356" s="60" t="s">
        <v>16</v>
      </c>
      <c r="H356" s="60" t="s">
        <v>16</v>
      </c>
      <c r="I356" s="60" t="s">
        <v>1862</v>
      </c>
      <c r="J356" s="60" t="s">
        <v>1388</v>
      </c>
      <c r="K356" s="60" t="s">
        <v>16</v>
      </c>
      <c r="L356" s="60" t="s">
        <v>16</v>
      </c>
      <c r="M356" s="60" t="s">
        <v>16</v>
      </c>
      <c r="N356" s="60" t="s">
        <v>16</v>
      </c>
      <c r="O356" s="60" t="s">
        <v>16</v>
      </c>
      <c r="P356" s="12" t="str">
        <f t="shared" si="82"/>
        <v>6E</v>
      </c>
      <c r="Q356" s="114">
        <f t="shared" si="74"/>
        <v>2</v>
      </c>
      <c r="R356" s="114">
        <f t="shared" si="74"/>
        <v>0</v>
      </c>
      <c r="S356" s="114">
        <f t="shared" si="74"/>
        <v>175</v>
      </c>
      <c r="T356" s="114">
        <f t="shared" si="74"/>
        <v>0</v>
      </c>
      <c r="U356" s="114">
        <f t="shared" si="74"/>
        <v>0</v>
      </c>
      <c r="V356" s="114">
        <f t="shared" si="83"/>
        <v>366</v>
      </c>
      <c r="W356" s="13" t="str">
        <f t="shared" si="85"/>
        <v>6E</v>
      </c>
      <c r="X356" s="13"/>
      <c r="Y356" s="13"/>
      <c r="Z356" s="114">
        <f t="shared" si="84"/>
        <v>62</v>
      </c>
      <c r="AA356" s="114">
        <f t="shared" si="84"/>
        <v>127</v>
      </c>
      <c r="AB356" s="114">
        <f t="shared" si="84"/>
        <v>0</v>
      </c>
      <c r="AC356" s="114">
        <f t="shared" si="84"/>
        <v>0</v>
      </c>
      <c r="AD356" s="114">
        <f t="shared" si="84"/>
        <v>0</v>
      </c>
      <c r="AE356" s="114">
        <f t="shared" si="84"/>
        <v>0</v>
      </c>
      <c r="AF356" s="114">
        <f t="shared" si="84"/>
        <v>0</v>
      </c>
      <c r="AG356" s="119"/>
      <c r="AH356" s="119"/>
      <c r="AJ356" s="64"/>
      <c r="AK356" s="64" t="s">
        <v>2038</v>
      </c>
    </row>
    <row r="357" spans="2:37" ht="16.5" customHeight="1">
      <c r="B357" s="111" t="s">
        <v>2009</v>
      </c>
      <c r="C357" s="12" t="str">
        <f t="shared" si="81"/>
        <v>820200AF000000000E1E000000DD</v>
      </c>
      <c r="D357" s="60" t="s">
        <v>17</v>
      </c>
      <c r="E357" s="60" t="s">
        <v>16</v>
      </c>
      <c r="F357" s="60" t="s">
        <v>28</v>
      </c>
      <c r="G357" s="60" t="s">
        <v>16</v>
      </c>
      <c r="H357" s="60" t="s">
        <v>16</v>
      </c>
      <c r="I357" s="60" t="s">
        <v>16</v>
      </c>
      <c r="J357" s="60" t="s">
        <v>16</v>
      </c>
      <c r="K357" s="60" t="s">
        <v>1960</v>
      </c>
      <c r="L357" s="60" t="s">
        <v>63</v>
      </c>
      <c r="M357" s="60" t="s">
        <v>16</v>
      </c>
      <c r="N357" s="60" t="s">
        <v>16</v>
      </c>
      <c r="O357" s="60" t="s">
        <v>16</v>
      </c>
      <c r="P357" s="12" t="str">
        <f t="shared" si="82"/>
        <v>DD</v>
      </c>
      <c r="Q357" s="114">
        <f t="shared" si="74"/>
        <v>2</v>
      </c>
      <c r="R357" s="114">
        <f t="shared" si="74"/>
        <v>0</v>
      </c>
      <c r="S357" s="114">
        <f t="shared" si="74"/>
        <v>175</v>
      </c>
      <c r="T357" s="114">
        <f t="shared" si="74"/>
        <v>0</v>
      </c>
      <c r="U357" s="114">
        <f t="shared" si="74"/>
        <v>0</v>
      </c>
      <c r="V357" s="114">
        <f t="shared" si="83"/>
        <v>221</v>
      </c>
      <c r="W357" s="13" t="str">
        <f t="shared" si="85"/>
        <v>DD</v>
      </c>
      <c r="X357" s="13"/>
      <c r="Y357" s="13"/>
      <c r="Z357" s="114">
        <f t="shared" si="84"/>
        <v>0</v>
      </c>
      <c r="AA357" s="114">
        <f t="shared" si="84"/>
        <v>0</v>
      </c>
      <c r="AB357" s="114">
        <f t="shared" si="84"/>
        <v>14</v>
      </c>
      <c r="AC357" s="114">
        <f t="shared" si="84"/>
        <v>30</v>
      </c>
      <c r="AD357" s="114">
        <f t="shared" si="84"/>
        <v>0</v>
      </c>
      <c r="AE357" s="114">
        <f t="shared" si="84"/>
        <v>0</v>
      </c>
      <c r="AF357" s="114">
        <f t="shared" si="84"/>
        <v>0</v>
      </c>
      <c r="AG357" s="119"/>
      <c r="AH357" s="119"/>
      <c r="AJ357" s="64"/>
      <c r="AK357" s="64" t="s">
        <v>2350</v>
      </c>
    </row>
    <row r="358" spans="2:37" ht="16.5" customHeight="1">
      <c r="B358" s="111" t="s">
        <v>2010</v>
      </c>
      <c r="C358" s="12" t="str">
        <f t="shared" si="81"/>
        <v>820200AF0000000003870000003B</v>
      </c>
      <c r="D358" s="60" t="s">
        <v>17</v>
      </c>
      <c r="E358" s="60" t="s">
        <v>16</v>
      </c>
      <c r="F358" s="60" t="s">
        <v>28</v>
      </c>
      <c r="G358" s="60" t="s">
        <v>16</v>
      </c>
      <c r="H358" s="60" t="s">
        <v>16</v>
      </c>
      <c r="I358" s="60" t="s">
        <v>16</v>
      </c>
      <c r="J358" s="60" t="s">
        <v>16</v>
      </c>
      <c r="K358" s="60" t="s">
        <v>91</v>
      </c>
      <c r="L358" s="60" t="s">
        <v>2011</v>
      </c>
      <c r="M358" s="60" t="s">
        <v>16</v>
      </c>
      <c r="N358" s="60" t="s">
        <v>16</v>
      </c>
      <c r="O358" s="60" t="s">
        <v>16</v>
      </c>
      <c r="P358" s="12" t="str">
        <f t="shared" si="82"/>
        <v>3B</v>
      </c>
      <c r="Q358" s="114">
        <f t="shared" si="74"/>
        <v>2</v>
      </c>
      <c r="R358" s="114">
        <f t="shared" si="74"/>
        <v>0</v>
      </c>
      <c r="S358" s="114">
        <f t="shared" si="74"/>
        <v>175</v>
      </c>
      <c r="T358" s="114">
        <f t="shared" si="74"/>
        <v>0</v>
      </c>
      <c r="U358" s="114">
        <f t="shared" si="74"/>
        <v>0</v>
      </c>
      <c r="V358" s="114">
        <f t="shared" si="83"/>
        <v>315</v>
      </c>
      <c r="W358" s="13" t="str">
        <f t="shared" si="85"/>
        <v>3B</v>
      </c>
      <c r="X358" s="13"/>
      <c r="Y358" s="13"/>
      <c r="Z358" s="114">
        <f t="shared" si="84"/>
        <v>0</v>
      </c>
      <c r="AA358" s="114">
        <f t="shared" si="84"/>
        <v>0</v>
      </c>
      <c r="AB358" s="114">
        <f t="shared" si="84"/>
        <v>3</v>
      </c>
      <c r="AC358" s="114">
        <f t="shared" si="84"/>
        <v>135</v>
      </c>
      <c r="AD358" s="114">
        <f t="shared" si="84"/>
        <v>0</v>
      </c>
      <c r="AE358" s="114">
        <f t="shared" si="84"/>
        <v>0</v>
      </c>
      <c r="AF358" s="114">
        <f t="shared" si="84"/>
        <v>0</v>
      </c>
      <c r="AG358" s="119"/>
      <c r="AH358" s="119"/>
      <c r="AJ358" s="64"/>
      <c r="AK358" s="64" t="s">
        <v>2039</v>
      </c>
    </row>
    <row r="359" spans="2:37" ht="16.5" customHeight="1">
      <c r="B359" s="111" t="s">
        <v>2012</v>
      </c>
      <c r="C359" s="12" t="str">
        <f t="shared" si="81"/>
        <v>820200AF00000000070E000000C6</v>
      </c>
      <c r="D359" s="60" t="s">
        <v>17</v>
      </c>
      <c r="E359" s="60" t="s">
        <v>16</v>
      </c>
      <c r="F359" s="60" t="s">
        <v>28</v>
      </c>
      <c r="G359" s="60" t="s">
        <v>16</v>
      </c>
      <c r="H359" s="60" t="s">
        <v>16</v>
      </c>
      <c r="I359" s="60" t="s">
        <v>16</v>
      </c>
      <c r="J359" s="60" t="s">
        <v>16</v>
      </c>
      <c r="K359" s="60" t="s">
        <v>101</v>
      </c>
      <c r="L359" s="60" t="s">
        <v>1960</v>
      </c>
      <c r="M359" s="60" t="s">
        <v>16</v>
      </c>
      <c r="N359" s="60" t="s">
        <v>16</v>
      </c>
      <c r="O359" s="60" t="s">
        <v>16</v>
      </c>
      <c r="P359" s="12" t="str">
        <f t="shared" si="82"/>
        <v>C6</v>
      </c>
      <c r="Q359" s="114">
        <f t="shared" si="74"/>
        <v>2</v>
      </c>
      <c r="R359" s="114">
        <f t="shared" si="74"/>
        <v>0</v>
      </c>
      <c r="S359" s="114">
        <f t="shared" si="74"/>
        <v>175</v>
      </c>
      <c r="T359" s="114">
        <f t="shared" si="74"/>
        <v>0</v>
      </c>
      <c r="U359" s="114">
        <f t="shared" si="74"/>
        <v>0</v>
      </c>
      <c r="V359" s="114">
        <f t="shared" si="83"/>
        <v>198</v>
      </c>
      <c r="W359" s="13" t="str">
        <f t="shared" si="85"/>
        <v>C6</v>
      </c>
      <c r="X359" s="13"/>
      <c r="Y359" s="13"/>
      <c r="Z359" s="114">
        <f t="shared" si="84"/>
        <v>0</v>
      </c>
      <c r="AA359" s="114">
        <f t="shared" si="84"/>
        <v>0</v>
      </c>
      <c r="AB359" s="114">
        <f t="shared" si="84"/>
        <v>7</v>
      </c>
      <c r="AC359" s="114">
        <f t="shared" si="84"/>
        <v>14</v>
      </c>
      <c r="AD359" s="114">
        <f t="shared" si="84"/>
        <v>0</v>
      </c>
      <c r="AE359" s="114">
        <f t="shared" si="84"/>
        <v>0</v>
      </c>
      <c r="AF359" s="114">
        <f t="shared" si="84"/>
        <v>0</v>
      </c>
      <c r="AG359" s="119"/>
      <c r="AH359" s="119"/>
      <c r="AJ359" s="64"/>
      <c r="AK359" s="64" t="s">
        <v>2040</v>
      </c>
    </row>
    <row r="360" spans="2:37" ht="16.5" customHeight="1">
      <c r="B360" s="111" t="s">
        <v>2013</v>
      </c>
      <c r="C360" s="12" t="str">
        <f t="shared" si="81"/>
        <v>820200AF000000000A9500000050</v>
      </c>
      <c r="D360" s="60" t="s">
        <v>17</v>
      </c>
      <c r="E360" s="60" t="s">
        <v>16</v>
      </c>
      <c r="F360" s="60" t="s">
        <v>28</v>
      </c>
      <c r="G360" s="60" t="s">
        <v>16</v>
      </c>
      <c r="H360" s="60" t="s">
        <v>16</v>
      </c>
      <c r="I360" s="60" t="s">
        <v>16</v>
      </c>
      <c r="J360" s="60" t="s">
        <v>16</v>
      </c>
      <c r="K360" s="60" t="s">
        <v>61</v>
      </c>
      <c r="L360" s="60" t="s">
        <v>2014</v>
      </c>
      <c r="M360" s="60" t="s">
        <v>16</v>
      </c>
      <c r="N360" s="60" t="s">
        <v>16</v>
      </c>
      <c r="O360" s="60" t="s">
        <v>16</v>
      </c>
      <c r="P360" s="12" t="str">
        <f t="shared" si="82"/>
        <v>50</v>
      </c>
      <c r="Q360" s="114">
        <f t="shared" si="74"/>
        <v>2</v>
      </c>
      <c r="R360" s="114">
        <f t="shared" si="74"/>
        <v>0</v>
      </c>
      <c r="S360" s="114">
        <f t="shared" si="74"/>
        <v>175</v>
      </c>
      <c r="T360" s="114">
        <f t="shared" si="74"/>
        <v>0</v>
      </c>
      <c r="U360" s="114">
        <f t="shared" si="74"/>
        <v>0</v>
      </c>
      <c r="V360" s="114">
        <f t="shared" si="83"/>
        <v>336</v>
      </c>
      <c r="W360" s="13" t="str">
        <f t="shared" si="85"/>
        <v>50</v>
      </c>
      <c r="X360" s="13"/>
      <c r="Y360" s="13"/>
      <c r="Z360" s="114">
        <f t="shared" si="84"/>
        <v>0</v>
      </c>
      <c r="AA360" s="114">
        <f t="shared" si="84"/>
        <v>0</v>
      </c>
      <c r="AB360" s="114">
        <f t="shared" si="84"/>
        <v>10</v>
      </c>
      <c r="AC360" s="114">
        <f t="shared" si="84"/>
        <v>149</v>
      </c>
      <c r="AD360" s="114">
        <f t="shared" si="84"/>
        <v>0</v>
      </c>
      <c r="AE360" s="114">
        <f t="shared" si="84"/>
        <v>0</v>
      </c>
      <c r="AF360" s="114">
        <f t="shared" si="84"/>
        <v>0</v>
      </c>
      <c r="AG360" s="119"/>
      <c r="AH360" s="119"/>
      <c r="AJ360" s="64"/>
      <c r="AK360" s="64" t="s">
        <v>2041</v>
      </c>
    </row>
    <row r="361" spans="2:37" ht="16.5" customHeight="1">
      <c r="B361" s="111" t="s">
        <v>2015</v>
      </c>
      <c r="C361" s="12" t="str">
        <f t="shared" si="81"/>
        <v>820200AF07D007D000000000005F</v>
      </c>
      <c r="D361" s="60" t="s">
        <v>17</v>
      </c>
      <c r="E361" s="60" t="s">
        <v>16</v>
      </c>
      <c r="F361" s="60" t="s">
        <v>28</v>
      </c>
      <c r="G361" s="60" t="s">
        <v>101</v>
      </c>
      <c r="H361" s="60" t="s">
        <v>2016</v>
      </c>
      <c r="I361" s="60" t="s">
        <v>101</v>
      </c>
      <c r="J361" s="60" t="s">
        <v>2016</v>
      </c>
      <c r="K361" s="60" t="s">
        <v>16</v>
      </c>
      <c r="L361" s="60" t="s">
        <v>16</v>
      </c>
      <c r="M361" s="60" t="s">
        <v>16</v>
      </c>
      <c r="N361" s="60" t="s">
        <v>16</v>
      </c>
      <c r="O361" s="60" t="s">
        <v>16</v>
      </c>
      <c r="P361" s="12" t="str">
        <f t="shared" si="82"/>
        <v>5F</v>
      </c>
      <c r="Q361" s="114">
        <f t="shared" si="74"/>
        <v>2</v>
      </c>
      <c r="R361" s="114">
        <f t="shared" si="74"/>
        <v>0</v>
      </c>
      <c r="S361" s="114">
        <f t="shared" si="74"/>
        <v>175</v>
      </c>
      <c r="T361" s="114">
        <f t="shared" si="74"/>
        <v>7</v>
      </c>
      <c r="U361" s="114">
        <f t="shared" si="74"/>
        <v>208</v>
      </c>
      <c r="V361" s="114">
        <f t="shared" si="83"/>
        <v>607</v>
      </c>
      <c r="W361" s="13" t="str">
        <f t="shared" si="85"/>
        <v>5F</v>
      </c>
      <c r="X361" s="13"/>
      <c r="Y361" s="13"/>
      <c r="Z361" s="114">
        <f t="shared" si="84"/>
        <v>7</v>
      </c>
      <c r="AA361" s="114">
        <f t="shared" si="84"/>
        <v>208</v>
      </c>
      <c r="AB361" s="114">
        <f t="shared" si="84"/>
        <v>0</v>
      </c>
      <c r="AC361" s="114">
        <f t="shared" si="84"/>
        <v>0</v>
      </c>
      <c r="AD361" s="114">
        <f t="shared" si="84"/>
        <v>0</v>
      </c>
      <c r="AE361" s="114">
        <f t="shared" si="84"/>
        <v>0</v>
      </c>
      <c r="AF361" s="114">
        <f t="shared" si="84"/>
        <v>0</v>
      </c>
      <c r="AG361" s="119"/>
      <c r="AH361" s="119"/>
      <c r="AJ361" s="64"/>
      <c r="AK361" s="64" t="s">
        <v>2042</v>
      </c>
    </row>
    <row r="362" spans="2:37" ht="16.5" customHeight="1">
      <c r="B362" s="111" t="s">
        <v>2017</v>
      </c>
      <c r="C362" s="12" t="str">
        <f t="shared" si="81"/>
        <v>820200AF0FA01F400000000000BF</v>
      </c>
      <c r="D362" s="60" t="s">
        <v>17</v>
      </c>
      <c r="E362" s="60" t="s">
        <v>16</v>
      </c>
      <c r="F362" s="60" t="s">
        <v>28</v>
      </c>
      <c r="G362" s="60" t="s">
        <v>78</v>
      </c>
      <c r="H362" s="60" t="s">
        <v>23</v>
      </c>
      <c r="I362" s="60" t="s">
        <v>1803</v>
      </c>
      <c r="J362" s="60" t="s">
        <v>1503</v>
      </c>
      <c r="K362" s="60" t="s">
        <v>16</v>
      </c>
      <c r="L362" s="60" t="s">
        <v>16</v>
      </c>
      <c r="M362" s="60" t="s">
        <v>16</v>
      </c>
      <c r="N362" s="60" t="s">
        <v>16</v>
      </c>
      <c r="O362" s="60" t="s">
        <v>16</v>
      </c>
      <c r="P362" s="12" t="str">
        <f t="shared" si="82"/>
        <v>BF</v>
      </c>
      <c r="Q362" s="114">
        <f t="shared" si="74"/>
        <v>2</v>
      </c>
      <c r="R362" s="114">
        <f t="shared" si="74"/>
        <v>0</v>
      </c>
      <c r="S362" s="114">
        <f t="shared" si="74"/>
        <v>175</v>
      </c>
      <c r="T362" s="114">
        <f t="shared" si="74"/>
        <v>15</v>
      </c>
      <c r="U362" s="114">
        <f t="shared" si="74"/>
        <v>160</v>
      </c>
      <c r="V362" s="114">
        <f t="shared" si="83"/>
        <v>447</v>
      </c>
      <c r="W362" s="13" t="str">
        <f t="shared" si="85"/>
        <v>BF</v>
      </c>
      <c r="X362" s="13"/>
      <c r="Y362" s="13"/>
      <c r="Z362" s="114">
        <f t="shared" ref="Z362:AF364" si="86">HEX2DEC(I362)</f>
        <v>31</v>
      </c>
      <c r="AA362" s="114">
        <f t="shared" si="86"/>
        <v>64</v>
      </c>
      <c r="AB362" s="114">
        <f t="shared" si="86"/>
        <v>0</v>
      </c>
      <c r="AC362" s="114">
        <f t="shared" si="86"/>
        <v>0</v>
      </c>
      <c r="AD362" s="114">
        <f t="shared" si="86"/>
        <v>0</v>
      </c>
      <c r="AE362" s="114">
        <f t="shared" si="86"/>
        <v>0</v>
      </c>
      <c r="AF362" s="114">
        <f t="shared" si="86"/>
        <v>0</v>
      </c>
      <c r="AG362" s="119"/>
      <c r="AH362" s="119"/>
      <c r="AJ362" s="64"/>
      <c r="AK362" s="64" t="s">
        <v>2043</v>
      </c>
    </row>
    <row r="363" spans="2:37" ht="16.5" customHeight="1">
      <c r="B363" s="111" t="s">
        <v>2018</v>
      </c>
      <c r="C363" s="12" t="str">
        <f t="shared" si="81"/>
        <v>820200AF1F403E7F0000000000CD</v>
      </c>
      <c r="D363" s="60" t="s">
        <v>17</v>
      </c>
      <c r="E363" s="60" t="s">
        <v>16</v>
      </c>
      <c r="F363" s="60" t="s">
        <v>28</v>
      </c>
      <c r="G363" s="60" t="s">
        <v>1803</v>
      </c>
      <c r="H363" s="60" t="s">
        <v>1503</v>
      </c>
      <c r="I363" s="60" t="s">
        <v>1862</v>
      </c>
      <c r="J363" s="60" t="s">
        <v>1388</v>
      </c>
      <c r="K363" s="60" t="s">
        <v>16</v>
      </c>
      <c r="L363" s="60" t="s">
        <v>16</v>
      </c>
      <c r="M363" s="60" t="s">
        <v>16</v>
      </c>
      <c r="N363" s="60" t="s">
        <v>16</v>
      </c>
      <c r="O363" s="60" t="s">
        <v>16</v>
      </c>
      <c r="P363" s="12" t="str">
        <f t="shared" si="82"/>
        <v>CD</v>
      </c>
      <c r="Q363" s="114">
        <f t="shared" si="74"/>
        <v>2</v>
      </c>
      <c r="R363" s="114">
        <f t="shared" si="74"/>
        <v>0</v>
      </c>
      <c r="S363" s="114">
        <f t="shared" si="74"/>
        <v>175</v>
      </c>
      <c r="T363" s="114">
        <f t="shared" si="74"/>
        <v>31</v>
      </c>
      <c r="U363" s="114">
        <f t="shared" si="74"/>
        <v>64</v>
      </c>
      <c r="V363" s="114">
        <f t="shared" si="83"/>
        <v>461</v>
      </c>
      <c r="W363" s="13" t="str">
        <f t="shared" si="85"/>
        <v>CD</v>
      </c>
      <c r="X363" s="13"/>
      <c r="Y363" s="13"/>
      <c r="Z363" s="114">
        <f t="shared" si="86"/>
        <v>62</v>
      </c>
      <c r="AA363" s="114">
        <f t="shared" si="86"/>
        <v>127</v>
      </c>
      <c r="AB363" s="114">
        <f t="shared" si="86"/>
        <v>0</v>
      </c>
      <c r="AC363" s="114">
        <f t="shared" si="86"/>
        <v>0</v>
      </c>
      <c r="AD363" s="114">
        <f t="shared" si="86"/>
        <v>0</v>
      </c>
      <c r="AE363" s="114">
        <f t="shared" si="86"/>
        <v>0</v>
      </c>
      <c r="AF363" s="114">
        <f t="shared" si="86"/>
        <v>0</v>
      </c>
      <c r="AG363" s="119"/>
      <c r="AH363" s="119"/>
      <c r="AJ363" s="64"/>
      <c r="AK363" s="64" t="s">
        <v>2044</v>
      </c>
    </row>
    <row r="364" spans="2:37" ht="16.5" customHeight="1">
      <c r="B364" s="111" t="s">
        <v>2019</v>
      </c>
      <c r="C364" s="12" t="str">
        <f t="shared" si="81"/>
        <v>820200AF3E7F07D0000000000045</v>
      </c>
      <c r="D364" s="60" t="s">
        <v>17</v>
      </c>
      <c r="E364" s="60" t="s">
        <v>16</v>
      </c>
      <c r="F364" s="60" t="s">
        <v>28</v>
      </c>
      <c r="G364" s="60" t="s">
        <v>1862</v>
      </c>
      <c r="H364" s="60" t="s">
        <v>1388</v>
      </c>
      <c r="I364" s="60" t="s">
        <v>101</v>
      </c>
      <c r="J364" s="60" t="s">
        <v>2016</v>
      </c>
      <c r="K364" s="60" t="s">
        <v>16</v>
      </c>
      <c r="L364" s="60" t="s">
        <v>16</v>
      </c>
      <c r="M364" s="60" t="s">
        <v>16</v>
      </c>
      <c r="N364" s="60" t="s">
        <v>16</v>
      </c>
      <c r="O364" s="60" t="s">
        <v>16</v>
      </c>
      <c r="P364" s="12" t="str">
        <f t="shared" si="82"/>
        <v>45</v>
      </c>
      <c r="Q364" s="114">
        <f t="shared" si="74"/>
        <v>2</v>
      </c>
      <c r="R364" s="114">
        <f t="shared" si="74"/>
        <v>0</v>
      </c>
      <c r="S364" s="114">
        <f t="shared" si="74"/>
        <v>175</v>
      </c>
      <c r="T364" s="114">
        <f t="shared" si="74"/>
        <v>62</v>
      </c>
      <c r="U364" s="114">
        <f t="shared" si="74"/>
        <v>127</v>
      </c>
      <c r="V364" s="114">
        <f t="shared" si="83"/>
        <v>581</v>
      </c>
      <c r="W364" s="13" t="str">
        <f t="shared" si="85"/>
        <v>45</v>
      </c>
      <c r="X364" s="13"/>
      <c r="Y364" s="13"/>
      <c r="Z364" s="114">
        <f t="shared" si="86"/>
        <v>7</v>
      </c>
      <c r="AA364" s="114">
        <f t="shared" si="86"/>
        <v>208</v>
      </c>
      <c r="AB364" s="114">
        <f t="shared" si="86"/>
        <v>0</v>
      </c>
      <c r="AC364" s="114">
        <f t="shared" si="86"/>
        <v>0</v>
      </c>
      <c r="AD364" s="114">
        <f t="shared" si="86"/>
        <v>0</v>
      </c>
      <c r="AE364" s="114">
        <f t="shared" si="86"/>
        <v>0</v>
      </c>
      <c r="AF364" s="114">
        <f t="shared" si="86"/>
        <v>0</v>
      </c>
      <c r="AG364" s="119"/>
      <c r="AH364" s="119"/>
      <c r="AJ364" s="64"/>
      <c r="AK364" s="64" t="s">
        <v>2045</v>
      </c>
    </row>
    <row r="365" spans="2:37" ht="16.5" customHeight="1">
      <c r="B365" s="111" t="s">
        <v>2020</v>
      </c>
      <c r="C365" s="12" t="str">
        <f t="shared" ref="C365:C382" si="87">"FF"&amp;D365&amp;E365&amp;""&amp;F365&amp;G365&amp;H365&amp;I365</f>
        <v>FF020100000003</v>
      </c>
      <c r="D365" s="60" t="s">
        <v>17</v>
      </c>
      <c r="E365" s="60" t="s">
        <v>24</v>
      </c>
      <c r="F365" s="60" t="s">
        <v>16</v>
      </c>
      <c r="G365" s="60" t="s">
        <v>16</v>
      </c>
      <c r="H365" s="60" t="s">
        <v>16</v>
      </c>
      <c r="I365" s="12" t="str">
        <f>W365</f>
        <v>03</v>
      </c>
      <c r="J365" s="12"/>
      <c r="K365" s="12"/>
      <c r="L365" s="12"/>
      <c r="M365" s="12"/>
      <c r="N365" s="12"/>
      <c r="O365" s="12"/>
      <c r="P365" s="12"/>
      <c r="Q365" s="13">
        <f t="shared" si="74"/>
        <v>2</v>
      </c>
      <c r="R365" s="13">
        <f t="shared" si="74"/>
        <v>1</v>
      </c>
      <c r="S365" s="13">
        <f t="shared" si="74"/>
        <v>0</v>
      </c>
      <c r="T365" s="13">
        <f t="shared" si="74"/>
        <v>0</v>
      </c>
      <c r="U365" s="13">
        <f t="shared" si="74"/>
        <v>0</v>
      </c>
      <c r="V365" s="13">
        <f>SUM(Q365:U365)</f>
        <v>3</v>
      </c>
      <c r="W365" s="13" t="str">
        <f>REPT("0",2-LEN(RIGHT(DEC2HEX(V365), 2)))&amp;RIGHT(DEC2HEX(V365), 2)</f>
        <v>03</v>
      </c>
      <c r="X365" s="13">
        <f t="shared" ref="X365:X382" si="88">SUM(R365:W365)</f>
        <v>4</v>
      </c>
      <c r="Y365" s="13" t="str">
        <f t="shared" ref="Y365:Y382" si="89">REPT("0",2-LEN(RIGHT(DEC2HEX(X365), 2)))&amp;RIGHT(DEC2HEX(X365), 2)</f>
        <v>04</v>
      </c>
      <c r="AH365" s="119"/>
      <c r="AJ365" s="64"/>
      <c r="AK365" s="64" t="s">
        <v>1546</v>
      </c>
    </row>
    <row r="366" spans="2:37" ht="16.5" customHeight="1">
      <c r="B366" s="111" t="s">
        <v>2021</v>
      </c>
      <c r="C366" s="12" t="str">
        <f t="shared" si="87"/>
        <v>FF020080000082</v>
      </c>
      <c r="D366" s="60" t="s">
        <v>17</v>
      </c>
      <c r="E366" s="60" t="s">
        <v>16</v>
      </c>
      <c r="F366" s="60" t="s">
        <v>43</v>
      </c>
      <c r="G366" s="60" t="s">
        <v>16</v>
      </c>
      <c r="H366" s="60" t="s">
        <v>16</v>
      </c>
      <c r="I366" s="12" t="str">
        <f t="shared" ref="I366:I382" si="90">W366</f>
        <v>82</v>
      </c>
      <c r="J366" s="12"/>
      <c r="K366" s="12"/>
      <c r="L366" s="12"/>
      <c r="M366" s="12"/>
      <c r="N366" s="12"/>
      <c r="O366" s="12"/>
      <c r="P366" s="12"/>
      <c r="Q366" s="13">
        <f t="shared" si="74"/>
        <v>2</v>
      </c>
      <c r="R366" s="13">
        <f t="shared" si="74"/>
        <v>0</v>
      </c>
      <c r="S366" s="13">
        <f>HEX2DEC(F366)</f>
        <v>128</v>
      </c>
      <c r="T366" s="13">
        <f t="shared" si="74"/>
        <v>0</v>
      </c>
      <c r="U366" s="13">
        <f t="shared" si="74"/>
        <v>0</v>
      </c>
      <c r="V366" s="13">
        <f>SUM(Q366:U366)</f>
        <v>130</v>
      </c>
      <c r="W366" s="13" t="str">
        <f>REPT("0",2-LEN(RIGHT(DEC2HEX(V366), 2)))&amp;RIGHT(DEC2HEX(V366), 2)</f>
        <v>82</v>
      </c>
      <c r="X366" s="13">
        <f t="shared" si="88"/>
        <v>258</v>
      </c>
      <c r="Y366" s="13" t="str">
        <f t="shared" si="89"/>
        <v>02</v>
      </c>
      <c r="AH366" s="119"/>
      <c r="AJ366" s="64"/>
      <c r="AK366" s="64" t="s">
        <v>1545</v>
      </c>
    </row>
    <row r="367" spans="2:37" ht="16.5" customHeight="1">
      <c r="B367" s="111" t="s">
        <v>2022</v>
      </c>
      <c r="C367" s="12" t="str">
        <f t="shared" si="87"/>
        <v>FF020020000022</v>
      </c>
      <c r="D367" s="60" t="s">
        <v>17</v>
      </c>
      <c r="E367" s="60" t="s">
        <v>16</v>
      </c>
      <c r="F367" s="60" t="s">
        <v>133</v>
      </c>
      <c r="G367" s="60" t="s">
        <v>16</v>
      </c>
      <c r="H367" s="60" t="s">
        <v>16</v>
      </c>
      <c r="I367" s="12" t="str">
        <f t="shared" si="90"/>
        <v>22</v>
      </c>
      <c r="J367" s="12"/>
      <c r="K367" s="12"/>
      <c r="L367" s="12"/>
      <c r="M367" s="12"/>
      <c r="N367" s="12"/>
      <c r="O367" s="12"/>
      <c r="P367" s="12"/>
      <c r="Q367" s="13">
        <f t="shared" si="74"/>
        <v>2</v>
      </c>
      <c r="R367" s="13">
        <f t="shared" si="74"/>
        <v>0</v>
      </c>
      <c r="S367" s="13">
        <f t="shared" si="74"/>
        <v>32</v>
      </c>
      <c r="T367" s="13">
        <f t="shared" si="74"/>
        <v>0</v>
      </c>
      <c r="U367" s="13">
        <f t="shared" si="74"/>
        <v>0</v>
      </c>
      <c r="V367" s="13">
        <f t="shared" ref="V367:V382" si="91">SUM(Q367:U367)</f>
        <v>34</v>
      </c>
      <c r="W367" s="13" t="str">
        <f t="shared" ref="W367:W382" si="92">REPT("0",2-LEN(RIGHT(DEC2HEX(V367), 2)))&amp;RIGHT(DEC2HEX(V367), 2)</f>
        <v>22</v>
      </c>
      <c r="X367" s="13">
        <f t="shared" si="88"/>
        <v>66</v>
      </c>
      <c r="Y367" s="13" t="str">
        <f t="shared" si="89"/>
        <v>42</v>
      </c>
      <c r="AH367" s="119"/>
      <c r="AJ367" s="64"/>
      <c r="AK367" s="64" t="s">
        <v>1543</v>
      </c>
    </row>
    <row r="368" spans="2:37" ht="16.5" customHeight="1">
      <c r="B368" s="111" t="s">
        <v>2023</v>
      </c>
      <c r="C368" s="12" t="str">
        <f t="shared" si="87"/>
        <v>FF020040000042</v>
      </c>
      <c r="D368" s="60" t="s">
        <v>17</v>
      </c>
      <c r="E368" s="60" t="s">
        <v>16</v>
      </c>
      <c r="F368" s="60" t="s">
        <v>1503</v>
      </c>
      <c r="G368" s="60" t="s">
        <v>16</v>
      </c>
      <c r="H368" s="60" t="s">
        <v>16</v>
      </c>
      <c r="I368" s="12" t="str">
        <f t="shared" si="90"/>
        <v>42</v>
      </c>
      <c r="J368" s="12"/>
      <c r="K368" s="12"/>
      <c r="L368" s="12"/>
      <c r="M368" s="12"/>
      <c r="N368" s="12"/>
      <c r="O368" s="12"/>
      <c r="P368" s="12"/>
      <c r="Q368" s="13">
        <f t="shared" si="74"/>
        <v>2</v>
      </c>
      <c r="R368" s="13">
        <f t="shared" si="74"/>
        <v>0</v>
      </c>
      <c r="S368" s="13">
        <f t="shared" si="74"/>
        <v>64</v>
      </c>
      <c r="T368" s="13">
        <f t="shared" si="74"/>
        <v>0</v>
      </c>
      <c r="U368" s="13">
        <f t="shared" si="74"/>
        <v>0</v>
      </c>
      <c r="V368" s="13">
        <f t="shared" si="91"/>
        <v>66</v>
      </c>
      <c r="W368" s="13" t="str">
        <f t="shared" si="92"/>
        <v>42</v>
      </c>
      <c r="X368" s="13">
        <f t="shared" si="88"/>
        <v>130</v>
      </c>
      <c r="Y368" s="13" t="str">
        <f t="shared" si="89"/>
        <v>82</v>
      </c>
      <c r="AH368" s="119"/>
      <c r="AJ368" s="64"/>
      <c r="AK368" s="64" t="s">
        <v>1544</v>
      </c>
    </row>
    <row r="369" spans="2:37" ht="16.5" customHeight="1">
      <c r="B369" s="111" t="s">
        <v>2028</v>
      </c>
      <c r="C369" s="12" t="str">
        <f t="shared" si="87"/>
        <v>FF01010800202A</v>
      </c>
      <c r="D369" s="60" t="s">
        <v>24</v>
      </c>
      <c r="E369" s="60" t="s">
        <v>24</v>
      </c>
      <c r="F369" s="60" t="s">
        <v>1268</v>
      </c>
      <c r="G369" s="60" t="s">
        <v>16</v>
      </c>
      <c r="H369" s="60" t="s">
        <v>133</v>
      </c>
      <c r="I369" s="12" t="str">
        <f t="shared" si="90"/>
        <v>2A</v>
      </c>
      <c r="J369" s="12"/>
      <c r="K369" s="12"/>
      <c r="L369" s="12"/>
      <c r="M369" s="12"/>
      <c r="N369" s="12"/>
      <c r="O369" s="12"/>
      <c r="P369" s="12"/>
      <c r="Q369" s="13">
        <f t="shared" si="74"/>
        <v>1</v>
      </c>
      <c r="R369" s="13">
        <f t="shared" si="74"/>
        <v>1</v>
      </c>
      <c r="S369" s="13">
        <f t="shared" si="74"/>
        <v>8</v>
      </c>
      <c r="T369" s="13">
        <f t="shared" si="74"/>
        <v>0</v>
      </c>
      <c r="U369" s="13">
        <f t="shared" si="74"/>
        <v>32</v>
      </c>
      <c r="V369" s="13">
        <f t="shared" si="91"/>
        <v>42</v>
      </c>
      <c r="W369" s="13" t="str">
        <f t="shared" si="92"/>
        <v>2A</v>
      </c>
      <c r="X369" s="13">
        <f t="shared" si="88"/>
        <v>83</v>
      </c>
      <c r="Y369" s="13" t="str">
        <f t="shared" si="89"/>
        <v>53</v>
      </c>
      <c r="AH369" s="119"/>
      <c r="AJ369" s="64"/>
      <c r="AK369" s="64" t="s">
        <v>2046</v>
      </c>
    </row>
    <row r="370" spans="2:37" ht="16.5" customHeight="1">
      <c r="B370" s="111" t="s">
        <v>2029</v>
      </c>
      <c r="C370" s="12" t="str">
        <f t="shared" si="87"/>
        <v>FF010110002032</v>
      </c>
      <c r="D370" s="60" t="s">
        <v>24</v>
      </c>
      <c r="E370" s="60" t="s">
        <v>24</v>
      </c>
      <c r="F370" s="60" t="s">
        <v>109</v>
      </c>
      <c r="G370" s="60" t="s">
        <v>16</v>
      </c>
      <c r="H370" s="60" t="s">
        <v>133</v>
      </c>
      <c r="I370" s="12" t="str">
        <f t="shared" si="90"/>
        <v>32</v>
      </c>
      <c r="J370" s="12"/>
      <c r="K370" s="12"/>
      <c r="L370" s="12"/>
      <c r="M370" s="12"/>
      <c r="N370" s="12"/>
      <c r="O370" s="12"/>
      <c r="P370" s="12"/>
      <c r="Q370" s="13">
        <f t="shared" si="74"/>
        <v>1</v>
      </c>
      <c r="R370" s="13">
        <f t="shared" si="74"/>
        <v>1</v>
      </c>
      <c r="S370" s="13">
        <f t="shared" si="74"/>
        <v>16</v>
      </c>
      <c r="T370" s="13">
        <f t="shared" si="74"/>
        <v>0</v>
      </c>
      <c r="U370" s="13">
        <f t="shared" si="74"/>
        <v>32</v>
      </c>
      <c r="V370" s="13">
        <f t="shared" si="91"/>
        <v>50</v>
      </c>
      <c r="W370" s="13" t="str">
        <f t="shared" si="92"/>
        <v>32</v>
      </c>
      <c r="X370" s="13">
        <f t="shared" si="88"/>
        <v>99</v>
      </c>
      <c r="Y370" s="13" t="str">
        <f t="shared" si="89"/>
        <v>63</v>
      </c>
      <c r="AH370" s="119"/>
      <c r="AJ370" s="64"/>
      <c r="AK370" s="64" t="s">
        <v>2047</v>
      </c>
    </row>
    <row r="371" spans="2:37" ht="16.5" customHeight="1">
      <c r="B371" s="111" t="s">
        <v>2030</v>
      </c>
      <c r="C371" s="12" t="str">
        <f t="shared" si="87"/>
        <v>FF010102200024</v>
      </c>
      <c r="D371" s="60" t="s">
        <v>24</v>
      </c>
      <c r="E371" s="60" t="s">
        <v>24</v>
      </c>
      <c r="F371" s="60" t="s">
        <v>17</v>
      </c>
      <c r="G371" s="60" t="s">
        <v>133</v>
      </c>
      <c r="H371" s="60" t="s">
        <v>16</v>
      </c>
      <c r="I371" s="12" t="str">
        <f t="shared" si="90"/>
        <v>24</v>
      </c>
      <c r="J371" s="12"/>
      <c r="K371" s="12"/>
      <c r="L371" s="12"/>
      <c r="M371" s="12"/>
      <c r="N371" s="12"/>
      <c r="O371" s="12"/>
      <c r="P371" s="12"/>
      <c r="Q371" s="13">
        <f t="shared" si="74"/>
        <v>1</v>
      </c>
      <c r="R371" s="13">
        <f t="shared" si="74"/>
        <v>1</v>
      </c>
      <c r="S371" s="13">
        <f t="shared" si="74"/>
        <v>2</v>
      </c>
      <c r="T371" s="13">
        <f t="shared" si="74"/>
        <v>32</v>
      </c>
      <c r="U371" s="13">
        <f t="shared" si="74"/>
        <v>0</v>
      </c>
      <c r="V371" s="13">
        <f t="shared" si="91"/>
        <v>36</v>
      </c>
      <c r="W371" s="13" t="str">
        <f t="shared" si="92"/>
        <v>24</v>
      </c>
      <c r="X371" s="13">
        <f t="shared" si="88"/>
        <v>71</v>
      </c>
      <c r="Y371" s="13" t="str">
        <f t="shared" si="89"/>
        <v>47</v>
      </c>
      <c r="AH371" s="119"/>
      <c r="AJ371" s="64"/>
      <c r="AK371" s="64" t="s">
        <v>2048</v>
      </c>
    </row>
    <row r="372" spans="2:37" ht="16.5" customHeight="1">
      <c r="B372" s="111" t="s">
        <v>2031</v>
      </c>
      <c r="C372" s="12" t="str">
        <f t="shared" si="87"/>
        <v>FF010104200026</v>
      </c>
      <c r="D372" s="60" t="s">
        <v>24</v>
      </c>
      <c r="E372" s="60" t="s">
        <v>24</v>
      </c>
      <c r="F372" s="60" t="s">
        <v>67</v>
      </c>
      <c r="G372" s="60" t="s">
        <v>133</v>
      </c>
      <c r="H372" s="60" t="s">
        <v>16</v>
      </c>
      <c r="I372" s="12" t="str">
        <f t="shared" si="90"/>
        <v>26</v>
      </c>
      <c r="J372" s="12"/>
      <c r="K372" s="12"/>
      <c r="L372" s="12"/>
      <c r="M372" s="12"/>
      <c r="N372" s="12"/>
      <c r="O372" s="12"/>
      <c r="P372" s="12"/>
      <c r="Q372" s="13">
        <f t="shared" si="74"/>
        <v>1</v>
      </c>
      <c r="R372" s="13">
        <f t="shared" si="74"/>
        <v>1</v>
      </c>
      <c r="S372" s="13">
        <f t="shared" si="74"/>
        <v>4</v>
      </c>
      <c r="T372" s="13">
        <f t="shared" si="74"/>
        <v>32</v>
      </c>
      <c r="U372" s="13">
        <f t="shared" si="74"/>
        <v>0</v>
      </c>
      <c r="V372" s="13">
        <f t="shared" si="91"/>
        <v>38</v>
      </c>
      <c r="W372" s="13" t="str">
        <f t="shared" si="92"/>
        <v>26</v>
      </c>
      <c r="X372" s="13">
        <f t="shared" si="88"/>
        <v>75</v>
      </c>
      <c r="Y372" s="13" t="str">
        <f t="shared" si="89"/>
        <v>4B</v>
      </c>
      <c r="AH372" s="119"/>
      <c r="AJ372" s="64"/>
      <c r="AK372" s="64" t="s">
        <v>2049</v>
      </c>
    </row>
    <row r="373" spans="2:37" ht="16.5" customHeight="1">
      <c r="B373" s="111" t="s">
        <v>2024</v>
      </c>
      <c r="C373" s="12" t="str">
        <f t="shared" si="87"/>
        <v>FF030100000004</v>
      </c>
      <c r="D373" s="60" t="s">
        <v>91</v>
      </c>
      <c r="E373" s="60" t="s">
        <v>24</v>
      </c>
      <c r="F373" s="60" t="s">
        <v>16</v>
      </c>
      <c r="G373" s="60" t="s">
        <v>16</v>
      </c>
      <c r="H373" s="60" t="s">
        <v>16</v>
      </c>
      <c r="I373" s="12" t="str">
        <f t="shared" si="90"/>
        <v>04</v>
      </c>
      <c r="J373" s="12"/>
      <c r="K373" s="12"/>
      <c r="L373" s="12"/>
      <c r="M373" s="12"/>
      <c r="N373" s="12"/>
      <c r="O373" s="12"/>
      <c r="P373" s="12"/>
      <c r="Q373" s="13">
        <f t="shared" si="74"/>
        <v>3</v>
      </c>
      <c r="R373" s="13">
        <f t="shared" si="74"/>
        <v>1</v>
      </c>
      <c r="S373" s="13">
        <f t="shared" si="74"/>
        <v>0</v>
      </c>
      <c r="T373" s="13">
        <f t="shared" si="74"/>
        <v>0</v>
      </c>
      <c r="U373" s="13">
        <f t="shared" si="74"/>
        <v>0</v>
      </c>
      <c r="V373" s="13">
        <f t="shared" si="91"/>
        <v>4</v>
      </c>
      <c r="W373" s="13" t="str">
        <f t="shared" si="92"/>
        <v>04</v>
      </c>
      <c r="X373" s="13">
        <f t="shared" si="88"/>
        <v>5</v>
      </c>
      <c r="Y373" s="13" t="str">
        <f t="shared" si="89"/>
        <v>05</v>
      </c>
      <c r="AH373" s="119"/>
      <c r="AJ373" s="64"/>
      <c r="AK373" s="64" t="s">
        <v>1668</v>
      </c>
    </row>
    <row r="374" spans="2:37" ht="16.5" customHeight="1">
      <c r="B374" s="111" t="s">
        <v>2025</v>
      </c>
      <c r="C374" s="12" t="str">
        <f t="shared" si="87"/>
        <v>FF030180000084</v>
      </c>
      <c r="D374" s="60" t="s">
        <v>91</v>
      </c>
      <c r="E374" s="60" t="s">
        <v>24</v>
      </c>
      <c r="F374" s="60" t="s">
        <v>43</v>
      </c>
      <c r="G374" s="60" t="s">
        <v>16</v>
      </c>
      <c r="H374" s="60" t="s">
        <v>16</v>
      </c>
      <c r="I374" s="12" t="str">
        <f t="shared" si="90"/>
        <v>84</v>
      </c>
      <c r="J374" s="12"/>
      <c r="K374" s="12"/>
      <c r="L374" s="12"/>
      <c r="M374" s="12"/>
      <c r="N374" s="12"/>
      <c r="O374" s="12"/>
      <c r="P374" s="12"/>
      <c r="Q374" s="13">
        <f t="shared" si="74"/>
        <v>3</v>
      </c>
      <c r="R374" s="13">
        <f t="shared" si="74"/>
        <v>1</v>
      </c>
      <c r="S374" s="13">
        <f t="shared" si="74"/>
        <v>128</v>
      </c>
      <c r="T374" s="13">
        <f t="shared" si="74"/>
        <v>0</v>
      </c>
      <c r="U374" s="13">
        <f t="shared" si="74"/>
        <v>0</v>
      </c>
      <c r="V374" s="13">
        <f t="shared" si="91"/>
        <v>132</v>
      </c>
      <c r="W374" s="13" t="str">
        <f t="shared" si="92"/>
        <v>84</v>
      </c>
      <c r="X374" s="13">
        <f t="shared" si="88"/>
        <v>261</v>
      </c>
      <c r="Y374" s="13" t="str">
        <f t="shared" si="89"/>
        <v>05</v>
      </c>
      <c r="AH374" s="119"/>
      <c r="AJ374" s="64"/>
      <c r="AK374" s="64" t="s">
        <v>2050</v>
      </c>
    </row>
    <row r="375" spans="2:37" ht="16.5" customHeight="1">
      <c r="B375" s="111" t="s">
        <v>2026</v>
      </c>
      <c r="C375" s="12" t="str">
        <f t="shared" si="87"/>
        <v>FF030120000024</v>
      </c>
      <c r="D375" s="60" t="s">
        <v>91</v>
      </c>
      <c r="E375" s="60" t="s">
        <v>24</v>
      </c>
      <c r="F375" s="60" t="s">
        <v>133</v>
      </c>
      <c r="G375" s="60" t="s">
        <v>16</v>
      </c>
      <c r="H375" s="60" t="s">
        <v>16</v>
      </c>
      <c r="I375" s="12" t="str">
        <f t="shared" si="90"/>
        <v>24</v>
      </c>
      <c r="J375" s="12"/>
      <c r="K375" s="12"/>
      <c r="L375" s="12"/>
      <c r="M375" s="12"/>
      <c r="N375" s="12"/>
      <c r="O375" s="12"/>
      <c r="P375" s="12"/>
      <c r="Q375" s="13">
        <f t="shared" si="74"/>
        <v>3</v>
      </c>
      <c r="R375" s="13">
        <f t="shared" ref="R375:U382" si="93">HEX2DEC(E375)</f>
        <v>1</v>
      </c>
      <c r="S375" s="13">
        <f t="shared" si="93"/>
        <v>32</v>
      </c>
      <c r="T375" s="13">
        <f t="shared" si="93"/>
        <v>0</v>
      </c>
      <c r="U375" s="13">
        <f t="shared" si="93"/>
        <v>0</v>
      </c>
      <c r="V375" s="13">
        <f t="shared" si="91"/>
        <v>36</v>
      </c>
      <c r="W375" s="13" t="str">
        <f t="shared" si="92"/>
        <v>24</v>
      </c>
      <c r="X375" s="13">
        <f t="shared" si="88"/>
        <v>69</v>
      </c>
      <c r="Y375" s="13" t="str">
        <f t="shared" si="89"/>
        <v>45</v>
      </c>
      <c r="AH375" s="119"/>
      <c r="AJ375" s="64"/>
      <c r="AK375" s="64" t="s">
        <v>2051</v>
      </c>
    </row>
    <row r="376" spans="2:37" ht="16.5" customHeight="1">
      <c r="B376" s="111" t="s">
        <v>2027</v>
      </c>
      <c r="C376" s="12" t="str">
        <f t="shared" si="87"/>
        <v>FF030140000044</v>
      </c>
      <c r="D376" s="60" t="s">
        <v>91</v>
      </c>
      <c r="E376" s="60" t="s">
        <v>24</v>
      </c>
      <c r="F376" s="60" t="s">
        <v>1503</v>
      </c>
      <c r="G376" s="60" t="s">
        <v>16</v>
      </c>
      <c r="H376" s="60" t="s">
        <v>16</v>
      </c>
      <c r="I376" s="12" t="str">
        <f t="shared" si="90"/>
        <v>44</v>
      </c>
      <c r="J376" s="12"/>
      <c r="K376" s="12"/>
      <c r="L376" s="12"/>
      <c r="M376" s="12"/>
      <c r="N376" s="12"/>
      <c r="O376" s="12"/>
      <c r="P376" s="12"/>
      <c r="Q376" s="13">
        <f t="shared" ref="Q376:Q382" si="94">HEX2DEC(D376)</f>
        <v>3</v>
      </c>
      <c r="R376" s="13">
        <f t="shared" si="93"/>
        <v>1</v>
      </c>
      <c r="S376" s="13">
        <f t="shared" si="93"/>
        <v>64</v>
      </c>
      <c r="T376" s="13">
        <f t="shared" si="93"/>
        <v>0</v>
      </c>
      <c r="U376" s="13">
        <f t="shared" si="93"/>
        <v>0</v>
      </c>
      <c r="V376" s="13">
        <f t="shared" si="91"/>
        <v>68</v>
      </c>
      <c r="W376" s="13" t="str">
        <f t="shared" si="92"/>
        <v>44</v>
      </c>
      <c r="X376" s="13">
        <f t="shared" si="88"/>
        <v>133</v>
      </c>
      <c r="Y376" s="13" t="str">
        <f t="shared" si="89"/>
        <v>85</v>
      </c>
      <c r="AH376" s="119"/>
      <c r="AJ376" s="64"/>
      <c r="AK376" s="64" t="s">
        <v>2052</v>
      </c>
    </row>
    <row r="377" spans="2:37" ht="16.5" customHeight="1">
      <c r="B377" s="111" t="s">
        <v>2053</v>
      </c>
      <c r="C377" s="12" t="str">
        <f t="shared" si="87"/>
        <v>FF010003000105</v>
      </c>
      <c r="D377" s="60" t="s">
        <v>24</v>
      </c>
      <c r="E377" s="60" t="s">
        <v>16</v>
      </c>
      <c r="F377" s="60" t="s">
        <v>91</v>
      </c>
      <c r="G377" s="60" t="s">
        <v>16</v>
      </c>
      <c r="H377" s="60" t="s">
        <v>24</v>
      </c>
      <c r="I377" s="12" t="str">
        <f t="shared" si="90"/>
        <v>05</v>
      </c>
      <c r="J377" s="12"/>
      <c r="K377" s="12"/>
      <c r="L377" s="12"/>
      <c r="M377" s="12"/>
      <c r="N377" s="12"/>
      <c r="O377" s="12"/>
      <c r="P377" s="12"/>
      <c r="Q377" s="13">
        <f>HEX2DEC(D377)</f>
        <v>1</v>
      </c>
      <c r="R377" s="13">
        <f t="shared" si="93"/>
        <v>0</v>
      </c>
      <c r="S377" s="13">
        <f t="shared" si="93"/>
        <v>3</v>
      </c>
      <c r="T377" s="13">
        <f t="shared" si="93"/>
        <v>0</v>
      </c>
      <c r="U377" s="13">
        <f t="shared" si="93"/>
        <v>1</v>
      </c>
      <c r="V377" s="13">
        <f t="shared" si="91"/>
        <v>5</v>
      </c>
      <c r="W377" s="13" t="str">
        <f t="shared" si="92"/>
        <v>05</v>
      </c>
      <c r="X377" s="13">
        <f t="shared" si="88"/>
        <v>9</v>
      </c>
      <c r="Y377" s="13" t="str">
        <f t="shared" si="89"/>
        <v>09</v>
      </c>
      <c r="AH377" s="119"/>
      <c r="AJ377" s="64"/>
      <c r="AK377" s="64" t="s">
        <v>2351</v>
      </c>
    </row>
    <row r="378" spans="2:37" ht="16.5" customHeight="1">
      <c r="B378" s="111" t="s">
        <v>2054</v>
      </c>
      <c r="C378" s="12" t="str">
        <f t="shared" si="87"/>
        <v>FF01000300FF03</v>
      </c>
      <c r="D378" s="60" t="s">
        <v>24</v>
      </c>
      <c r="E378" s="60" t="s">
        <v>16</v>
      </c>
      <c r="F378" s="60" t="s">
        <v>91</v>
      </c>
      <c r="G378" s="60" t="s">
        <v>16</v>
      </c>
      <c r="H378" s="60" t="s">
        <v>9</v>
      </c>
      <c r="I378" s="12" t="str">
        <f t="shared" si="90"/>
        <v>03</v>
      </c>
      <c r="J378" s="12"/>
      <c r="K378" s="12"/>
      <c r="L378" s="12"/>
      <c r="M378" s="12"/>
      <c r="N378" s="12"/>
      <c r="O378" s="12"/>
      <c r="P378" s="12"/>
      <c r="Q378" s="13">
        <f t="shared" si="94"/>
        <v>1</v>
      </c>
      <c r="R378" s="13">
        <f t="shared" si="93"/>
        <v>0</v>
      </c>
      <c r="S378" s="13">
        <f t="shared" si="93"/>
        <v>3</v>
      </c>
      <c r="T378" s="13">
        <f t="shared" si="93"/>
        <v>0</v>
      </c>
      <c r="U378" s="13">
        <f t="shared" si="93"/>
        <v>255</v>
      </c>
      <c r="V378" s="13">
        <f t="shared" si="91"/>
        <v>259</v>
      </c>
      <c r="W378" s="13" t="str">
        <f t="shared" si="92"/>
        <v>03</v>
      </c>
      <c r="X378" s="13">
        <f t="shared" si="88"/>
        <v>517</v>
      </c>
      <c r="Y378" s="13" t="str">
        <f t="shared" si="89"/>
        <v>05</v>
      </c>
      <c r="AH378" s="119"/>
      <c r="AJ378" s="64"/>
      <c r="AK378" s="64" t="s">
        <v>2059</v>
      </c>
    </row>
    <row r="379" spans="2:37" ht="16.5" customHeight="1">
      <c r="B379" s="111" t="s">
        <v>2055</v>
      </c>
      <c r="C379" s="12" t="str">
        <f t="shared" si="87"/>
        <v>FF010007000109</v>
      </c>
      <c r="D379" s="60" t="s">
        <v>24</v>
      </c>
      <c r="E379" s="60" t="s">
        <v>16</v>
      </c>
      <c r="F379" s="60" t="s">
        <v>101</v>
      </c>
      <c r="G379" s="60" t="s">
        <v>16</v>
      </c>
      <c r="H379" s="60" t="s">
        <v>24</v>
      </c>
      <c r="I379" s="12" t="str">
        <f t="shared" si="90"/>
        <v>09</v>
      </c>
      <c r="J379" s="12"/>
      <c r="K379" s="12"/>
      <c r="L379" s="12"/>
      <c r="M379" s="12"/>
      <c r="N379" s="12"/>
      <c r="O379" s="12"/>
      <c r="P379" s="12"/>
      <c r="Q379" s="13">
        <f t="shared" si="94"/>
        <v>1</v>
      </c>
      <c r="R379" s="13">
        <f t="shared" si="93"/>
        <v>0</v>
      </c>
      <c r="S379" s="13">
        <f t="shared" si="93"/>
        <v>7</v>
      </c>
      <c r="T379" s="13">
        <f t="shared" si="93"/>
        <v>0</v>
      </c>
      <c r="U379" s="13">
        <f t="shared" si="93"/>
        <v>1</v>
      </c>
      <c r="V379" s="13">
        <f t="shared" si="91"/>
        <v>9</v>
      </c>
      <c r="W379" s="13" t="str">
        <f t="shared" si="92"/>
        <v>09</v>
      </c>
      <c r="X379" s="13">
        <f t="shared" si="88"/>
        <v>17</v>
      </c>
      <c r="Y379" s="13" t="str">
        <f t="shared" si="89"/>
        <v>11</v>
      </c>
      <c r="AH379" s="119"/>
      <c r="AJ379" s="64"/>
      <c r="AK379" s="64" t="s">
        <v>2060</v>
      </c>
    </row>
    <row r="380" spans="2:37" ht="16.5" customHeight="1">
      <c r="B380" s="111" t="s">
        <v>2056</v>
      </c>
      <c r="C380" s="12" t="str">
        <f t="shared" si="87"/>
        <v>FF01000700FF07</v>
      </c>
      <c r="D380" s="60" t="s">
        <v>24</v>
      </c>
      <c r="E380" s="60" t="s">
        <v>16</v>
      </c>
      <c r="F380" s="60" t="s">
        <v>101</v>
      </c>
      <c r="G380" s="60" t="s">
        <v>16</v>
      </c>
      <c r="H380" s="60" t="s">
        <v>9</v>
      </c>
      <c r="I380" s="12" t="str">
        <f t="shared" si="90"/>
        <v>07</v>
      </c>
      <c r="J380" s="12"/>
      <c r="K380" s="12"/>
      <c r="L380" s="12"/>
      <c r="M380" s="12"/>
      <c r="N380" s="12"/>
      <c r="O380" s="12"/>
      <c r="P380" s="12"/>
      <c r="Q380" s="13">
        <f t="shared" si="94"/>
        <v>1</v>
      </c>
      <c r="R380" s="13">
        <f t="shared" si="93"/>
        <v>0</v>
      </c>
      <c r="S380" s="13">
        <f t="shared" si="93"/>
        <v>7</v>
      </c>
      <c r="T380" s="13">
        <f t="shared" si="93"/>
        <v>0</v>
      </c>
      <c r="U380" s="13">
        <f t="shared" si="93"/>
        <v>255</v>
      </c>
      <c r="V380" s="13">
        <f t="shared" si="91"/>
        <v>263</v>
      </c>
      <c r="W380" s="13" t="str">
        <f t="shared" si="92"/>
        <v>07</v>
      </c>
      <c r="X380" s="13">
        <f t="shared" si="88"/>
        <v>525</v>
      </c>
      <c r="Y380" s="13" t="str">
        <f t="shared" si="89"/>
        <v>0D</v>
      </c>
      <c r="AH380" s="119"/>
      <c r="AJ380" s="64"/>
      <c r="AK380" s="64" t="s">
        <v>2061</v>
      </c>
    </row>
    <row r="381" spans="2:37" ht="16.5" customHeight="1">
      <c r="B381" s="111" t="s">
        <v>2057</v>
      </c>
      <c r="C381" s="12" t="str">
        <f t="shared" si="87"/>
        <v>FF010005000107</v>
      </c>
      <c r="D381" s="60" t="s">
        <v>24</v>
      </c>
      <c r="E381" s="60" t="s">
        <v>16</v>
      </c>
      <c r="F381" s="60" t="s">
        <v>92</v>
      </c>
      <c r="G381" s="60" t="s">
        <v>16</v>
      </c>
      <c r="H381" s="60" t="s">
        <v>24</v>
      </c>
      <c r="I381" s="12" t="str">
        <f t="shared" si="90"/>
        <v>07</v>
      </c>
      <c r="J381" s="12"/>
      <c r="K381" s="12"/>
      <c r="L381" s="12"/>
      <c r="M381" s="12"/>
      <c r="N381" s="12"/>
      <c r="O381" s="12"/>
      <c r="P381" s="12"/>
      <c r="Q381" s="13">
        <f t="shared" si="94"/>
        <v>1</v>
      </c>
      <c r="R381" s="13">
        <f t="shared" si="93"/>
        <v>0</v>
      </c>
      <c r="S381" s="13">
        <f t="shared" si="93"/>
        <v>5</v>
      </c>
      <c r="T381" s="13">
        <f t="shared" si="93"/>
        <v>0</v>
      </c>
      <c r="U381" s="13">
        <f t="shared" si="93"/>
        <v>1</v>
      </c>
      <c r="V381" s="13">
        <f t="shared" si="91"/>
        <v>7</v>
      </c>
      <c r="W381" s="13" t="str">
        <f t="shared" si="92"/>
        <v>07</v>
      </c>
      <c r="X381" s="13">
        <f t="shared" si="88"/>
        <v>13</v>
      </c>
      <c r="Y381" s="13" t="str">
        <f t="shared" si="89"/>
        <v>0D</v>
      </c>
      <c r="AH381" s="119"/>
      <c r="AJ381" s="64"/>
      <c r="AK381" s="64" t="s">
        <v>2121</v>
      </c>
    </row>
    <row r="382" spans="2:37" ht="16.5" customHeight="1">
      <c r="B382" s="111" t="s">
        <v>2058</v>
      </c>
      <c r="C382" s="12" t="str">
        <f t="shared" si="87"/>
        <v>FF01000500FF05</v>
      </c>
      <c r="D382" s="60" t="s">
        <v>24</v>
      </c>
      <c r="E382" s="60" t="s">
        <v>16</v>
      </c>
      <c r="F382" s="60" t="s">
        <v>92</v>
      </c>
      <c r="G382" s="60" t="s">
        <v>16</v>
      </c>
      <c r="H382" s="60" t="s">
        <v>9</v>
      </c>
      <c r="I382" s="12" t="str">
        <f t="shared" si="90"/>
        <v>05</v>
      </c>
      <c r="J382" s="12"/>
      <c r="K382" s="12"/>
      <c r="L382" s="12"/>
      <c r="M382" s="12"/>
      <c r="N382" s="12"/>
      <c r="O382" s="12"/>
      <c r="P382" s="12"/>
      <c r="Q382" s="13">
        <f t="shared" si="94"/>
        <v>1</v>
      </c>
      <c r="R382" s="13">
        <f t="shared" si="93"/>
        <v>0</v>
      </c>
      <c r="S382" s="13">
        <f t="shared" si="93"/>
        <v>5</v>
      </c>
      <c r="T382" s="13">
        <f t="shared" si="93"/>
        <v>0</v>
      </c>
      <c r="U382" s="13">
        <f t="shared" si="93"/>
        <v>255</v>
      </c>
      <c r="V382" s="13">
        <f t="shared" si="91"/>
        <v>261</v>
      </c>
      <c r="W382" s="13" t="str">
        <f t="shared" si="92"/>
        <v>05</v>
      </c>
      <c r="X382" s="13">
        <f t="shared" si="88"/>
        <v>521</v>
      </c>
      <c r="Y382" s="13" t="str">
        <f t="shared" si="89"/>
        <v>09</v>
      </c>
      <c r="AH382" s="119"/>
      <c r="AJ382" s="64"/>
      <c r="AK382" s="64" t="s">
        <v>1566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951DBBD2D18C4AA4363468866F688E" ma:contentTypeVersion="18" ma:contentTypeDescription="새 문서를 만듭니다." ma:contentTypeScope="" ma:versionID="12447b46b555e14564ab6eef27765f78">
  <xsd:schema xmlns:xsd="http://www.w3.org/2001/XMLSchema" xmlns:xs="http://www.w3.org/2001/XMLSchema" xmlns:p="http://schemas.microsoft.com/office/2006/metadata/properties" xmlns:ns3="6a17cc7f-78d6-4d16-ba10-c7842312b21f" xmlns:ns4="7ebb372e-a6a1-45b9-ba7a-9eecc3941a2e" targetNamespace="http://schemas.microsoft.com/office/2006/metadata/properties" ma:root="true" ma:fieldsID="e9f35dfc0341ec3272762c89bf91d893" ns3:_="" ns4:_="">
    <xsd:import namespace="6a17cc7f-78d6-4d16-ba10-c7842312b21f"/>
    <xsd:import namespace="7ebb372e-a6a1-45b9-ba7a-9eecc3941a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7cc7f-78d6-4d16-ba10-c7842312b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372e-a6a1-45b9-ba7a-9eecc3941a2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17cc7f-78d6-4d16-ba10-c7842312b2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BBD0F0-70BB-441C-8CCB-FC1DCDF3D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7cc7f-78d6-4d16-ba10-c7842312b21f"/>
    <ds:schemaRef ds:uri="7ebb372e-a6a1-45b9-ba7a-9eecc3941a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3A90DB-2D4B-4387-AAFB-DE7557422C74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ebb372e-a6a1-45b9-ba7a-9eecc3941a2e"/>
    <ds:schemaRef ds:uri="http://schemas.microsoft.com/office/infopath/2007/PartnerControls"/>
    <ds:schemaRef ds:uri="6a17cc7f-78d6-4d16-ba10-c7842312b2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898CEB0-78AF-433E-AE06-2F6FB8539F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Uncooled</vt:lpstr>
      <vt:lpstr>DRS</vt:lpstr>
      <vt:lpstr>MiniGimbal</vt:lpstr>
      <vt:lpstr>NYX Series</vt:lpstr>
      <vt:lpstr>FineTree</vt:lpstr>
      <vt:lpstr>Multi</vt:lpstr>
      <vt:lpstr>CTEC</vt:lpstr>
      <vt:lpstr>CMD RAW</vt:lpstr>
      <vt:lpstr>FineTreeRAW</vt:lpstr>
      <vt:lpstr>MiniGimbalRAW</vt:lpstr>
      <vt:lpstr>Multi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LEECHUL</dc:creator>
  <cp:lastModifiedBy>이철</cp:lastModifiedBy>
  <dcterms:created xsi:type="dcterms:W3CDTF">2024-02-05T05:19:17Z</dcterms:created>
  <dcterms:modified xsi:type="dcterms:W3CDTF">2026-03-31T01:40:47Z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0x01010001951DBBD2D18C4AA4363468866F688E</vt:lpwstr>
  </property>
</Properties>
</file>