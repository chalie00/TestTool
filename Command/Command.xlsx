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C\Desktop\Project\Python\TestTool\Command\"/>
    </mc:Choice>
  </mc:AlternateContent>
  <xr:revisionPtr revIDLastSave="0" documentId="13_ncr:1_{7A286BAE-8098-40BB-A265-FC96A4C1758A}" xr6:coauthVersionLast="47" xr6:coauthVersionMax="47" xr10:uidLastSave="{00000000-0000-0000-0000-000000000000}"/>
  <bookViews>
    <workbookView xWindow="28680" yWindow="-120" windowWidth="29040" windowHeight="15720" activeTab="5" xr2:uid="{79FED000-970D-0E48-B65E-FB5160DD82FF}"/>
  </bookViews>
  <sheets>
    <sheet name="Uncooled" sheetId="1" r:id="rId1"/>
    <sheet name="DRS" sheetId="7" r:id="rId2"/>
    <sheet name="MiniGimbal" sheetId="10" r:id="rId3"/>
    <sheet name="NYX Series" sheetId="5" r:id="rId4"/>
    <sheet name="FineTree" sheetId="8" r:id="rId5"/>
    <sheet name="Multi" sheetId="12" r:id="rId6"/>
    <sheet name="CTEC" sheetId="13" r:id="rId7"/>
    <sheet name="Uncooled Data Sheet" sheetId="2" r:id="rId8"/>
    <sheet name="Cooled Data Sheet" sheetId="6" r:id="rId9"/>
    <sheet name="CMD RAW" sheetId="3" r:id="rId10"/>
    <sheet name="FineTreeRAW" sheetId="9" r:id="rId11"/>
    <sheet name="MiniGimbalRAW" sheetId="11" r:id="rId12"/>
  </sheets>
  <definedNames>
    <definedName name="_xlnm._FilterDatabase" localSheetId="3" hidden="1">'NYX Series'!$B$2:$N$264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4" i="12" l="1"/>
  <c r="N24" i="12"/>
  <c r="M24" i="12"/>
  <c r="L24" i="12"/>
  <c r="K24" i="12"/>
  <c r="J24" i="12"/>
  <c r="O24" i="12" s="1"/>
  <c r="P24" i="12" s="1"/>
  <c r="I24" i="12" s="1"/>
  <c r="C24" i="12" s="1"/>
  <c r="U23" i="12"/>
  <c r="O23" i="12"/>
  <c r="P23" i="12" s="1"/>
  <c r="N23" i="12"/>
  <c r="M23" i="12"/>
  <c r="L23" i="12"/>
  <c r="K23" i="12"/>
  <c r="J23" i="12"/>
  <c r="N16" i="12"/>
  <c r="M16" i="12"/>
  <c r="L16" i="12"/>
  <c r="K16" i="12"/>
  <c r="J16" i="12"/>
  <c r="N15" i="12"/>
  <c r="M15" i="12"/>
  <c r="L15" i="12"/>
  <c r="K15" i="12"/>
  <c r="J15" i="12"/>
  <c r="N14" i="12"/>
  <c r="M14" i="12"/>
  <c r="L14" i="12"/>
  <c r="K14" i="12"/>
  <c r="J14" i="12"/>
  <c r="N13" i="12"/>
  <c r="M13" i="12"/>
  <c r="L13" i="12"/>
  <c r="K13" i="12"/>
  <c r="J13" i="12"/>
  <c r="N19" i="12"/>
  <c r="M19" i="12"/>
  <c r="L19" i="12"/>
  <c r="K19" i="12"/>
  <c r="J19" i="12"/>
  <c r="T301" i="12"/>
  <c r="T297" i="12"/>
  <c r="U296" i="12"/>
  <c r="N322" i="12"/>
  <c r="M322" i="12"/>
  <c r="L322" i="12"/>
  <c r="K322" i="12"/>
  <c r="J322" i="12"/>
  <c r="N232" i="12"/>
  <c r="M232" i="12"/>
  <c r="L232" i="12"/>
  <c r="K232" i="12"/>
  <c r="J232" i="12"/>
  <c r="N276" i="12"/>
  <c r="M276" i="12"/>
  <c r="L276" i="12"/>
  <c r="K276" i="12"/>
  <c r="J276" i="12"/>
  <c r="N275" i="12"/>
  <c r="M275" i="12"/>
  <c r="L275" i="12"/>
  <c r="K275" i="12"/>
  <c r="J275" i="12"/>
  <c r="N274" i="12"/>
  <c r="M274" i="12"/>
  <c r="L274" i="12"/>
  <c r="K274" i="12"/>
  <c r="J274" i="12"/>
  <c r="N273" i="12"/>
  <c r="M273" i="12"/>
  <c r="L273" i="12"/>
  <c r="K273" i="12"/>
  <c r="J273" i="12"/>
  <c r="N272" i="12"/>
  <c r="M272" i="12"/>
  <c r="L272" i="12"/>
  <c r="K272" i="12"/>
  <c r="J272" i="12"/>
  <c r="N271" i="12"/>
  <c r="M271" i="12"/>
  <c r="L271" i="12"/>
  <c r="K271" i="12"/>
  <c r="J271" i="12"/>
  <c r="N270" i="12"/>
  <c r="M270" i="12"/>
  <c r="L270" i="12"/>
  <c r="K270" i="12"/>
  <c r="J270" i="12"/>
  <c r="N269" i="12"/>
  <c r="M269" i="12"/>
  <c r="L269" i="12"/>
  <c r="K269" i="12"/>
  <c r="J269" i="12"/>
  <c r="N268" i="12"/>
  <c r="M268" i="12"/>
  <c r="L268" i="12"/>
  <c r="K268" i="12"/>
  <c r="J268" i="12"/>
  <c r="N267" i="12"/>
  <c r="M267" i="12"/>
  <c r="L267" i="12"/>
  <c r="K267" i="12"/>
  <c r="J267" i="12"/>
  <c r="N266" i="12"/>
  <c r="M266" i="12"/>
  <c r="L266" i="12"/>
  <c r="K266" i="12"/>
  <c r="J266" i="12"/>
  <c r="N265" i="12"/>
  <c r="M265" i="12"/>
  <c r="L265" i="12"/>
  <c r="K265" i="12"/>
  <c r="J265" i="12"/>
  <c r="N264" i="12"/>
  <c r="M264" i="12"/>
  <c r="L264" i="12"/>
  <c r="K264" i="12"/>
  <c r="J264" i="12"/>
  <c r="N263" i="12"/>
  <c r="M263" i="12"/>
  <c r="L263" i="12"/>
  <c r="K263" i="12"/>
  <c r="J263" i="12"/>
  <c r="N262" i="12"/>
  <c r="M262" i="12"/>
  <c r="L262" i="12"/>
  <c r="K262" i="12"/>
  <c r="J262" i="12"/>
  <c r="N261" i="12"/>
  <c r="M261" i="12"/>
  <c r="L261" i="12"/>
  <c r="K261" i="12"/>
  <c r="J261" i="12"/>
  <c r="N260" i="12"/>
  <c r="M260" i="12"/>
  <c r="L260" i="12"/>
  <c r="K260" i="12"/>
  <c r="J260" i="12"/>
  <c r="N259" i="12"/>
  <c r="M259" i="12"/>
  <c r="L259" i="12"/>
  <c r="K259" i="12"/>
  <c r="J259" i="12"/>
  <c r="N258" i="12"/>
  <c r="M258" i="12"/>
  <c r="L258" i="12"/>
  <c r="K258" i="12"/>
  <c r="J258" i="12"/>
  <c r="N257" i="12"/>
  <c r="M257" i="12"/>
  <c r="L257" i="12"/>
  <c r="K257" i="12"/>
  <c r="J257" i="12"/>
  <c r="N256" i="12"/>
  <c r="M256" i="12"/>
  <c r="L256" i="12"/>
  <c r="K256" i="12"/>
  <c r="J256" i="12"/>
  <c r="N255" i="12"/>
  <c r="M255" i="12"/>
  <c r="L255" i="12"/>
  <c r="K255" i="12"/>
  <c r="J255" i="12"/>
  <c r="N254" i="12"/>
  <c r="M254" i="12"/>
  <c r="L254" i="12"/>
  <c r="K254" i="12"/>
  <c r="J254" i="12"/>
  <c r="N253" i="12"/>
  <c r="M253" i="12"/>
  <c r="L253" i="12"/>
  <c r="K253" i="12"/>
  <c r="J253" i="12"/>
  <c r="N252" i="12"/>
  <c r="M252" i="12"/>
  <c r="L252" i="12"/>
  <c r="K252" i="12"/>
  <c r="J252" i="12"/>
  <c r="N251" i="12"/>
  <c r="M251" i="12"/>
  <c r="L251" i="12"/>
  <c r="K251" i="12"/>
  <c r="J251" i="12"/>
  <c r="N250" i="12"/>
  <c r="M250" i="12"/>
  <c r="L250" i="12"/>
  <c r="K250" i="12"/>
  <c r="J250" i="12"/>
  <c r="N249" i="12"/>
  <c r="M249" i="12"/>
  <c r="L249" i="12"/>
  <c r="K249" i="12"/>
  <c r="J249" i="12"/>
  <c r="N248" i="12"/>
  <c r="M248" i="12"/>
  <c r="L248" i="12"/>
  <c r="K248" i="12"/>
  <c r="J248" i="12"/>
  <c r="N247" i="12"/>
  <c r="M247" i="12"/>
  <c r="L247" i="12"/>
  <c r="K247" i="12"/>
  <c r="J247" i="12"/>
  <c r="N246" i="12"/>
  <c r="M246" i="12"/>
  <c r="L246" i="12"/>
  <c r="K246" i="12"/>
  <c r="J246" i="12"/>
  <c r="N245" i="12"/>
  <c r="M245" i="12"/>
  <c r="L245" i="12"/>
  <c r="K245" i="12"/>
  <c r="J245" i="12"/>
  <c r="N244" i="12"/>
  <c r="M244" i="12"/>
  <c r="L244" i="12"/>
  <c r="K244" i="12"/>
  <c r="J244" i="12"/>
  <c r="N243" i="12"/>
  <c r="M243" i="12"/>
  <c r="L243" i="12"/>
  <c r="K243" i="12"/>
  <c r="J243" i="12"/>
  <c r="N242" i="12"/>
  <c r="M242" i="12"/>
  <c r="L242" i="12"/>
  <c r="K242" i="12"/>
  <c r="J242" i="12"/>
  <c r="N241" i="12"/>
  <c r="M241" i="12"/>
  <c r="L241" i="12"/>
  <c r="K241" i="12"/>
  <c r="J241" i="12"/>
  <c r="N240" i="12"/>
  <c r="M240" i="12"/>
  <c r="L240" i="12"/>
  <c r="K240" i="12"/>
  <c r="J240" i="12"/>
  <c r="N239" i="12"/>
  <c r="M239" i="12"/>
  <c r="L239" i="12"/>
  <c r="K239" i="12"/>
  <c r="J239" i="12"/>
  <c r="N238" i="12"/>
  <c r="M238" i="12"/>
  <c r="L238" i="12"/>
  <c r="K238" i="12"/>
  <c r="J238" i="12"/>
  <c r="N237" i="12"/>
  <c r="M237" i="12"/>
  <c r="L237" i="12"/>
  <c r="K237" i="12"/>
  <c r="J237" i="12"/>
  <c r="N236" i="12"/>
  <c r="M236" i="12"/>
  <c r="L236" i="12"/>
  <c r="K236" i="12"/>
  <c r="J236" i="12"/>
  <c r="N235" i="12"/>
  <c r="M235" i="12"/>
  <c r="L235" i="12"/>
  <c r="K235" i="12"/>
  <c r="J235" i="12"/>
  <c r="N234" i="12"/>
  <c r="M234" i="12"/>
  <c r="L234" i="12"/>
  <c r="K234" i="12"/>
  <c r="J234" i="12"/>
  <c r="N233" i="12"/>
  <c r="M233" i="12"/>
  <c r="L233" i="12"/>
  <c r="K233" i="12"/>
  <c r="J233" i="12"/>
  <c r="N323" i="12"/>
  <c r="M323" i="12"/>
  <c r="L323" i="12"/>
  <c r="K323" i="12"/>
  <c r="J323" i="12"/>
  <c r="N321" i="12"/>
  <c r="M321" i="12"/>
  <c r="L321" i="12"/>
  <c r="K321" i="12"/>
  <c r="J321" i="12"/>
  <c r="N320" i="12"/>
  <c r="M320" i="12"/>
  <c r="L320" i="12"/>
  <c r="K320" i="12"/>
  <c r="J320" i="12"/>
  <c r="N319" i="12"/>
  <c r="M319" i="12"/>
  <c r="L319" i="12"/>
  <c r="K319" i="12"/>
  <c r="J319" i="12"/>
  <c r="N318" i="12"/>
  <c r="M318" i="12"/>
  <c r="L318" i="12"/>
  <c r="K318" i="12"/>
  <c r="J318" i="12"/>
  <c r="N317" i="12"/>
  <c r="M317" i="12"/>
  <c r="L317" i="12"/>
  <c r="K317" i="12"/>
  <c r="J317" i="12"/>
  <c r="N316" i="12"/>
  <c r="M316" i="12"/>
  <c r="L316" i="12"/>
  <c r="K316" i="12"/>
  <c r="J316" i="12"/>
  <c r="N315" i="12"/>
  <c r="M315" i="12"/>
  <c r="L315" i="12"/>
  <c r="K315" i="12"/>
  <c r="J315" i="12"/>
  <c r="N314" i="12"/>
  <c r="M314" i="12"/>
  <c r="L314" i="12"/>
  <c r="K314" i="12"/>
  <c r="J314" i="12"/>
  <c r="N313" i="12"/>
  <c r="M313" i="12"/>
  <c r="L313" i="12"/>
  <c r="K313" i="12"/>
  <c r="J313" i="12"/>
  <c r="N312" i="12"/>
  <c r="M312" i="12"/>
  <c r="L312" i="12"/>
  <c r="K312" i="12"/>
  <c r="J312" i="12"/>
  <c r="N311" i="12"/>
  <c r="M311" i="12"/>
  <c r="L311" i="12"/>
  <c r="K311" i="12"/>
  <c r="J311" i="12"/>
  <c r="N310" i="12"/>
  <c r="M310" i="12"/>
  <c r="L310" i="12"/>
  <c r="K310" i="12"/>
  <c r="J310" i="12"/>
  <c r="N309" i="12"/>
  <c r="M309" i="12"/>
  <c r="L309" i="12"/>
  <c r="K309" i="12"/>
  <c r="J309" i="12"/>
  <c r="N308" i="12"/>
  <c r="M308" i="12"/>
  <c r="L308" i="12"/>
  <c r="K308" i="12"/>
  <c r="J308" i="12"/>
  <c r="N307" i="12"/>
  <c r="M307" i="12"/>
  <c r="L307" i="12"/>
  <c r="K307" i="12"/>
  <c r="J307" i="12"/>
  <c r="N306" i="12"/>
  <c r="M306" i="12"/>
  <c r="L306" i="12"/>
  <c r="K306" i="12"/>
  <c r="J306" i="12"/>
  <c r="N305" i="12"/>
  <c r="M305" i="12"/>
  <c r="L305" i="12"/>
  <c r="K305" i="12"/>
  <c r="J305" i="12"/>
  <c r="N304" i="12"/>
  <c r="M304" i="12"/>
  <c r="L304" i="12"/>
  <c r="K304" i="12"/>
  <c r="J304" i="12"/>
  <c r="N303" i="12"/>
  <c r="M303" i="12"/>
  <c r="L303" i="12"/>
  <c r="K303" i="12"/>
  <c r="J303" i="12"/>
  <c r="N302" i="12"/>
  <c r="M302" i="12"/>
  <c r="L302" i="12"/>
  <c r="K302" i="12"/>
  <c r="J302" i="12"/>
  <c r="N301" i="12"/>
  <c r="M301" i="12"/>
  <c r="L301" i="12"/>
  <c r="K301" i="12"/>
  <c r="J301" i="12"/>
  <c r="N300" i="12"/>
  <c r="M300" i="12"/>
  <c r="L300" i="12"/>
  <c r="K300" i="12"/>
  <c r="J300" i="12"/>
  <c r="N299" i="12"/>
  <c r="M299" i="12"/>
  <c r="L299" i="12"/>
  <c r="K299" i="12"/>
  <c r="J299" i="12"/>
  <c r="N298" i="12"/>
  <c r="M298" i="12"/>
  <c r="L298" i="12"/>
  <c r="K298" i="12"/>
  <c r="J298" i="12"/>
  <c r="N297" i="12"/>
  <c r="M297" i="12"/>
  <c r="L297" i="12"/>
  <c r="K297" i="12"/>
  <c r="J297" i="12"/>
  <c r="N296" i="12"/>
  <c r="M296" i="12"/>
  <c r="L296" i="12"/>
  <c r="K296" i="12"/>
  <c r="J296" i="12"/>
  <c r="N295" i="12"/>
  <c r="M295" i="12"/>
  <c r="L295" i="12"/>
  <c r="K295" i="12"/>
  <c r="J295" i="12"/>
  <c r="N294" i="12"/>
  <c r="M294" i="12"/>
  <c r="L294" i="12"/>
  <c r="K294" i="12"/>
  <c r="J294" i="12"/>
  <c r="N293" i="12"/>
  <c r="M293" i="12"/>
  <c r="L293" i="12"/>
  <c r="K293" i="12"/>
  <c r="J293" i="12"/>
  <c r="N292" i="12"/>
  <c r="M292" i="12"/>
  <c r="L292" i="12"/>
  <c r="K292" i="12"/>
  <c r="J292" i="12"/>
  <c r="N291" i="12"/>
  <c r="M291" i="12"/>
  <c r="L291" i="12"/>
  <c r="K291" i="12"/>
  <c r="J291" i="12"/>
  <c r="N290" i="12"/>
  <c r="M290" i="12"/>
  <c r="L290" i="12"/>
  <c r="K290" i="12"/>
  <c r="J290" i="12"/>
  <c r="N289" i="12"/>
  <c r="M289" i="12"/>
  <c r="L289" i="12"/>
  <c r="K289" i="12"/>
  <c r="J289" i="12"/>
  <c r="N288" i="12"/>
  <c r="M288" i="12"/>
  <c r="L288" i="12"/>
  <c r="K288" i="12"/>
  <c r="J288" i="12"/>
  <c r="N287" i="12"/>
  <c r="M287" i="12"/>
  <c r="L287" i="12"/>
  <c r="K287" i="12"/>
  <c r="J287" i="12"/>
  <c r="N286" i="12"/>
  <c r="M286" i="12"/>
  <c r="L286" i="12"/>
  <c r="K286" i="12"/>
  <c r="J286" i="12"/>
  <c r="N285" i="12"/>
  <c r="M285" i="12"/>
  <c r="L285" i="12"/>
  <c r="K285" i="12"/>
  <c r="J285" i="12"/>
  <c r="N284" i="12"/>
  <c r="M284" i="12"/>
  <c r="L284" i="12"/>
  <c r="K284" i="12"/>
  <c r="J284" i="12"/>
  <c r="N283" i="12"/>
  <c r="M283" i="12"/>
  <c r="L283" i="12"/>
  <c r="K283" i="12"/>
  <c r="J283" i="12"/>
  <c r="N282" i="12"/>
  <c r="M282" i="12"/>
  <c r="L282" i="12"/>
  <c r="K282" i="12"/>
  <c r="J282" i="12"/>
  <c r="N281" i="12"/>
  <c r="M281" i="12"/>
  <c r="L281" i="12"/>
  <c r="K281" i="12"/>
  <c r="J281" i="12"/>
  <c r="N277" i="12"/>
  <c r="M277" i="12"/>
  <c r="L277" i="12"/>
  <c r="K277" i="12"/>
  <c r="J277" i="12"/>
  <c r="N280" i="12"/>
  <c r="M280" i="12"/>
  <c r="L280" i="12"/>
  <c r="K280" i="12"/>
  <c r="J280" i="12"/>
  <c r="N279" i="12"/>
  <c r="M279" i="12"/>
  <c r="L279" i="12"/>
  <c r="K279" i="12"/>
  <c r="J279" i="12"/>
  <c r="N278" i="12"/>
  <c r="M278" i="12"/>
  <c r="L278" i="12"/>
  <c r="K278" i="12"/>
  <c r="J278" i="12"/>
  <c r="N231" i="12"/>
  <c r="M231" i="12"/>
  <c r="L231" i="12"/>
  <c r="K231" i="12"/>
  <c r="J231" i="12"/>
  <c r="N230" i="12"/>
  <c r="M230" i="12"/>
  <c r="L230" i="12"/>
  <c r="K230" i="12"/>
  <c r="J230" i="12"/>
  <c r="N229" i="12"/>
  <c r="M229" i="12"/>
  <c r="L229" i="12"/>
  <c r="K229" i="12"/>
  <c r="J229" i="12"/>
  <c r="N228" i="12"/>
  <c r="M228" i="12"/>
  <c r="L228" i="12"/>
  <c r="K228" i="12"/>
  <c r="J228" i="12"/>
  <c r="N227" i="12"/>
  <c r="M227" i="12"/>
  <c r="L227" i="12"/>
  <c r="K227" i="12"/>
  <c r="J227" i="12"/>
  <c r="N226" i="12"/>
  <c r="M226" i="12"/>
  <c r="L226" i="12"/>
  <c r="K226" i="12"/>
  <c r="J226" i="12"/>
  <c r="N225" i="12"/>
  <c r="M225" i="12"/>
  <c r="L225" i="12"/>
  <c r="K225" i="12"/>
  <c r="J225" i="12"/>
  <c r="N224" i="12"/>
  <c r="M224" i="12"/>
  <c r="L224" i="12"/>
  <c r="K224" i="12"/>
  <c r="J224" i="12"/>
  <c r="N223" i="12"/>
  <c r="M223" i="12"/>
  <c r="L223" i="12"/>
  <c r="K223" i="12"/>
  <c r="J223" i="12"/>
  <c r="N222" i="12"/>
  <c r="M222" i="12"/>
  <c r="L222" i="12"/>
  <c r="K222" i="12"/>
  <c r="J222" i="12"/>
  <c r="N221" i="12"/>
  <c r="M221" i="12"/>
  <c r="L221" i="12"/>
  <c r="K221" i="12"/>
  <c r="J221" i="12"/>
  <c r="N220" i="12"/>
  <c r="M220" i="12"/>
  <c r="L220" i="12"/>
  <c r="K220" i="12"/>
  <c r="J220" i="12"/>
  <c r="N219" i="12"/>
  <c r="M219" i="12"/>
  <c r="L219" i="12"/>
  <c r="K219" i="12"/>
  <c r="J219" i="12"/>
  <c r="N218" i="12"/>
  <c r="M218" i="12"/>
  <c r="L218" i="12"/>
  <c r="K218" i="12"/>
  <c r="J218" i="12"/>
  <c r="N217" i="12"/>
  <c r="M217" i="12"/>
  <c r="L217" i="12"/>
  <c r="K217" i="12"/>
  <c r="J217" i="12"/>
  <c r="N216" i="12"/>
  <c r="M216" i="12"/>
  <c r="L216" i="12"/>
  <c r="K216" i="12"/>
  <c r="J216" i="12"/>
  <c r="N215" i="12"/>
  <c r="M215" i="12"/>
  <c r="L215" i="12"/>
  <c r="K215" i="12"/>
  <c r="J215" i="12"/>
  <c r="N214" i="12"/>
  <c r="M214" i="12"/>
  <c r="L214" i="12"/>
  <c r="K214" i="12"/>
  <c r="J214" i="12"/>
  <c r="N213" i="12"/>
  <c r="M213" i="12"/>
  <c r="L213" i="12"/>
  <c r="K213" i="12"/>
  <c r="J213" i="12"/>
  <c r="N212" i="12"/>
  <c r="M212" i="12"/>
  <c r="L212" i="12"/>
  <c r="K212" i="12"/>
  <c r="J212" i="12"/>
  <c r="N211" i="12"/>
  <c r="M211" i="12"/>
  <c r="L211" i="12"/>
  <c r="K211" i="12"/>
  <c r="J211" i="12"/>
  <c r="N210" i="12"/>
  <c r="M210" i="12"/>
  <c r="L210" i="12"/>
  <c r="K210" i="12"/>
  <c r="J210" i="12"/>
  <c r="N209" i="12"/>
  <c r="M209" i="12"/>
  <c r="L209" i="12"/>
  <c r="K209" i="12"/>
  <c r="J209" i="12"/>
  <c r="N208" i="12"/>
  <c r="M208" i="12"/>
  <c r="L208" i="12"/>
  <c r="K208" i="12"/>
  <c r="J208" i="12"/>
  <c r="N207" i="12"/>
  <c r="M207" i="12"/>
  <c r="L207" i="12"/>
  <c r="K207" i="12"/>
  <c r="J207" i="12"/>
  <c r="N206" i="12"/>
  <c r="M206" i="12"/>
  <c r="L206" i="12"/>
  <c r="K206" i="12"/>
  <c r="J206" i="12"/>
  <c r="N205" i="12"/>
  <c r="M205" i="12"/>
  <c r="L205" i="12"/>
  <c r="K205" i="12"/>
  <c r="J205" i="12"/>
  <c r="N204" i="12"/>
  <c r="M204" i="12"/>
  <c r="L204" i="12"/>
  <c r="K204" i="12"/>
  <c r="J204" i="12"/>
  <c r="N203" i="12"/>
  <c r="M203" i="12"/>
  <c r="L203" i="12"/>
  <c r="K203" i="12"/>
  <c r="J203" i="12"/>
  <c r="N184" i="12"/>
  <c r="M184" i="12"/>
  <c r="L184" i="12"/>
  <c r="K184" i="12"/>
  <c r="J184" i="12"/>
  <c r="N202" i="12"/>
  <c r="M202" i="12"/>
  <c r="L202" i="12"/>
  <c r="K202" i="12"/>
  <c r="J202" i="12"/>
  <c r="N201" i="12"/>
  <c r="M201" i="12"/>
  <c r="L201" i="12"/>
  <c r="K201" i="12"/>
  <c r="J201" i="12"/>
  <c r="N200" i="12"/>
  <c r="M200" i="12"/>
  <c r="L200" i="12"/>
  <c r="K200" i="12"/>
  <c r="J200" i="12"/>
  <c r="N199" i="12"/>
  <c r="M199" i="12"/>
  <c r="L199" i="12"/>
  <c r="K199" i="12"/>
  <c r="J199" i="12"/>
  <c r="N198" i="12"/>
  <c r="M198" i="12"/>
  <c r="L198" i="12"/>
  <c r="K198" i="12"/>
  <c r="J198" i="12"/>
  <c r="N197" i="12"/>
  <c r="M197" i="12"/>
  <c r="L197" i="12"/>
  <c r="K197" i="12"/>
  <c r="J197" i="12"/>
  <c r="N196" i="12"/>
  <c r="M196" i="12"/>
  <c r="L196" i="12"/>
  <c r="K196" i="12"/>
  <c r="J196" i="12"/>
  <c r="N195" i="12"/>
  <c r="M195" i="12"/>
  <c r="L195" i="12"/>
  <c r="K195" i="12"/>
  <c r="J195" i="12"/>
  <c r="N194" i="12"/>
  <c r="M194" i="12"/>
  <c r="L194" i="12"/>
  <c r="K194" i="12"/>
  <c r="J194" i="12"/>
  <c r="N193" i="12"/>
  <c r="M193" i="12"/>
  <c r="L193" i="12"/>
  <c r="K193" i="12"/>
  <c r="J193" i="12"/>
  <c r="N192" i="12"/>
  <c r="M192" i="12"/>
  <c r="L192" i="12"/>
  <c r="K192" i="12"/>
  <c r="J192" i="12"/>
  <c r="N191" i="12"/>
  <c r="M191" i="12"/>
  <c r="L191" i="12"/>
  <c r="K191" i="12"/>
  <c r="J191" i="12"/>
  <c r="N190" i="12"/>
  <c r="M190" i="12"/>
  <c r="L190" i="12"/>
  <c r="K190" i="12"/>
  <c r="J190" i="12"/>
  <c r="N189" i="12"/>
  <c r="M189" i="12"/>
  <c r="L189" i="12"/>
  <c r="K189" i="12"/>
  <c r="J189" i="12"/>
  <c r="N188" i="12"/>
  <c r="M188" i="12"/>
  <c r="L188" i="12"/>
  <c r="K188" i="12"/>
  <c r="J188" i="12"/>
  <c r="T170" i="12"/>
  <c r="T172" i="12"/>
  <c r="T174" i="12"/>
  <c r="N187" i="12"/>
  <c r="M187" i="12"/>
  <c r="L187" i="12"/>
  <c r="K187" i="12"/>
  <c r="J187" i="12"/>
  <c r="N186" i="12"/>
  <c r="M186" i="12"/>
  <c r="L186" i="12"/>
  <c r="K186" i="12"/>
  <c r="J186" i="12"/>
  <c r="N185" i="12"/>
  <c r="M185" i="12"/>
  <c r="L185" i="12"/>
  <c r="K185" i="12"/>
  <c r="J185" i="12"/>
  <c r="N183" i="12"/>
  <c r="M183" i="12"/>
  <c r="L183" i="12"/>
  <c r="K183" i="12"/>
  <c r="J183" i="12"/>
  <c r="N182" i="12"/>
  <c r="M182" i="12"/>
  <c r="L182" i="12"/>
  <c r="K182" i="12"/>
  <c r="J182" i="12"/>
  <c r="N181" i="12"/>
  <c r="M181" i="12"/>
  <c r="L181" i="12"/>
  <c r="K181" i="12"/>
  <c r="J181" i="12"/>
  <c r="N180" i="12"/>
  <c r="M180" i="12"/>
  <c r="L180" i="12"/>
  <c r="K180" i="12"/>
  <c r="J180" i="12"/>
  <c r="N179" i="12"/>
  <c r="M179" i="12"/>
  <c r="L179" i="12"/>
  <c r="K179" i="12"/>
  <c r="J179" i="12"/>
  <c r="N178" i="12"/>
  <c r="M178" i="12"/>
  <c r="L178" i="12"/>
  <c r="K178" i="12"/>
  <c r="J178" i="12"/>
  <c r="N177" i="12"/>
  <c r="M177" i="12"/>
  <c r="L177" i="12"/>
  <c r="K177" i="12"/>
  <c r="J177" i="12"/>
  <c r="N176" i="12"/>
  <c r="M176" i="12"/>
  <c r="L176" i="12"/>
  <c r="K176" i="12"/>
  <c r="J176" i="12"/>
  <c r="N175" i="12"/>
  <c r="M175" i="12"/>
  <c r="L175" i="12"/>
  <c r="K175" i="12"/>
  <c r="J175" i="12"/>
  <c r="N174" i="12"/>
  <c r="M174" i="12"/>
  <c r="L174" i="12"/>
  <c r="K174" i="12"/>
  <c r="J174" i="12"/>
  <c r="N173" i="12"/>
  <c r="M173" i="12"/>
  <c r="L173" i="12"/>
  <c r="K173" i="12"/>
  <c r="J173" i="12"/>
  <c r="N172" i="12"/>
  <c r="M172" i="12"/>
  <c r="L172" i="12"/>
  <c r="K172" i="12"/>
  <c r="J172" i="12"/>
  <c r="N171" i="12"/>
  <c r="M171" i="12"/>
  <c r="L171" i="12"/>
  <c r="K171" i="12"/>
  <c r="J171" i="12"/>
  <c r="N170" i="12"/>
  <c r="M170" i="12"/>
  <c r="L170" i="12"/>
  <c r="K170" i="12"/>
  <c r="J170" i="12"/>
  <c r="N169" i="12"/>
  <c r="M169" i="12"/>
  <c r="L169" i="12"/>
  <c r="K169" i="12"/>
  <c r="J169" i="12"/>
  <c r="T164" i="12"/>
  <c r="U162" i="12"/>
  <c r="U161" i="12"/>
  <c r="T158" i="12"/>
  <c r="T160" i="12"/>
  <c r="N158" i="12"/>
  <c r="M158" i="12"/>
  <c r="L158" i="12"/>
  <c r="K158" i="12"/>
  <c r="J158" i="12"/>
  <c r="N157" i="12"/>
  <c r="M157" i="12"/>
  <c r="L157" i="12"/>
  <c r="K157" i="12"/>
  <c r="J157" i="12"/>
  <c r="N168" i="12"/>
  <c r="M168" i="12"/>
  <c r="L168" i="12"/>
  <c r="K168" i="12"/>
  <c r="J168" i="12"/>
  <c r="N167" i="12"/>
  <c r="M167" i="12"/>
  <c r="L167" i="12"/>
  <c r="K167" i="12"/>
  <c r="J167" i="12"/>
  <c r="N166" i="12"/>
  <c r="M166" i="12"/>
  <c r="L166" i="12"/>
  <c r="K166" i="12"/>
  <c r="J166" i="12"/>
  <c r="N165" i="12"/>
  <c r="M165" i="12"/>
  <c r="L165" i="12"/>
  <c r="K165" i="12"/>
  <c r="J165" i="12"/>
  <c r="N164" i="12"/>
  <c r="M164" i="12"/>
  <c r="L164" i="12"/>
  <c r="K164" i="12"/>
  <c r="J164" i="12"/>
  <c r="N163" i="12"/>
  <c r="M163" i="12"/>
  <c r="L163" i="12"/>
  <c r="K163" i="12"/>
  <c r="J163" i="12"/>
  <c r="N162" i="12"/>
  <c r="M162" i="12"/>
  <c r="L162" i="12"/>
  <c r="K162" i="12"/>
  <c r="J162" i="12"/>
  <c r="N161" i="12"/>
  <c r="M161" i="12"/>
  <c r="L161" i="12"/>
  <c r="K161" i="12"/>
  <c r="J161" i="12"/>
  <c r="T150" i="12"/>
  <c r="T148" i="12"/>
  <c r="N160" i="12"/>
  <c r="M160" i="12"/>
  <c r="L160" i="12"/>
  <c r="K160" i="12"/>
  <c r="J160" i="12"/>
  <c r="N159" i="12"/>
  <c r="M159" i="12"/>
  <c r="L159" i="12"/>
  <c r="K159" i="12"/>
  <c r="J159" i="12"/>
  <c r="N156" i="12"/>
  <c r="M156" i="12"/>
  <c r="L156" i="12"/>
  <c r="K156" i="12"/>
  <c r="J156" i="12"/>
  <c r="N155" i="12"/>
  <c r="M155" i="12"/>
  <c r="L155" i="12"/>
  <c r="K155" i="12"/>
  <c r="J155" i="12"/>
  <c r="N154" i="12"/>
  <c r="M154" i="12"/>
  <c r="L154" i="12"/>
  <c r="K154" i="12"/>
  <c r="J154" i="12"/>
  <c r="N153" i="12"/>
  <c r="M153" i="12"/>
  <c r="L153" i="12"/>
  <c r="K153" i="12"/>
  <c r="J153" i="12"/>
  <c r="N152" i="12"/>
  <c r="M152" i="12"/>
  <c r="L152" i="12"/>
  <c r="K152" i="12"/>
  <c r="J152" i="12"/>
  <c r="N151" i="12"/>
  <c r="M151" i="12"/>
  <c r="L151" i="12"/>
  <c r="K151" i="12"/>
  <c r="J151" i="12"/>
  <c r="N150" i="12"/>
  <c r="M150" i="12"/>
  <c r="L150" i="12"/>
  <c r="K150" i="12"/>
  <c r="J150" i="12"/>
  <c r="N149" i="12"/>
  <c r="M149" i="12"/>
  <c r="L149" i="12"/>
  <c r="K149" i="12"/>
  <c r="J149" i="12"/>
  <c r="N148" i="12"/>
  <c r="M148" i="12"/>
  <c r="L148" i="12"/>
  <c r="K148" i="12"/>
  <c r="J148" i="12"/>
  <c r="N147" i="12"/>
  <c r="M147" i="12"/>
  <c r="L147" i="12"/>
  <c r="K147" i="12"/>
  <c r="J147" i="12"/>
  <c r="N146" i="12"/>
  <c r="M146" i="12"/>
  <c r="L146" i="12"/>
  <c r="K146" i="12"/>
  <c r="J146" i="12"/>
  <c r="N145" i="12"/>
  <c r="M145" i="12"/>
  <c r="L145" i="12"/>
  <c r="K145" i="12"/>
  <c r="J145" i="12"/>
  <c r="N144" i="12"/>
  <c r="M144" i="12"/>
  <c r="L144" i="12"/>
  <c r="K144" i="12"/>
  <c r="J144" i="12"/>
  <c r="N143" i="12"/>
  <c r="M143" i="12"/>
  <c r="L143" i="12"/>
  <c r="K143" i="12"/>
  <c r="J143" i="12"/>
  <c r="N142" i="12"/>
  <c r="M142" i="12"/>
  <c r="L142" i="12"/>
  <c r="K142" i="12"/>
  <c r="J142" i="12"/>
  <c r="N141" i="12"/>
  <c r="M141" i="12"/>
  <c r="L141" i="12"/>
  <c r="K141" i="12"/>
  <c r="J141" i="12"/>
  <c r="N140" i="12"/>
  <c r="M140" i="12"/>
  <c r="L140" i="12"/>
  <c r="K140" i="12"/>
  <c r="J140" i="12"/>
  <c r="N139" i="12"/>
  <c r="M139" i="12"/>
  <c r="L139" i="12"/>
  <c r="K139" i="12"/>
  <c r="J139" i="12"/>
  <c r="N138" i="12"/>
  <c r="M138" i="12"/>
  <c r="L138" i="12"/>
  <c r="K138" i="12"/>
  <c r="J138" i="12"/>
  <c r="N137" i="12"/>
  <c r="M137" i="12"/>
  <c r="L137" i="12"/>
  <c r="K137" i="12"/>
  <c r="J137" i="12"/>
  <c r="N136" i="12"/>
  <c r="M136" i="12"/>
  <c r="L136" i="12"/>
  <c r="K136" i="12"/>
  <c r="J136" i="12"/>
  <c r="N135" i="12"/>
  <c r="M135" i="12"/>
  <c r="L135" i="12"/>
  <c r="K135" i="12"/>
  <c r="J135" i="12"/>
  <c r="N134" i="12"/>
  <c r="M134" i="12"/>
  <c r="L134" i="12"/>
  <c r="K134" i="12"/>
  <c r="J134" i="12"/>
  <c r="N133" i="12"/>
  <c r="M133" i="12"/>
  <c r="L133" i="12"/>
  <c r="K133" i="12"/>
  <c r="J133" i="12"/>
  <c r="N132" i="12"/>
  <c r="M132" i="12"/>
  <c r="L132" i="12"/>
  <c r="K132" i="12"/>
  <c r="J132" i="12"/>
  <c r="U127" i="12"/>
  <c r="U126" i="12"/>
  <c r="U125" i="12"/>
  <c r="U124" i="12"/>
  <c r="T123" i="12"/>
  <c r="T122" i="12"/>
  <c r="T121" i="12"/>
  <c r="T120" i="12"/>
  <c r="N127" i="12"/>
  <c r="M127" i="12"/>
  <c r="L127" i="12"/>
  <c r="K127" i="12"/>
  <c r="J127" i="12"/>
  <c r="N126" i="12"/>
  <c r="M126" i="12"/>
  <c r="L126" i="12"/>
  <c r="K126" i="12"/>
  <c r="J126" i="12"/>
  <c r="N125" i="12"/>
  <c r="M125" i="12"/>
  <c r="L125" i="12"/>
  <c r="K125" i="12"/>
  <c r="J125" i="12"/>
  <c r="N123" i="12"/>
  <c r="M123" i="12"/>
  <c r="L123" i="12"/>
  <c r="K123" i="12"/>
  <c r="J123" i="12"/>
  <c r="N122" i="12"/>
  <c r="M122" i="12"/>
  <c r="L122" i="12"/>
  <c r="K122" i="12"/>
  <c r="J122" i="12"/>
  <c r="N121" i="12"/>
  <c r="M121" i="12"/>
  <c r="L121" i="12"/>
  <c r="K121" i="12"/>
  <c r="J121" i="12"/>
  <c r="N131" i="12"/>
  <c r="M131" i="12"/>
  <c r="L131" i="12"/>
  <c r="K131" i="12"/>
  <c r="J131" i="12"/>
  <c r="N130" i="12"/>
  <c r="M130" i="12"/>
  <c r="L130" i="12"/>
  <c r="K130" i="12"/>
  <c r="J130" i="12"/>
  <c r="N129" i="12"/>
  <c r="M129" i="12"/>
  <c r="L129" i="12"/>
  <c r="K129" i="12"/>
  <c r="J129" i="12"/>
  <c r="N128" i="12"/>
  <c r="M128" i="12"/>
  <c r="L128" i="12"/>
  <c r="K128" i="12"/>
  <c r="J128" i="12"/>
  <c r="N114" i="12"/>
  <c r="M114" i="12"/>
  <c r="L114" i="12"/>
  <c r="K114" i="12"/>
  <c r="J114" i="12"/>
  <c r="N111" i="12"/>
  <c r="M111" i="12"/>
  <c r="L111" i="12"/>
  <c r="K111" i="12"/>
  <c r="J111" i="12"/>
  <c r="N108" i="12"/>
  <c r="M108" i="12"/>
  <c r="L108" i="12"/>
  <c r="K108" i="12"/>
  <c r="J108" i="12"/>
  <c r="N124" i="12"/>
  <c r="M124" i="12"/>
  <c r="L124" i="12"/>
  <c r="K124" i="12"/>
  <c r="J124" i="12"/>
  <c r="N120" i="12"/>
  <c r="M120" i="12"/>
  <c r="L120" i="12"/>
  <c r="K120" i="12"/>
  <c r="J120" i="12"/>
  <c r="N119" i="12"/>
  <c r="M119" i="12"/>
  <c r="L119" i="12"/>
  <c r="K119" i="12"/>
  <c r="J119" i="12"/>
  <c r="N118" i="12"/>
  <c r="M118" i="12"/>
  <c r="L118" i="12"/>
  <c r="K118" i="12"/>
  <c r="J118" i="12"/>
  <c r="N117" i="12"/>
  <c r="M117" i="12"/>
  <c r="L117" i="12"/>
  <c r="K117" i="12"/>
  <c r="J117" i="12"/>
  <c r="N116" i="12"/>
  <c r="M116" i="12"/>
  <c r="L116" i="12"/>
  <c r="K116" i="12"/>
  <c r="J116" i="12"/>
  <c r="N115" i="12"/>
  <c r="M115" i="12"/>
  <c r="L115" i="12"/>
  <c r="K115" i="12"/>
  <c r="J115" i="12"/>
  <c r="N113" i="12"/>
  <c r="M113" i="12"/>
  <c r="L113" i="12"/>
  <c r="K113" i="12"/>
  <c r="J113" i="12"/>
  <c r="N112" i="12"/>
  <c r="M112" i="12"/>
  <c r="L112" i="12"/>
  <c r="K112" i="12"/>
  <c r="J112" i="12"/>
  <c r="N110" i="12"/>
  <c r="M110" i="12"/>
  <c r="L110" i="12"/>
  <c r="K110" i="12"/>
  <c r="J110" i="12"/>
  <c r="N109" i="12"/>
  <c r="M109" i="12"/>
  <c r="L109" i="12"/>
  <c r="K109" i="12"/>
  <c r="J109" i="12"/>
  <c r="N107" i="12"/>
  <c r="M107" i="12"/>
  <c r="L107" i="12"/>
  <c r="K107" i="12"/>
  <c r="J107" i="12"/>
  <c r="N106" i="12"/>
  <c r="M106" i="12"/>
  <c r="L106" i="12"/>
  <c r="K106" i="12"/>
  <c r="J106" i="12"/>
  <c r="N105" i="12"/>
  <c r="M105" i="12"/>
  <c r="L105" i="12"/>
  <c r="K105" i="12"/>
  <c r="N104" i="12"/>
  <c r="M104" i="12"/>
  <c r="L104" i="12"/>
  <c r="K104" i="12"/>
  <c r="J105" i="12"/>
  <c r="J104" i="12"/>
  <c r="N103" i="12"/>
  <c r="M103" i="12"/>
  <c r="L103" i="12"/>
  <c r="K103" i="12"/>
  <c r="N102" i="12"/>
  <c r="M102" i="12"/>
  <c r="L102" i="12"/>
  <c r="K102" i="12"/>
  <c r="M101" i="12"/>
  <c r="L101" i="12"/>
  <c r="K101" i="12"/>
  <c r="N101" i="12"/>
  <c r="N100" i="12"/>
  <c r="M100" i="12"/>
  <c r="L100" i="12"/>
  <c r="K100" i="12"/>
  <c r="J103" i="12"/>
  <c r="J102" i="12"/>
  <c r="J101" i="12"/>
  <c r="J100" i="12"/>
  <c r="N99" i="12"/>
  <c r="M99" i="12"/>
  <c r="L99" i="12"/>
  <c r="K99" i="12"/>
  <c r="J99" i="12"/>
  <c r="N98" i="12"/>
  <c r="M98" i="12"/>
  <c r="L98" i="12"/>
  <c r="K98" i="12"/>
  <c r="J98" i="12"/>
  <c r="N18" i="12"/>
  <c r="M18" i="12"/>
  <c r="L18" i="12"/>
  <c r="K18" i="12"/>
  <c r="J18" i="12"/>
  <c r="N17" i="12"/>
  <c r="M17" i="12"/>
  <c r="L17" i="12"/>
  <c r="K17" i="12"/>
  <c r="J17" i="12"/>
  <c r="T38" i="12"/>
  <c r="N38" i="12"/>
  <c r="M38" i="12"/>
  <c r="L38" i="12"/>
  <c r="K38" i="12"/>
  <c r="J38" i="12"/>
  <c r="U37" i="12"/>
  <c r="N37" i="12"/>
  <c r="M37" i="12"/>
  <c r="L37" i="12"/>
  <c r="K37" i="12"/>
  <c r="J37" i="12"/>
  <c r="T36" i="12"/>
  <c r="N36" i="12"/>
  <c r="M36" i="12"/>
  <c r="L36" i="12"/>
  <c r="K36" i="12"/>
  <c r="J36" i="12"/>
  <c r="U35" i="12"/>
  <c r="N35" i="12"/>
  <c r="M35" i="12"/>
  <c r="L35" i="12"/>
  <c r="K35" i="12"/>
  <c r="J35" i="12"/>
  <c r="T30" i="12"/>
  <c r="U43" i="12"/>
  <c r="U40" i="12"/>
  <c r="U33" i="12"/>
  <c r="U32" i="12"/>
  <c r="T44" i="12"/>
  <c r="T42" i="12"/>
  <c r="T41" i="12"/>
  <c r="T39" i="12"/>
  <c r="T34" i="12"/>
  <c r="N32" i="12"/>
  <c r="M32" i="12"/>
  <c r="L32" i="12"/>
  <c r="K32" i="12"/>
  <c r="J32" i="12"/>
  <c r="N44" i="12"/>
  <c r="M44" i="12"/>
  <c r="L44" i="12"/>
  <c r="K44" i="12"/>
  <c r="J44" i="12"/>
  <c r="N30" i="12"/>
  <c r="M30" i="12"/>
  <c r="L30" i="12"/>
  <c r="K30" i="12"/>
  <c r="J30" i="12"/>
  <c r="U20" i="12"/>
  <c r="N20" i="12"/>
  <c r="M20" i="12"/>
  <c r="L20" i="12"/>
  <c r="K20" i="12"/>
  <c r="J20" i="12"/>
  <c r="N39" i="12"/>
  <c r="M39" i="12"/>
  <c r="L39" i="12"/>
  <c r="K39" i="12"/>
  <c r="J39" i="12"/>
  <c r="N34" i="12"/>
  <c r="M34" i="12"/>
  <c r="L34" i="12"/>
  <c r="K34" i="12"/>
  <c r="J34" i="12"/>
  <c r="N33" i="12"/>
  <c r="M33" i="12"/>
  <c r="L33" i="12"/>
  <c r="K33" i="12"/>
  <c r="J33" i="12"/>
  <c r="N41" i="12"/>
  <c r="M41" i="12"/>
  <c r="L41" i="12"/>
  <c r="K41" i="12"/>
  <c r="J41" i="12"/>
  <c r="N40" i="12"/>
  <c r="M40" i="12"/>
  <c r="L40" i="12"/>
  <c r="K40" i="12"/>
  <c r="J40" i="12"/>
  <c r="U26" i="12"/>
  <c r="T25" i="12"/>
  <c r="N26" i="12"/>
  <c r="M26" i="12"/>
  <c r="L26" i="12"/>
  <c r="K26" i="12"/>
  <c r="J26" i="12"/>
  <c r="N25" i="12"/>
  <c r="M25" i="12"/>
  <c r="L25" i="12"/>
  <c r="K25" i="12"/>
  <c r="J25" i="12"/>
  <c r="U29" i="12"/>
  <c r="U21" i="12"/>
  <c r="N29" i="12"/>
  <c r="M29" i="12"/>
  <c r="L29" i="12"/>
  <c r="K29" i="12"/>
  <c r="J29" i="12"/>
  <c r="N28" i="12"/>
  <c r="M28" i="12"/>
  <c r="L28" i="12"/>
  <c r="K28" i="12"/>
  <c r="J28" i="12"/>
  <c r="N27" i="12"/>
  <c r="M27" i="12"/>
  <c r="L27" i="12"/>
  <c r="K27" i="12"/>
  <c r="J27" i="12"/>
  <c r="N63" i="12"/>
  <c r="M63" i="12"/>
  <c r="L63" i="12"/>
  <c r="K63" i="12"/>
  <c r="J63" i="12"/>
  <c r="N61" i="12"/>
  <c r="M61" i="12"/>
  <c r="L61" i="12"/>
  <c r="K61" i="12"/>
  <c r="J61" i="12"/>
  <c r="J62" i="12"/>
  <c r="K62" i="12"/>
  <c r="L62" i="12"/>
  <c r="M62" i="12"/>
  <c r="N62" i="12"/>
  <c r="N97" i="12"/>
  <c r="M97" i="12"/>
  <c r="L97" i="12"/>
  <c r="K97" i="12"/>
  <c r="J97" i="12"/>
  <c r="N96" i="12"/>
  <c r="M96" i="12"/>
  <c r="L96" i="12"/>
  <c r="K96" i="12"/>
  <c r="J96" i="12"/>
  <c r="N95" i="12"/>
  <c r="M95" i="12"/>
  <c r="L95" i="12"/>
  <c r="K95" i="12"/>
  <c r="J95" i="12"/>
  <c r="N94" i="12"/>
  <c r="M94" i="12"/>
  <c r="L94" i="12"/>
  <c r="K94" i="12"/>
  <c r="J94" i="12"/>
  <c r="N93" i="12"/>
  <c r="M93" i="12"/>
  <c r="L93" i="12"/>
  <c r="K93" i="12"/>
  <c r="J93" i="12"/>
  <c r="N92" i="12"/>
  <c r="M92" i="12"/>
  <c r="L92" i="12"/>
  <c r="K92" i="12"/>
  <c r="J92" i="12"/>
  <c r="N91" i="12"/>
  <c r="M91" i="12"/>
  <c r="L91" i="12"/>
  <c r="K91" i="12"/>
  <c r="J91" i="12"/>
  <c r="N90" i="12"/>
  <c r="M90" i="12"/>
  <c r="L90" i="12"/>
  <c r="K90" i="12"/>
  <c r="J90" i="12"/>
  <c r="N89" i="12"/>
  <c r="M89" i="12"/>
  <c r="L89" i="12"/>
  <c r="K89" i="12"/>
  <c r="J89" i="12"/>
  <c r="N88" i="12"/>
  <c r="M88" i="12"/>
  <c r="L88" i="12"/>
  <c r="K88" i="12"/>
  <c r="J88" i="12"/>
  <c r="N87" i="12"/>
  <c r="M87" i="12"/>
  <c r="L87" i="12"/>
  <c r="K87" i="12"/>
  <c r="J87" i="12"/>
  <c r="N86" i="12"/>
  <c r="M86" i="12"/>
  <c r="L86" i="12"/>
  <c r="K86" i="12"/>
  <c r="J86" i="12"/>
  <c r="N85" i="12"/>
  <c r="M85" i="12"/>
  <c r="L85" i="12"/>
  <c r="K85" i="12"/>
  <c r="J85" i="12"/>
  <c r="N84" i="12"/>
  <c r="M84" i="12"/>
  <c r="L84" i="12"/>
  <c r="K84" i="12"/>
  <c r="J84" i="12"/>
  <c r="N83" i="12"/>
  <c r="M83" i="12"/>
  <c r="L83" i="12"/>
  <c r="K83" i="12"/>
  <c r="J83" i="12"/>
  <c r="N82" i="12"/>
  <c r="M82" i="12"/>
  <c r="L82" i="12"/>
  <c r="K82" i="12"/>
  <c r="J82" i="12"/>
  <c r="N81" i="12"/>
  <c r="M81" i="12"/>
  <c r="L81" i="12"/>
  <c r="K81" i="12"/>
  <c r="J81" i="12"/>
  <c r="N80" i="12"/>
  <c r="M80" i="12"/>
  <c r="L80" i="12"/>
  <c r="K80" i="12"/>
  <c r="J80" i="12"/>
  <c r="N79" i="12"/>
  <c r="M79" i="12"/>
  <c r="L79" i="12"/>
  <c r="K79" i="12"/>
  <c r="J79" i="12"/>
  <c r="M78" i="12"/>
  <c r="L78" i="12"/>
  <c r="K78" i="12"/>
  <c r="J78" i="12"/>
  <c r="N23" i="13"/>
  <c r="M23" i="13"/>
  <c r="L23" i="13"/>
  <c r="K23" i="13"/>
  <c r="J23" i="13"/>
  <c r="N22" i="13"/>
  <c r="M22" i="13"/>
  <c r="L22" i="13"/>
  <c r="K22" i="13"/>
  <c r="J22" i="13"/>
  <c r="N21" i="13"/>
  <c r="M21" i="13"/>
  <c r="L21" i="13"/>
  <c r="K21" i="13"/>
  <c r="J21" i="13"/>
  <c r="N20" i="13"/>
  <c r="M20" i="13"/>
  <c r="L20" i="13"/>
  <c r="K20" i="13"/>
  <c r="J20" i="13"/>
  <c r="N19" i="13"/>
  <c r="M19" i="13"/>
  <c r="L19" i="13"/>
  <c r="K19" i="13"/>
  <c r="J19" i="13"/>
  <c r="N18" i="13"/>
  <c r="M18" i="13"/>
  <c r="L18" i="13"/>
  <c r="K18" i="13"/>
  <c r="J18" i="13"/>
  <c r="N17" i="13"/>
  <c r="M17" i="13"/>
  <c r="L17" i="13"/>
  <c r="K17" i="13"/>
  <c r="J17" i="13"/>
  <c r="N16" i="13"/>
  <c r="M16" i="13"/>
  <c r="L16" i="13"/>
  <c r="K16" i="13"/>
  <c r="J16" i="13"/>
  <c r="N15" i="13"/>
  <c r="M15" i="13"/>
  <c r="L15" i="13"/>
  <c r="K15" i="13"/>
  <c r="J15" i="13"/>
  <c r="N14" i="13"/>
  <c r="M14" i="13"/>
  <c r="L14" i="13"/>
  <c r="K14" i="13"/>
  <c r="J14" i="13"/>
  <c r="N13" i="13"/>
  <c r="M13" i="13"/>
  <c r="L13" i="13"/>
  <c r="K13" i="13"/>
  <c r="J13" i="13"/>
  <c r="N12" i="13"/>
  <c r="M12" i="13"/>
  <c r="L12" i="13"/>
  <c r="K12" i="13"/>
  <c r="J12" i="13"/>
  <c r="O12" i="13" s="1"/>
  <c r="P12" i="13" s="1"/>
  <c r="N11" i="13"/>
  <c r="M11" i="13"/>
  <c r="L11" i="13"/>
  <c r="K11" i="13"/>
  <c r="J11" i="13"/>
  <c r="N10" i="13"/>
  <c r="M10" i="13"/>
  <c r="L10" i="13"/>
  <c r="K10" i="13"/>
  <c r="J10" i="13"/>
  <c r="N9" i="13"/>
  <c r="M9" i="13"/>
  <c r="L9" i="13"/>
  <c r="K9" i="13"/>
  <c r="J9" i="13"/>
  <c r="N8" i="13"/>
  <c r="M8" i="13"/>
  <c r="L8" i="13"/>
  <c r="K8" i="13"/>
  <c r="J8" i="13"/>
  <c r="N7" i="13"/>
  <c r="M7" i="13"/>
  <c r="L7" i="13"/>
  <c r="K7" i="13"/>
  <c r="J7" i="13"/>
  <c r="N6" i="13"/>
  <c r="M6" i="13"/>
  <c r="L6" i="13"/>
  <c r="K6" i="13"/>
  <c r="J6" i="13"/>
  <c r="N5" i="13"/>
  <c r="M5" i="13"/>
  <c r="L5" i="13"/>
  <c r="K5" i="13"/>
  <c r="J5" i="13"/>
  <c r="M4" i="13"/>
  <c r="L4" i="13"/>
  <c r="K4" i="13"/>
  <c r="J4" i="13"/>
  <c r="M55" i="12"/>
  <c r="L55" i="12"/>
  <c r="K55" i="12"/>
  <c r="J55" i="12"/>
  <c r="N69" i="12"/>
  <c r="M69" i="12"/>
  <c r="L69" i="12"/>
  <c r="K69" i="12"/>
  <c r="J69" i="12"/>
  <c r="N70" i="12"/>
  <c r="M70" i="12"/>
  <c r="L70" i="12"/>
  <c r="K70" i="12"/>
  <c r="J70" i="12"/>
  <c r="N65" i="12"/>
  <c r="M65" i="12"/>
  <c r="L65" i="12"/>
  <c r="K65" i="12"/>
  <c r="J65" i="12"/>
  <c r="N53" i="12"/>
  <c r="M53" i="12"/>
  <c r="L53" i="12"/>
  <c r="K53" i="12"/>
  <c r="J53" i="12"/>
  <c r="N52" i="12"/>
  <c r="M52" i="12"/>
  <c r="L52" i="12"/>
  <c r="K52" i="12"/>
  <c r="J52" i="12"/>
  <c r="N51" i="12"/>
  <c r="M51" i="12"/>
  <c r="L51" i="12"/>
  <c r="K51" i="12"/>
  <c r="J51" i="12"/>
  <c r="N50" i="12"/>
  <c r="M50" i="12"/>
  <c r="L50" i="12"/>
  <c r="K50" i="12"/>
  <c r="J50" i="12"/>
  <c r="N49" i="12"/>
  <c r="M49" i="12"/>
  <c r="L49" i="12"/>
  <c r="K49" i="12"/>
  <c r="J49" i="12"/>
  <c r="N48" i="12"/>
  <c r="M48" i="12"/>
  <c r="L48" i="12"/>
  <c r="K48" i="12"/>
  <c r="J48" i="12"/>
  <c r="N47" i="12"/>
  <c r="M47" i="12"/>
  <c r="L47" i="12"/>
  <c r="K47" i="12"/>
  <c r="J47" i="12"/>
  <c r="N46" i="12"/>
  <c r="M46" i="12"/>
  <c r="L46" i="12"/>
  <c r="K46" i="12"/>
  <c r="J46" i="12"/>
  <c r="N45" i="12"/>
  <c r="M45" i="12"/>
  <c r="L45" i="12"/>
  <c r="K45" i="12"/>
  <c r="J45" i="12"/>
  <c r="N43" i="12"/>
  <c r="M43" i="12"/>
  <c r="L43" i="12"/>
  <c r="K43" i="12"/>
  <c r="J43" i="12"/>
  <c r="N42" i="12"/>
  <c r="M42" i="12"/>
  <c r="L42" i="12"/>
  <c r="K42" i="12"/>
  <c r="J42" i="12"/>
  <c r="N31" i="12"/>
  <c r="M31" i="12"/>
  <c r="L31" i="12"/>
  <c r="K31" i="12"/>
  <c r="J31" i="12"/>
  <c r="N22" i="12"/>
  <c r="M22" i="12"/>
  <c r="L22" i="12"/>
  <c r="K22" i="12"/>
  <c r="J22" i="12"/>
  <c r="N21" i="12"/>
  <c r="M21" i="12"/>
  <c r="L21" i="12"/>
  <c r="K21" i="12"/>
  <c r="J21" i="12"/>
  <c r="N76" i="12"/>
  <c r="M76" i="12"/>
  <c r="L76" i="12"/>
  <c r="K76" i="12"/>
  <c r="J76" i="12"/>
  <c r="N75" i="12"/>
  <c r="M75" i="12"/>
  <c r="L75" i="12"/>
  <c r="K75" i="12"/>
  <c r="J75" i="12"/>
  <c r="N74" i="12"/>
  <c r="M74" i="12"/>
  <c r="L74" i="12"/>
  <c r="K74" i="12"/>
  <c r="J74" i="12"/>
  <c r="N73" i="12"/>
  <c r="M73" i="12"/>
  <c r="L73" i="12"/>
  <c r="K73" i="12"/>
  <c r="J73" i="12"/>
  <c r="N72" i="12"/>
  <c r="M72" i="12"/>
  <c r="L72" i="12"/>
  <c r="K72" i="12"/>
  <c r="J72" i="12"/>
  <c r="N71" i="12"/>
  <c r="M71" i="12"/>
  <c r="L71" i="12"/>
  <c r="K71" i="12"/>
  <c r="J71" i="12"/>
  <c r="N68" i="12"/>
  <c r="M68" i="12"/>
  <c r="L68" i="12"/>
  <c r="K68" i="12"/>
  <c r="J68" i="12"/>
  <c r="N67" i="12"/>
  <c r="M67" i="12"/>
  <c r="L67" i="12"/>
  <c r="K67" i="12"/>
  <c r="J67" i="12"/>
  <c r="N66" i="12"/>
  <c r="M66" i="12"/>
  <c r="L66" i="12"/>
  <c r="K66" i="12"/>
  <c r="J66" i="12"/>
  <c r="N64" i="12"/>
  <c r="M64" i="12"/>
  <c r="L64" i="12"/>
  <c r="K64" i="12"/>
  <c r="J64" i="12"/>
  <c r="N60" i="12"/>
  <c r="M60" i="12"/>
  <c r="L60" i="12"/>
  <c r="K60" i="12"/>
  <c r="J60" i="12"/>
  <c r="N59" i="12"/>
  <c r="M59" i="12"/>
  <c r="L59" i="12"/>
  <c r="K59" i="12"/>
  <c r="J59" i="12"/>
  <c r="N58" i="12"/>
  <c r="M58" i="12"/>
  <c r="L58" i="12"/>
  <c r="K58" i="12"/>
  <c r="J58" i="12"/>
  <c r="N57" i="12"/>
  <c r="M57" i="12"/>
  <c r="L57" i="12"/>
  <c r="K57" i="12"/>
  <c r="J57" i="12"/>
  <c r="N56" i="12"/>
  <c r="M56" i="12"/>
  <c r="L56" i="12"/>
  <c r="K56" i="12"/>
  <c r="J56" i="12"/>
  <c r="N12" i="12"/>
  <c r="M12" i="12"/>
  <c r="L12" i="12"/>
  <c r="K12" i="12"/>
  <c r="J12" i="12"/>
  <c r="N11" i="12"/>
  <c r="M11" i="12"/>
  <c r="L11" i="12"/>
  <c r="K11" i="12"/>
  <c r="J11" i="12"/>
  <c r="N10" i="12"/>
  <c r="M10" i="12"/>
  <c r="L10" i="12"/>
  <c r="K10" i="12"/>
  <c r="J10" i="12"/>
  <c r="N9" i="12"/>
  <c r="M9" i="12"/>
  <c r="L9" i="12"/>
  <c r="K9" i="12"/>
  <c r="J9" i="12"/>
  <c r="N8" i="12"/>
  <c r="M8" i="12"/>
  <c r="L8" i="12"/>
  <c r="K8" i="12"/>
  <c r="J8" i="12"/>
  <c r="N7" i="12"/>
  <c r="M7" i="12"/>
  <c r="L7" i="12"/>
  <c r="K7" i="12"/>
  <c r="J7" i="12"/>
  <c r="N6" i="12"/>
  <c r="M6" i="12"/>
  <c r="L6" i="12"/>
  <c r="K6" i="12"/>
  <c r="J6" i="12"/>
  <c r="N5" i="12"/>
  <c r="M5" i="12"/>
  <c r="L5" i="12"/>
  <c r="K5" i="12"/>
  <c r="J5" i="12"/>
  <c r="M4" i="12"/>
  <c r="L4" i="12"/>
  <c r="K4" i="12"/>
  <c r="J4" i="12"/>
  <c r="R144" i="7"/>
  <c r="C22" i="8"/>
  <c r="C24" i="8"/>
  <c r="C32" i="8"/>
  <c r="C33" i="8"/>
  <c r="O103" i="1"/>
  <c r="N103" i="1"/>
  <c r="M103" i="1"/>
  <c r="L103" i="1"/>
  <c r="K103" i="1"/>
  <c r="P103" i="1" s="1"/>
  <c r="Q103" i="1" s="1"/>
  <c r="I103" i="1" s="1"/>
  <c r="C103" i="1" s="1"/>
  <c r="O95" i="1"/>
  <c r="N95" i="1"/>
  <c r="M95" i="1"/>
  <c r="L95" i="1"/>
  <c r="K95" i="1"/>
  <c r="P95" i="1" s="1"/>
  <c r="Q95" i="1" s="1"/>
  <c r="I95" i="1" s="1"/>
  <c r="C95" i="1" s="1"/>
  <c r="O77" i="1"/>
  <c r="N77" i="1"/>
  <c r="M77" i="1"/>
  <c r="L77" i="1"/>
  <c r="K77" i="1"/>
  <c r="P77" i="1" s="1"/>
  <c r="Q77" i="1" s="1"/>
  <c r="I77" i="1" s="1"/>
  <c r="C77" i="1" s="1"/>
  <c r="O60" i="1"/>
  <c r="N60" i="1"/>
  <c r="M60" i="1"/>
  <c r="L60" i="1"/>
  <c r="K60" i="1"/>
  <c r="O20" i="1"/>
  <c r="N20" i="1"/>
  <c r="M20" i="1"/>
  <c r="L20" i="1"/>
  <c r="K20" i="1"/>
  <c r="O12" i="1"/>
  <c r="N12" i="1"/>
  <c r="M12" i="1"/>
  <c r="L12" i="1"/>
  <c r="K12" i="1"/>
  <c r="O39" i="1"/>
  <c r="N39" i="1"/>
  <c r="M39" i="1"/>
  <c r="L39" i="1"/>
  <c r="O6" i="1"/>
  <c r="N6" i="1"/>
  <c r="M6" i="1"/>
  <c r="L6" i="1"/>
  <c r="K6" i="1"/>
  <c r="O35" i="1"/>
  <c r="N35" i="1"/>
  <c r="M35" i="1"/>
  <c r="L35" i="1"/>
  <c r="K35" i="1"/>
  <c r="O34" i="1"/>
  <c r="N34" i="1"/>
  <c r="M34" i="1"/>
  <c r="L34" i="1"/>
  <c r="K34" i="1"/>
  <c r="M24" i="10"/>
  <c r="L24" i="10"/>
  <c r="K24" i="10"/>
  <c r="J24" i="10"/>
  <c r="N24" i="10" s="1"/>
  <c r="O24" i="10" s="1"/>
  <c r="H24" i="10" s="1"/>
  <c r="C24" i="10" s="1"/>
  <c r="M25" i="10"/>
  <c r="L25" i="10"/>
  <c r="K25" i="10"/>
  <c r="J25" i="10"/>
  <c r="M23" i="10"/>
  <c r="L23" i="10"/>
  <c r="K23" i="10"/>
  <c r="J23" i="10"/>
  <c r="M6" i="10"/>
  <c r="L6" i="10"/>
  <c r="K6" i="10"/>
  <c r="J6" i="10"/>
  <c r="M5" i="10"/>
  <c r="L5" i="10"/>
  <c r="K5" i="10"/>
  <c r="J5" i="10"/>
  <c r="M30" i="11"/>
  <c r="L30" i="11"/>
  <c r="K30" i="11"/>
  <c r="J30" i="11"/>
  <c r="M29" i="11"/>
  <c r="L29" i="11"/>
  <c r="K29" i="11"/>
  <c r="J29" i="11"/>
  <c r="M28" i="11"/>
  <c r="L28" i="11"/>
  <c r="K28" i="11"/>
  <c r="J28" i="11"/>
  <c r="M27" i="11"/>
  <c r="L27" i="11"/>
  <c r="K27" i="11"/>
  <c r="J27" i="11"/>
  <c r="M26" i="11"/>
  <c r="L26" i="11"/>
  <c r="K26" i="11"/>
  <c r="J26" i="11"/>
  <c r="M25" i="11"/>
  <c r="L25" i="11"/>
  <c r="K25" i="11"/>
  <c r="J25" i="11"/>
  <c r="M68" i="10"/>
  <c r="L68" i="10"/>
  <c r="K68" i="10"/>
  <c r="J68" i="10"/>
  <c r="M67" i="10"/>
  <c r="L67" i="10"/>
  <c r="K67" i="10"/>
  <c r="J67" i="10"/>
  <c r="M66" i="10"/>
  <c r="L66" i="10"/>
  <c r="K66" i="10"/>
  <c r="J66" i="10"/>
  <c r="M65" i="10"/>
  <c r="L65" i="10"/>
  <c r="K65" i="10"/>
  <c r="J65" i="10"/>
  <c r="M56" i="10"/>
  <c r="L56" i="10"/>
  <c r="K56" i="10"/>
  <c r="J56" i="10"/>
  <c r="M55" i="10"/>
  <c r="L55" i="10"/>
  <c r="K55" i="10"/>
  <c r="J55" i="10"/>
  <c r="M54" i="10"/>
  <c r="L54" i="10"/>
  <c r="K54" i="10"/>
  <c r="J54" i="10"/>
  <c r="M45" i="10"/>
  <c r="L45" i="10"/>
  <c r="K45" i="10"/>
  <c r="J45" i="10"/>
  <c r="M44" i="10"/>
  <c r="L44" i="10"/>
  <c r="K44" i="10"/>
  <c r="J44" i="10"/>
  <c r="M43" i="10"/>
  <c r="L43" i="10"/>
  <c r="K43" i="10"/>
  <c r="J43" i="10"/>
  <c r="M42" i="10"/>
  <c r="L42" i="10"/>
  <c r="K42" i="10"/>
  <c r="J42" i="10"/>
  <c r="M41" i="10"/>
  <c r="L41" i="10"/>
  <c r="K41" i="10"/>
  <c r="J41" i="10"/>
  <c r="M60" i="10"/>
  <c r="L60" i="10"/>
  <c r="K60" i="10"/>
  <c r="J60" i="10"/>
  <c r="M59" i="10"/>
  <c r="L59" i="10"/>
  <c r="K59" i="10"/>
  <c r="J59" i="10"/>
  <c r="M58" i="10"/>
  <c r="L58" i="10"/>
  <c r="K58" i="10"/>
  <c r="J58" i="10"/>
  <c r="M57" i="10"/>
  <c r="L57" i="10"/>
  <c r="K57" i="10"/>
  <c r="J57" i="10"/>
  <c r="M62" i="10"/>
  <c r="L62" i="10"/>
  <c r="K62" i="10"/>
  <c r="J62" i="10"/>
  <c r="M61" i="10"/>
  <c r="L61" i="10"/>
  <c r="K61" i="10"/>
  <c r="J61" i="10"/>
  <c r="M64" i="10"/>
  <c r="L64" i="10"/>
  <c r="K64" i="10"/>
  <c r="J64" i="10"/>
  <c r="M63" i="10"/>
  <c r="L63" i="10"/>
  <c r="K63" i="10"/>
  <c r="J63" i="10"/>
  <c r="M40" i="10"/>
  <c r="L40" i="10"/>
  <c r="K40" i="10"/>
  <c r="J40" i="10"/>
  <c r="M39" i="10"/>
  <c r="L39" i="10"/>
  <c r="K39" i="10"/>
  <c r="J39" i="10"/>
  <c r="M17" i="10"/>
  <c r="L17" i="10"/>
  <c r="K17" i="10"/>
  <c r="J17" i="10"/>
  <c r="M16" i="10"/>
  <c r="L16" i="10"/>
  <c r="K16" i="10"/>
  <c r="J16" i="10"/>
  <c r="M15" i="10"/>
  <c r="L15" i="10"/>
  <c r="K15" i="10"/>
  <c r="J15" i="10"/>
  <c r="M14" i="10"/>
  <c r="L14" i="10"/>
  <c r="K14" i="10"/>
  <c r="J14" i="10"/>
  <c r="M13" i="10"/>
  <c r="L13" i="10"/>
  <c r="K13" i="10"/>
  <c r="J13" i="10"/>
  <c r="M12" i="10"/>
  <c r="L12" i="10"/>
  <c r="K12" i="10"/>
  <c r="J12" i="10"/>
  <c r="M11" i="10"/>
  <c r="L11" i="10"/>
  <c r="K11" i="10"/>
  <c r="J11" i="10"/>
  <c r="M10" i="10"/>
  <c r="L10" i="10"/>
  <c r="K10" i="10"/>
  <c r="J10" i="10"/>
  <c r="M9" i="10"/>
  <c r="L9" i="10"/>
  <c r="K9" i="10"/>
  <c r="J9" i="10"/>
  <c r="M8" i="10"/>
  <c r="L8" i="10"/>
  <c r="K8" i="10"/>
  <c r="J8" i="10"/>
  <c r="M7" i="10"/>
  <c r="L7" i="10"/>
  <c r="K7" i="10"/>
  <c r="J7" i="10"/>
  <c r="M4" i="10"/>
  <c r="L4" i="10"/>
  <c r="K4" i="10"/>
  <c r="J4" i="10"/>
  <c r="M3" i="10"/>
  <c r="L3" i="10"/>
  <c r="K3" i="10"/>
  <c r="J3" i="10"/>
  <c r="M30" i="10"/>
  <c r="L30" i="10"/>
  <c r="K30" i="10"/>
  <c r="J30" i="10"/>
  <c r="M29" i="10"/>
  <c r="L29" i="10"/>
  <c r="K29" i="10"/>
  <c r="J29" i="10"/>
  <c r="M26" i="10"/>
  <c r="L26" i="10"/>
  <c r="K26" i="10"/>
  <c r="J26" i="10"/>
  <c r="M22" i="10"/>
  <c r="L22" i="10"/>
  <c r="K22" i="10"/>
  <c r="J22" i="10"/>
  <c r="M21" i="10"/>
  <c r="L21" i="10"/>
  <c r="K21" i="10"/>
  <c r="J21" i="10"/>
  <c r="M20" i="10"/>
  <c r="L20" i="10"/>
  <c r="K20" i="10"/>
  <c r="J20" i="10"/>
  <c r="M19" i="10"/>
  <c r="L19" i="10"/>
  <c r="K19" i="10"/>
  <c r="J19" i="10"/>
  <c r="M18" i="10"/>
  <c r="L18" i="10"/>
  <c r="K18" i="10"/>
  <c r="J18" i="10"/>
  <c r="M34" i="10"/>
  <c r="L34" i="10"/>
  <c r="K34" i="10"/>
  <c r="J34" i="10"/>
  <c r="M33" i="10"/>
  <c r="L33" i="10"/>
  <c r="K33" i="10"/>
  <c r="J33" i="10"/>
  <c r="M32" i="10"/>
  <c r="L32" i="10"/>
  <c r="K32" i="10"/>
  <c r="J32" i="10"/>
  <c r="M31" i="10"/>
  <c r="L31" i="10"/>
  <c r="K31" i="10"/>
  <c r="J31" i="10"/>
  <c r="M36" i="10"/>
  <c r="L36" i="10"/>
  <c r="K36" i="10"/>
  <c r="J36" i="10"/>
  <c r="M35" i="10"/>
  <c r="L35" i="10"/>
  <c r="K35" i="10"/>
  <c r="J35" i="10"/>
  <c r="M37" i="10"/>
  <c r="L37" i="10"/>
  <c r="K37" i="10"/>
  <c r="J37" i="10"/>
  <c r="M38" i="10"/>
  <c r="L38" i="10"/>
  <c r="K38" i="10"/>
  <c r="J38" i="10"/>
  <c r="M24" i="11"/>
  <c r="L24" i="11"/>
  <c r="K24" i="11"/>
  <c r="J24" i="11"/>
  <c r="N24" i="11" s="1"/>
  <c r="O24" i="11" s="1"/>
  <c r="H24" i="11" s="1"/>
  <c r="C24" i="11" s="1"/>
  <c r="M23" i="11"/>
  <c r="L23" i="11"/>
  <c r="K23" i="11"/>
  <c r="N23" i="11" s="1"/>
  <c r="O23" i="11" s="1"/>
  <c r="H23" i="11" s="1"/>
  <c r="C23" i="11" s="1"/>
  <c r="J23" i="11"/>
  <c r="M22" i="11"/>
  <c r="L22" i="11"/>
  <c r="K22" i="11"/>
  <c r="N22" i="11" s="1"/>
  <c r="O22" i="11" s="1"/>
  <c r="H22" i="11" s="1"/>
  <c r="C22" i="11" s="1"/>
  <c r="J22" i="11"/>
  <c r="M21" i="11"/>
  <c r="L21" i="11"/>
  <c r="K21" i="11"/>
  <c r="J21" i="11"/>
  <c r="N21" i="11" s="1"/>
  <c r="O21" i="11" s="1"/>
  <c r="H21" i="11" s="1"/>
  <c r="C21" i="11" s="1"/>
  <c r="O20" i="11"/>
  <c r="H20" i="11" s="1"/>
  <c r="C20" i="11" s="1"/>
  <c r="N20" i="11"/>
  <c r="M20" i="11"/>
  <c r="L20" i="11"/>
  <c r="K20" i="11"/>
  <c r="J20" i="11"/>
  <c r="M19" i="11"/>
  <c r="L19" i="11"/>
  <c r="K19" i="11"/>
  <c r="J19" i="11"/>
  <c r="N19" i="11" s="1"/>
  <c r="O19" i="11" s="1"/>
  <c r="H19" i="11" s="1"/>
  <c r="C19" i="11" s="1"/>
  <c r="M18" i="11"/>
  <c r="L18" i="11"/>
  <c r="K18" i="11"/>
  <c r="N18" i="11" s="1"/>
  <c r="O18" i="11" s="1"/>
  <c r="H18" i="11" s="1"/>
  <c r="C18" i="11" s="1"/>
  <c r="J18" i="11"/>
  <c r="M17" i="11"/>
  <c r="L17" i="11"/>
  <c r="K17" i="11"/>
  <c r="N17" i="11" s="1"/>
  <c r="O17" i="11" s="1"/>
  <c r="H17" i="11" s="1"/>
  <c r="C17" i="11" s="1"/>
  <c r="J17" i="11"/>
  <c r="M16" i="11"/>
  <c r="L16" i="11"/>
  <c r="K16" i="11"/>
  <c r="J16" i="11"/>
  <c r="N16" i="11" s="1"/>
  <c r="O16" i="11" s="1"/>
  <c r="H16" i="11" s="1"/>
  <c r="C16" i="11" s="1"/>
  <c r="O15" i="11"/>
  <c r="H15" i="11" s="1"/>
  <c r="C15" i="11" s="1"/>
  <c r="N15" i="11"/>
  <c r="M15" i="11"/>
  <c r="L15" i="11"/>
  <c r="K15" i="11"/>
  <c r="J15" i="11"/>
  <c r="M14" i="11"/>
  <c r="L14" i="11"/>
  <c r="K14" i="11"/>
  <c r="J14" i="11"/>
  <c r="N14" i="11" s="1"/>
  <c r="O14" i="11" s="1"/>
  <c r="H14" i="11" s="1"/>
  <c r="C14" i="11" s="1"/>
  <c r="M13" i="11"/>
  <c r="L13" i="11"/>
  <c r="K13" i="11"/>
  <c r="J13" i="11"/>
  <c r="N13" i="11" s="1"/>
  <c r="O13" i="11" s="1"/>
  <c r="H13" i="11" s="1"/>
  <c r="C13" i="11" s="1"/>
  <c r="M12" i="11"/>
  <c r="L12" i="11"/>
  <c r="K12" i="11"/>
  <c r="N12" i="11" s="1"/>
  <c r="O12" i="11" s="1"/>
  <c r="H12" i="11" s="1"/>
  <c r="C12" i="11" s="1"/>
  <c r="J12" i="11"/>
  <c r="M11" i="11"/>
  <c r="L11" i="11"/>
  <c r="K11" i="11"/>
  <c r="J11" i="11"/>
  <c r="N11" i="11" s="1"/>
  <c r="O11" i="11" s="1"/>
  <c r="H11" i="11" s="1"/>
  <c r="C11" i="11" s="1"/>
  <c r="O10" i="11"/>
  <c r="H10" i="11" s="1"/>
  <c r="C10" i="11" s="1"/>
  <c r="N10" i="11"/>
  <c r="M10" i="11"/>
  <c r="L10" i="11"/>
  <c r="K10" i="11"/>
  <c r="J10" i="11"/>
  <c r="M9" i="11"/>
  <c r="L9" i="11"/>
  <c r="K9" i="11"/>
  <c r="J9" i="11"/>
  <c r="N9" i="11" s="1"/>
  <c r="O9" i="11" s="1"/>
  <c r="H9" i="11" s="1"/>
  <c r="C9" i="11" s="1"/>
  <c r="M8" i="11"/>
  <c r="L8" i="11"/>
  <c r="K8" i="11"/>
  <c r="N8" i="11" s="1"/>
  <c r="O8" i="11" s="1"/>
  <c r="H8" i="11" s="1"/>
  <c r="C8" i="11" s="1"/>
  <c r="J8" i="11"/>
  <c r="M7" i="11"/>
  <c r="L7" i="11"/>
  <c r="K7" i="11"/>
  <c r="N7" i="11" s="1"/>
  <c r="O7" i="11" s="1"/>
  <c r="H7" i="11" s="1"/>
  <c r="C7" i="11" s="1"/>
  <c r="J7" i="11"/>
  <c r="M6" i="11"/>
  <c r="L6" i="11"/>
  <c r="K6" i="11"/>
  <c r="J6" i="11"/>
  <c r="N6" i="11" s="1"/>
  <c r="O6" i="11" s="1"/>
  <c r="H6" i="11" s="1"/>
  <c r="C6" i="11" s="1"/>
  <c r="O5" i="11"/>
  <c r="H5" i="11" s="1"/>
  <c r="C5" i="11" s="1"/>
  <c r="N5" i="11"/>
  <c r="M5" i="11"/>
  <c r="L5" i="11"/>
  <c r="K5" i="11"/>
  <c r="J5" i="11"/>
  <c r="M4" i="11"/>
  <c r="L4" i="11"/>
  <c r="K4" i="11"/>
  <c r="J4" i="11"/>
  <c r="N4" i="11" s="1"/>
  <c r="O4" i="11" s="1"/>
  <c r="H4" i="11" s="1"/>
  <c r="C4" i="11" s="1"/>
  <c r="M3" i="11"/>
  <c r="L3" i="11"/>
  <c r="K3" i="11"/>
  <c r="J3" i="11"/>
  <c r="N3" i="11" s="1"/>
  <c r="O3" i="11" s="1"/>
  <c r="H3" i="11" s="1"/>
  <c r="C3" i="11" s="1"/>
  <c r="M53" i="10"/>
  <c r="L53" i="10"/>
  <c r="K53" i="10"/>
  <c r="J53" i="10"/>
  <c r="M52" i="10"/>
  <c r="L52" i="10"/>
  <c r="K52" i="10"/>
  <c r="J52" i="10"/>
  <c r="M51" i="10"/>
  <c r="L51" i="10"/>
  <c r="K51" i="10"/>
  <c r="J51" i="10"/>
  <c r="M50" i="10"/>
  <c r="L50" i="10"/>
  <c r="K50" i="10"/>
  <c r="J50" i="10"/>
  <c r="M49" i="10"/>
  <c r="L49" i="10"/>
  <c r="K49" i="10"/>
  <c r="J49" i="10"/>
  <c r="M48" i="10"/>
  <c r="L48" i="10"/>
  <c r="K48" i="10"/>
  <c r="J48" i="10"/>
  <c r="M47" i="10"/>
  <c r="L47" i="10"/>
  <c r="K47" i="10"/>
  <c r="J47" i="10"/>
  <c r="M46" i="10"/>
  <c r="L46" i="10"/>
  <c r="K46" i="10"/>
  <c r="J46" i="10"/>
  <c r="M28" i="10"/>
  <c r="L28" i="10"/>
  <c r="K28" i="10"/>
  <c r="J28" i="10"/>
  <c r="M27" i="10"/>
  <c r="L27" i="10"/>
  <c r="K27" i="10"/>
  <c r="J27" i="10"/>
  <c r="C29" i="8"/>
  <c r="C28" i="8"/>
  <c r="C27" i="8"/>
  <c r="C26" i="8"/>
  <c r="C25" i="8"/>
  <c r="C30" i="8"/>
  <c r="C31" i="8"/>
  <c r="C23" i="8"/>
  <c r="O89" i="7"/>
  <c r="Q89" i="7" s="1"/>
  <c r="O81" i="7"/>
  <c r="Q81" i="7" s="1"/>
  <c r="O36" i="1"/>
  <c r="N36" i="1"/>
  <c r="M36" i="1"/>
  <c r="L36" i="1"/>
  <c r="K36" i="1"/>
  <c r="O30" i="1"/>
  <c r="N30" i="1"/>
  <c r="M30" i="1"/>
  <c r="L30" i="1"/>
  <c r="K30" i="1"/>
  <c r="O57" i="1"/>
  <c r="N57" i="1"/>
  <c r="M57" i="1"/>
  <c r="L57" i="1"/>
  <c r="K57" i="1"/>
  <c r="O58" i="1"/>
  <c r="N58" i="1"/>
  <c r="M58" i="1"/>
  <c r="L58" i="1"/>
  <c r="K58" i="1"/>
  <c r="O43" i="1"/>
  <c r="N43" i="1"/>
  <c r="M43" i="1"/>
  <c r="L43" i="1"/>
  <c r="K43" i="1"/>
  <c r="O101" i="1"/>
  <c r="N101" i="1"/>
  <c r="M101" i="1"/>
  <c r="L101" i="1"/>
  <c r="K101" i="1"/>
  <c r="O84" i="1"/>
  <c r="N84" i="1"/>
  <c r="M84" i="1"/>
  <c r="L84" i="1"/>
  <c r="K84" i="1"/>
  <c r="O81" i="1"/>
  <c r="N81" i="1"/>
  <c r="M81" i="1"/>
  <c r="L81" i="1"/>
  <c r="K81" i="1"/>
  <c r="O109" i="1"/>
  <c r="N109" i="1"/>
  <c r="M109" i="1"/>
  <c r="L109" i="1"/>
  <c r="K109" i="1"/>
  <c r="E66" i="9"/>
  <c r="C66" i="9"/>
  <c r="E65" i="9"/>
  <c r="C65" i="9"/>
  <c r="C64" i="9"/>
  <c r="C63" i="9"/>
  <c r="C62" i="9"/>
  <c r="C61" i="9"/>
  <c r="C60" i="9"/>
  <c r="C59" i="9"/>
  <c r="C58" i="9"/>
  <c r="C57" i="9"/>
  <c r="C56" i="9"/>
  <c r="C55" i="9"/>
  <c r="C54" i="9"/>
  <c r="C53" i="9"/>
  <c r="C52" i="9"/>
  <c r="C51" i="9"/>
  <c r="C50" i="9"/>
  <c r="E49" i="9"/>
  <c r="C49" i="9" s="1"/>
  <c r="C48" i="9"/>
  <c r="C47" i="9"/>
  <c r="C46" i="9"/>
  <c r="C45" i="9"/>
  <c r="C44" i="9"/>
  <c r="C43" i="9"/>
  <c r="C42" i="9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E69" i="8"/>
  <c r="C69" i="8" s="1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4" i="8"/>
  <c r="C21" i="8"/>
  <c r="C20" i="8"/>
  <c r="C16" i="8"/>
  <c r="C15" i="8"/>
  <c r="C14" i="8"/>
  <c r="C13" i="8"/>
  <c r="C19" i="8"/>
  <c r="C11" i="8"/>
  <c r="C9" i="8"/>
  <c r="C8" i="8"/>
  <c r="C7" i="8"/>
  <c r="C10" i="8"/>
  <c r="C12" i="8"/>
  <c r="C6" i="8"/>
  <c r="C5" i="8"/>
  <c r="C4" i="8"/>
  <c r="C3" i="8"/>
  <c r="C38" i="8"/>
  <c r="C37" i="8"/>
  <c r="C36" i="8"/>
  <c r="C35" i="8"/>
  <c r="C18" i="8"/>
  <c r="C17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Q42" i="7"/>
  <c r="P42" i="7"/>
  <c r="K42" i="7"/>
  <c r="O26" i="7"/>
  <c r="P26" i="7" s="1"/>
  <c r="K26" i="7"/>
  <c r="O36" i="7"/>
  <c r="Q36" i="7" s="1"/>
  <c r="K36" i="7"/>
  <c r="O33" i="7"/>
  <c r="Q33" i="7" s="1"/>
  <c r="K33" i="7"/>
  <c r="O37" i="7"/>
  <c r="Q37" i="7" s="1"/>
  <c r="K37" i="7"/>
  <c r="L37" i="7" s="1"/>
  <c r="O35" i="7"/>
  <c r="Q35" i="7" s="1"/>
  <c r="K35" i="7"/>
  <c r="O107" i="7"/>
  <c r="Q107" i="7" s="1"/>
  <c r="K107" i="7"/>
  <c r="O104" i="7"/>
  <c r="Q104" i="7" s="1"/>
  <c r="K104" i="7"/>
  <c r="O39" i="7"/>
  <c r="Q39" i="7" s="1"/>
  <c r="K39" i="7"/>
  <c r="O156" i="7"/>
  <c r="Q156" i="7" s="1"/>
  <c r="K156" i="7"/>
  <c r="L156" i="7" s="1"/>
  <c r="O155" i="7"/>
  <c r="Q155" i="7" s="1"/>
  <c r="K155" i="7"/>
  <c r="M155" i="7" s="1"/>
  <c r="O154" i="7"/>
  <c r="Q154" i="7" s="1"/>
  <c r="K154" i="7"/>
  <c r="M154" i="7" s="1"/>
  <c r="O153" i="7"/>
  <c r="Q153" i="7" s="1"/>
  <c r="K153" i="7"/>
  <c r="L153" i="7" s="1"/>
  <c r="O152" i="7"/>
  <c r="P152" i="7" s="1"/>
  <c r="K152" i="7"/>
  <c r="L152" i="7" s="1"/>
  <c r="O151" i="7"/>
  <c r="Q151" i="7" s="1"/>
  <c r="K151" i="7"/>
  <c r="O150" i="7"/>
  <c r="Q150" i="7" s="1"/>
  <c r="K150" i="7"/>
  <c r="M150" i="7" s="1"/>
  <c r="O149" i="7"/>
  <c r="P149" i="7" s="1"/>
  <c r="K149" i="7"/>
  <c r="O148" i="7"/>
  <c r="Q148" i="7" s="1"/>
  <c r="K148" i="7"/>
  <c r="M148" i="7" s="1"/>
  <c r="O147" i="7"/>
  <c r="Q147" i="7" s="1"/>
  <c r="K147" i="7"/>
  <c r="M147" i="7" s="1"/>
  <c r="O146" i="7"/>
  <c r="Q146" i="7" s="1"/>
  <c r="K146" i="7"/>
  <c r="M146" i="7" s="1"/>
  <c r="O145" i="7"/>
  <c r="Q145" i="7" s="1"/>
  <c r="K145" i="7"/>
  <c r="M145" i="7" s="1"/>
  <c r="O144" i="7"/>
  <c r="P144" i="7" s="1"/>
  <c r="K144" i="7"/>
  <c r="M144" i="7" s="1"/>
  <c r="Q143" i="7"/>
  <c r="P143" i="7"/>
  <c r="K143" i="7"/>
  <c r="M143" i="7" s="1"/>
  <c r="Q142" i="7"/>
  <c r="P142" i="7"/>
  <c r="K142" i="7"/>
  <c r="Q141" i="7"/>
  <c r="P141" i="7"/>
  <c r="K141" i="7"/>
  <c r="M141" i="7" s="1"/>
  <c r="Q140" i="7"/>
  <c r="P140" i="7"/>
  <c r="K140" i="7"/>
  <c r="L140" i="7" s="1"/>
  <c r="O139" i="7"/>
  <c r="Q139" i="7" s="1"/>
  <c r="K139" i="7"/>
  <c r="M139" i="7" s="1"/>
  <c r="O138" i="7"/>
  <c r="P138" i="7" s="1"/>
  <c r="K138" i="7"/>
  <c r="L138" i="7" s="1"/>
  <c r="O137" i="7"/>
  <c r="Q137" i="7" s="1"/>
  <c r="K137" i="7"/>
  <c r="L137" i="7" s="1"/>
  <c r="O136" i="7"/>
  <c r="P136" i="7" s="1"/>
  <c r="K136" i="7"/>
  <c r="M136" i="7" s="1"/>
  <c r="O135" i="7"/>
  <c r="Q135" i="7" s="1"/>
  <c r="K135" i="7"/>
  <c r="M135" i="7" s="1"/>
  <c r="O134" i="7"/>
  <c r="K134" i="7"/>
  <c r="M134" i="7" s="1"/>
  <c r="O133" i="7"/>
  <c r="P133" i="7" s="1"/>
  <c r="K133" i="7"/>
  <c r="Q132" i="7"/>
  <c r="P132" i="7"/>
  <c r="K132" i="7"/>
  <c r="Q131" i="7"/>
  <c r="P131" i="7"/>
  <c r="K131" i="7"/>
  <c r="M131" i="7" s="1"/>
  <c r="Q130" i="7"/>
  <c r="P130" i="7"/>
  <c r="K130" i="7"/>
  <c r="Q129" i="7"/>
  <c r="P129" i="7"/>
  <c r="K129" i="7"/>
  <c r="L129" i="7" s="1"/>
  <c r="O128" i="7"/>
  <c r="Q128" i="7" s="1"/>
  <c r="K128" i="7"/>
  <c r="L128" i="7" s="1"/>
  <c r="O127" i="7"/>
  <c r="Q127" i="7" s="1"/>
  <c r="K127" i="7"/>
  <c r="L127" i="7" s="1"/>
  <c r="O126" i="7"/>
  <c r="P126" i="7" s="1"/>
  <c r="K126" i="7"/>
  <c r="O125" i="7"/>
  <c r="P125" i="7" s="1"/>
  <c r="K125" i="7"/>
  <c r="O124" i="7"/>
  <c r="Q124" i="7" s="1"/>
  <c r="K124" i="7"/>
  <c r="L124" i="7" s="1"/>
  <c r="O123" i="7"/>
  <c r="Q123" i="7" s="1"/>
  <c r="K123" i="7"/>
  <c r="M123" i="7" s="1"/>
  <c r="Q122" i="7"/>
  <c r="P122" i="7"/>
  <c r="K122" i="7"/>
  <c r="M122" i="7" s="1"/>
  <c r="Q121" i="7"/>
  <c r="P121" i="7"/>
  <c r="K121" i="7"/>
  <c r="M121" i="7" s="1"/>
  <c r="Q120" i="7"/>
  <c r="P120" i="7"/>
  <c r="K120" i="7"/>
  <c r="L120" i="7" s="1"/>
  <c r="Q119" i="7"/>
  <c r="P119" i="7"/>
  <c r="K119" i="7"/>
  <c r="M119" i="7" s="1"/>
  <c r="Q118" i="7"/>
  <c r="P118" i="7"/>
  <c r="K118" i="7"/>
  <c r="L118" i="7" s="1"/>
  <c r="Q117" i="7"/>
  <c r="P117" i="7"/>
  <c r="K117" i="7"/>
  <c r="M117" i="7" s="1"/>
  <c r="Q116" i="7"/>
  <c r="P116" i="7"/>
  <c r="K116" i="7"/>
  <c r="L116" i="7" s="1"/>
  <c r="Q115" i="7"/>
  <c r="P115" i="7"/>
  <c r="K115" i="7"/>
  <c r="L115" i="7" s="1"/>
  <c r="Q114" i="7"/>
  <c r="P114" i="7"/>
  <c r="K114" i="7"/>
  <c r="M114" i="7" s="1"/>
  <c r="Q113" i="7"/>
  <c r="P113" i="7"/>
  <c r="K113" i="7"/>
  <c r="L113" i="7" s="1"/>
  <c r="Q112" i="7"/>
  <c r="P112" i="7"/>
  <c r="K112" i="7"/>
  <c r="L112" i="7" s="1"/>
  <c r="Q111" i="7"/>
  <c r="P111" i="7"/>
  <c r="K111" i="7"/>
  <c r="L111" i="7" s="1"/>
  <c r="Q110" i="7"/>
  <c r="P110" i="7"/>
  <c r="K110" i="7"/>
  <c r="M110" i="7" s="1"/>
  <c r="Q109" i="7"/>
  <c r="P109" i="7"/>
  <c r="K109" i="7"/>
  <c r="M109" i="7" s="1"/>
  <c r="O108" i="7"/>
  <c r="Q108" i="7" s="1"/>
  <c r="K108" i="7"/>
  <c r="L108" i="7" s="1"/>
  <c r="O106" i="7"/>
  <c r="Q106" i="7" s="1"/>
  <c r="K106" i="7"/>
  <c r="M106" i="7" s="1"/>
  <c r="O105" i="7"/>
  <c r="P105" i="7" s="1"/>
  <c r="K105" i="7"/>
  <c r="L105" i="7" s="1"/>
  <c r="O103" i="7"/>
  <c r="Q103" i="7" s="1"/>
  <c r="K103" i="7"/>
  <c r="M103" i="7" s="1"/>
  <c r="Q102" i="7"/>
  <c r="P102" i="7"/>
  <c r="K102" i="7"/>
  <c r="L102" i="7" s="1"/>
  <c r="Q101" i="7"/>
  <c r="P101" i="7"/>
  <c r="K101" i="7"/>
  <c r="Q100" i="7"/>
  <c r="P100" i="7"/>
  <c r="K100" i="7"/>
  <c r="M100" i="7" s="1"/>
  <c r="Q99" i="7"/>
  <c r="P99" i="7"/>
  <c r="K99" i="7"/>
  <c r="M99" i="7" s="1"/>
  <c r="Q98" i="7"/>
  <c r="P98" i="7"/>
  <c r="K98" i="7"/>
  <c r="L98" i="7" s="1"/>
  <c r="Q97" i="7"/>
  <c r="P97" i="7"/>
  <c r="K97" i="7"/>
  <c r="Q96" i="7"/>
  <c r="P96" i="7"/>
  <c r="K96" i="7"/>
  <c r="M96" i="7" s="1"/>
  <c r="Q95" i="7"/>
  <c r="P95" i="7"/>
  <c r="K95" i="7"/>
  <c r="M95" i="7" s="1"/>
  <c r="Q94" i="7"/>
  <c r="P94" i="7"/>
  <c r="K94" i="7"/>
  <c r="M94" i="7" s="1"/>
  <c r="O93" i="7"/>
  <c r="P93" i="7" s="1"/>
  <c r="K93" i="7"/>
  <c r="L93" i="7" s="1"/>
  <c r="O92" i="7"/>
  <c r="Q92" i="7" s="1"/>
  <c r="K92" i="7"/>
  <c r="M92" i="7" s="1"/>
  <c r="Q91" i="7"/>
  <c r="P91" i="7"/>
  <c r="K91" i="7"/>
  <c r="L91" i="7" s="1"/>
  <c r="Q90" i="7"/>
  <c r="P90" i="7"/>
  <c r="K90" i="7"/>
  <c r="K89" i="7"/>
  <c r="Q88" i="7"/>
  <c r="P88" i="7"/>
  <c r="K88" i="7"/>
  <c r="L88" i="7" s="1"/>
  <c r="Q87" i="7"/>
  <c r="P87" i="7"/>
  <c r="K87" i="7"/>
  <c r="Q86" i="7"/>
  <c r="P86" i="7"/>
  <c r="K86" i="7"/>
  <c r="L86" i="7" s="1"/>
  <c r="Q85" i="7"/>
  <c r="P85" i="7"/>
  <c r="K85" i="7"/>
  <c r="Q84" i="7"/>
  <c r="P84" i="7"/>
  <c r="K84" i="7"/>
  <c r="Q83" i="7"/>
  <c r="P83" i="7"/>
  <c r="K83" i="7"/>
  <c r="L83" i="7" s="1"/>
  <c r="Q82" i="7"/>
  <c r="P82" i="7"/>
  <c r="K82" i="7"/>
  <c r="L82" i="7" s="1"/>
  <c r="K81" i="7"/>
  <c r="M81" i="7" s="1"/>
  <c r="Q80" i="7"/>
  <c r="P80" i="7"/>
  <c r="K80" i="7"/>
  <c r="Q79" i="7"/>
  <c r="P79" i="7"/>
  <c r="K79" i="7"/>
  <c r="Q78" i="7"/>
  <c r="P78" i="7"/>
  <c r="K78" i="7"/>
  <c r="M78" i="7" s="1"/>
  <c r="Q77" i="7"/>
  <c r="P77" i="7"/>
  <c r="K77" i="7"/>
  <c r="Q76" i="7"/>
  <c r="P76" i="7"/>
  <c r="K76" i="7"/>
  <c r="L76" i="7" s="1"/>
  <c r="Q75" i="7"/>
  <c r="P75" i="7"/>
  <c r="K75" i="7"/>
  <c r="Q74" i="7"/>
  <c r="P74" i="7"/>
  <c r="K74" i="7"/>
  <c r="Q73" i="7"/>
  <c r="P73" i="7"/>
  <c r="K73" i="7"/>
  <c r="M73" i="7" s="1"/>
  <c r="Q72" i="7"/>
  <c r="P72" i="7"/>
  <c r="K72" i="7"/>
  <c r="M72" i="7" s="1"/>
  <c r="Q71" i="7"/>
  <c r="P71" i="7"/>
  <c r="K71" i="7"/>
  <c r="L71" i="7" s="1"/>
  <c r="Q70" i="7"/>
  <c r="P70" i="7"/>
  <c r="K70" i="7"/>
  <c r="Q69" i="7"/>
  <c r="P69" i="7"/>
  <c r="K69" i="7"/>
  <c r="Q68" i="7"/>
  <c r="P68" i="7"/>
  <c r="K68" i="7"/>
  <c r="L68" i="7" s="1"/>
  <c r="Q67" i="7"/>
  <c r="P67" i="7"/>
  <c r="K67" i="7"/>
  <c r="Q66" i="7"/>
  <c r="P66" i="7"/>
  <c r="K66" i="7"/>
  <c r="L66" i="7" s="1"/>
  <c r="Q65" i="7"/>
  <c r="P65" i="7"/>
  <c r="K65" i="7"/>
  <c r="Q64" i="7"/>
  <c r="P64" i="7"/>
  <c r="K64" i="7"/>
  <c r="Q63" i="7"/>
  <c r="P63" i="7"/>
  <c r="K63" i="7"/>
  <c r="L63" i="7" s="1"/>
  <c r="Q62" i="7"/>
  <c r="P62" i="7"/>
  <c r="K62" i="7"/>
  <c r="M62" i="7" s="1"/>
  <c r="Q61" i="7"/>
  <c r="P61" i="7"/>
  <c r="K61" i="7"/>
  <c r="Q60" i="7"/>
  <c r="P60" i="7"/>
  <c r="K60" i="7"/>
  <c r="Q59" i="7"/>
  <c r="P59" i="7"/>
  <c r="K59" i="7"/>
  <c r="Q58" i="7"/>
  <c r="P58" i="7"/>
  <c r="K58" i="7"/>
  <c r="L58" i="7" s="1"/>
  <c r="Q57" i="7"/>
  <c r="P57" i="7"/>
  <c r="K57" i="7"/>
  <c r="M57" i="7" s="1"/>
  <c r="Q56" i="7"/>
  <c r="P56" i="7"/>
  <c r="K56" i="7"/>
  <c r="L56" i="7" s="1"/>
  <c r="Q55" i="7"/>
  <c r="P55" i="7"/>
  <c r="K55" i="7"/>
  <c r="Q54" i="7"/>
  <c r="P54" i="7"/>
  <c r="K54" i="7"/>
  <c r="Q53" i="7"/>
  <c r="P53" i="7"/>
  <c r="K53" i="7"/>
  <c r="L53" i="7" s="1"/>
  <c r="Q52" i="7"/>
  <c r="P52" i="7"/>
  <c r="K52" i="7"/>
  <c r="L52" i="7" s="1"/>
  <c r="Q51" i="7"/>
  <c r="P51" i="7"/>
  <c r="K51" i="7"/>
  <c r="M51" i="7" s="1"/>
  <c r="Q50" i="7"/>
  <c r="P50" i="7"/>
  <c r="K50" i="7"/>
  <c r="Q49" i="7"/>
  <c r="P49" i="7"/>
  <c r="K49" i="7"/>
  <c r="Q48" i="7"/>
  <c r="P48" i="7"/>
  <c r="K48" i="7"/>
  <c r="M48" i="7" s="1"/>
  <c r="Q47" i="7"/>
  <c r="P47" i="7"/>
  <c r="K47" i="7"/>
  <c r="M47" i="7" s="1"/>
  <c r="Q46" i="7"/>
  <c r="P46" i="7"/>
  <c r="K46" i="7"/>
  <c r="M46" i="7" s="1"/>
  <c r="Q45" i="7"/>
  <c r="P45" i="7"/>
  <c r="K45" i="7"/>
  <c r="Q44" i="7"/>
  <c r="P44" i="7"/>
  <c r="K44" i="7"/>
  <c r="Q43" i="7"/>
  <c r="P43" i="7"/>
  <c r="K43" i="7"/>
  <c r="M43" i="7" s="1"/>
  <c r="Q41" i="7"/>
  <c r="P41" i="7"/>
  <c r="K41" i="7"/>
  <c r="O40" i="7"/>
  <c r="P40" i="7" s="1"/>
  <c r="K40" i="7"/>
  <c r="O38" i="7"/>
  <c r="Q38" i="7" s="1"/>
  <c r="K38" i="7"/>
  <c r="M38" i="7" s="1"/>
  <c r="O34" i="7"/>
  <c r="K34" i="7"/>
  <c r="M34" i="7" s="1"/>
  <c r="O32" i="7"/>
  <c r="Q32" i="7" s="1"/>
  <c r="K32" i="7"/>
  <c r="O31" i="7"/>
  <c r="P31" i="7" s="1"/>
  <c r="K31" i="7"/>
  <c r="M31" i="7" s="1"/>
  <c r="O30" i="7"/>
  <c r="P30" i="7" s="1"/>
  <c r="K30" i="7"/>
  <c r="M30" i="7" s="1"/>
  <c r="O29" i="7"/>
  <c r="Q29" i="7" s="1"/>
  <c r="K29" i="7"/>
  <c r="L29" i="7" s="1"/>
  <c r="O28" i="7"/>
  <c r="P28" i="7" s="1"/>
  <c r="K28" i="7"/>
  <c r="M28" i="7" s="1"/>
  <c r="O27" i="7"/>
  <c r="Q27" i="7" s="1"/>
  <c r="K27" i="7"/>
  <c r="M27" i="7" s="1"/>
  <c r="Q25" i="7"/>
  <c r="P25" i="7"/>
  <c r="K25" i="7"/>
  <c r="Q24" i="7"/>
  <c r="P24" i="7"/>
  <c r="K24" i="7"/>
  <c r="Q23" i="7"/>
  <c r="P23" i="7"/>
  <c r="K23" i="7"/>
  <c r="M23" i="7" s="1"/>
  <c r="Q22" i="7"/>
  <c r="P22" i="7"/>
  <c r="K22" i="7"/>
  <c r="M22" i="7" s="1"/>
  <c r="Q21" i="7"/>
  <c r="P21" i="7"/>
  <c r="K21" i="7"/>
  <c r="L21" i="7" s="1"/>
  <c r="Q20" i="7"/>
  <c r="P20" i="7"/>
  <c r="K20" i="7"/>
  <c r="L20" i="7" s="1"/>
  <c r="Q19" i="7"/>
  <c r="P19" i="7"/>
  <c r="K19" i="7"/>
  <c r="M19" i="7" s="1"/>
  <c r="Q18" i="7"/>
  <c r="P18" i="7"/>
  <c r="K18" i="7"/>
  <c r="M18" i="7" s="1"/>
  <c r="O17" i="7"/>
  <c r="P17" i="7" s="1"/>
  <c r="K17" i="7"/>
  <c r="L17" i="7" s="1"/>
  <c r="O16" i="7"/>
  <c r="P16" i="7" s="1"/>
  <c r="K16" i="7"/>
  <c r="M16" i="7" s="1"/>
  <c r="Q15" i="7"/>
  <c r="P15" i="7"/>
  <c r="K15" i="7"/>
  <c r="L15" i="7" s="1"/>
  <c r="Q14" i="7"/>
  <c r="P14" i="7"/>
  <c r="K14" i="7"/>
  <c r="Q13" i="7"/>
  <c r="P13" i="7"/>
  <c r="K13" i="7"/>
  <c r="M13" i="7" s="1"/>
  <c r="Q12" i="7"/>
  <c r="P12" i="7"/>
  <c r="K12" i="7"/>
  <c r="Q11" i="7"/>
  <c r="P11" i="7"/>
  <c r="K11" i="7"/>
  <c r="M11" i="7" s="1"/>
  <c r="Q10" i="7"/>
  <c r="P10" i="7"/>
  <c r="K10" i="7"/>
  <c r="L10" i="7" s="1"/>
  <c r="Q9" i="7"/>
  <c r="P9" i="7"/>
  <c r="K9" i="7"/>
  <c r="M9" i="7" s="1"/>
  <c r="Q8" i="7"/>
  <c r="P8" i="7"/>
  <c r="K8" i="7"/>
  <c r="M8" i="7" s="1"/>
  <c r="Q7" i="7"/>
  <c r="P7" i="7"/>
  <c r="K7" i="7"/>
  <c r="Q6" i="7"/>
  <c r="P6" i="7"/>
  <c r="K6" i="7"/>
  <c r="L6" i="7" s="1"/>
  <c r="Q5" i="7"/>
  <c r="P5" i="7"/>
  <c r="K5" i="7"/>
  <c r="L5" i="7" s="1"/>
  <c r="Q4" i="7"/>
  <c r="P4" i="7"/>
  <c r="K4" i="7"/>
  <c r="M4" i="7" s="1"/>
  <c r="Q3" i="7"/>
  <c r="P3" i="7"/>
  <c r="K3" i="7"/>
  <c r="I23" i="12" l="1"/>
  <c r="C23" i="12" s="1"/>
  <c r="Q23" i="12"/>
  <c r="R23" i="12" s="1"/>
  <c r="Q24" i="12"/>
  <c r="R24" i="12" s="1"/>
  <c r="O15" i="12"/>
  <c r="O16" i="12"/>
  <c r="P16" i="12" s="1"/>
  <c r="I16" i="12" s="1"/>
  <c r="C16" i="12" s="1"/>
  <c r="O13" i="12"/>
  <c r="P13" i="12" s="1"/>
  <c r="I13" i="12" s="1"/>
  <c r="C13" i="12" s="1"/>
  <c r="Q16" i="12"/>
  <c r="R16" i="12" s="1"/>
  <c r="P15" i="12"/>
  <c r="I15" i="12" s="1"/>
  <c r="C15" i="12" s="1"/>
  <c r="O19" i="12"/>
  <c r="P19" i="12" s="1"/>
  <c r="I19" i="12" s="1"/>
  <c r="C19" i="12" s="1"/>
  <c r="O14" i="12"/>
  <c r="P14" i="12" s="1"/>
  <c r="I14" i="12" s="1"/>
  <c r="C14" i="12" s="1"/>
  <c r="O232" i="12"/>
  <c r="P232" i="12" s="1"/>
  <c r="I232" i="12" s="1"/>
  <c r="O322" i="12"/>
  <c r="P322" i="12" s="1"/>
  <c r="I322" i="12" s="1"/>
  <c r="O267" i="12"/>
  <c r="P267" i="12" s="1"/>
  <c r="I267" i="12" s="1"/>
  <c r="C267" i="12" s="1"/>
  <c r="O262" i="12"/>
  <c r="P262" i="12" s="1"/>
  <c r="I262" i="12" s="1"/>
  <c r="C262" i="12" s="1"/>
  <c r="O270" i="12"/>
  <c r="P270" i="12" s="1"/>
  <c r="I270" i="12" s="1"/>
  <c r="C270" i="12" s="1"/>
  <c r="O276" i="12"/>
  <c r="P276" i="12" s="1"/>
  <c r="I276" i="12" s="1"/>
  <c r="C276" i="12" s="1"/>
  <c r="O235" i="12"/>
  <c r="P235" i="12" s="1"/>
  <c r="I235" i="12" s="1"/>
  <c r="C235" i="12" s="1"/>
  <c r="O255" i="12"/>
  <c r="P255" i="12" s="1"/>
  <c r="I255" i="12" s="1"/>
  <c r="C255" i="12" s="1"/>
  <c r="O259" i="12"/>
  <c r="P259" i="12" s="1"/>
  <c r="I259" i="12" s="1"/>
  <c r="C259" i="12" s="1"/>
  <c r="O271" i="12"/>
  <c r="P271" i="12" s="1"/>
  <c r="I271" i="12" s="1"/>
  <c r="C271" i="12" s="1"/>
  <c r="O275" i="12"/>
  <c r="P275" i="12" s="1"/>
  <c r="I275" i="12" s="1"/>
  <c r="C275" i="12" s="1"/>
  <c r="O260" i="12"/>
  <c r="P260" i="12" s="1"/>
  <c r="I260" i="12" s="1"/>
  <c r="C260" i="12" s="1"/>
  <c r="O268" i="12"/>
  <c r="P268" i="12" s="1"/>
  <c r="I268" i="12" s="1"/>
  <c r="C268" i="12" s="1"/>
  <c r="O272" i="12"/>
  <c r="P272" i="12" s="1"/>
  <c r="I272" i="12" s="1"/>
  <c r="C272" i="12" s="1"/>
  <c r="O252" i="12"/>
  <c r="P252" i="12" s="1"/>
  <c r="I252" i="12" s="1"/>
  <c r="C252" i="12" s="1"/>
  <c r="O227" i="12"/>
  <c r="P227" i="12" s="1"/>
  <c r="I227" i="12" s="1"/>
  <c r="C227" i="12" s="1"/>
  <c r="O264" i="12"/>
  <c r="P264" i="12" s="1"/>
  <c r="I264" i="12" s="1"/>
  <c r="C264" i="12" s="1"/>
  <c r="O233" i="12"/>
  <c r="P233" i="12" s="1"/>
  <c r="I233" i="12" s="1"/>
  <c r="C233" i="12" s="1"/>
  <c r="O241" i="12"/>
  <c r="P241" i="12" s="1"/>
  <c r="I241" i="12" s="1"/>
  <c r="C241" i="12" s="1"/>
  <c r="O249" i="12"/>
  <c r="P249" i="12" s="1"/>
  <c r="I249" i="12" s="1"/>
  <c r="C249" i="12" s="1"/>
  <c r="O265" i="12"/>
  <c r="P265" i="12" s="1"/>
  <c r="I265" i="12" s="1"/>
  <c r="C265" i="12" s="1"/>
  <c r="O269" i="12"/>
  <c r="P269" i="12" s="1"/>
  <c r="I269" i="12" s="1"/>
  <c r="C269" i="12" s="1"/>
  <c r="O261" i="12"/>
  <c r="P261" i="12" s="1"/>
  <c r="I261" i="12" s="1"/>
  <c r="C261" i="12" s="1"/>
  <c r="O258" i="12"/>
  <c r="P258" i="12" s="1"/>
  <c r="I258" i="12" s="1"/>
  <c r="C258" i="12" s="1"/>
  <c r="O266" i="12"/>
  <c r="P266" i="12" s="1"/>
  <c r="I266" i="12" s="1"/>
  <c r="C266" i="12" s="1"/>
  <c r="O273" i="12"/>
  <c r="P273" i="12" s="1"/>
  <c r="I273" i="12" s="1"/>
  <c r="C273" i="12" s="1"/>
  <c r="O274" i="12"/>
  <c r="P274" i="12" s="1"/>
  <c r="I274" i="12" s="1"/>
  <c r="C274" i="12" s="1"/>
  <c r="O238" i="12"/>
  <c r="P238" i="12" s="1"/>
  <c r="I238" i="12" s="1"/>
  <c r="C238" i="12" s="1"/>
  <c r="O242" i="12"/>
  <c r="P242" i="12" s="1"/>
  <c r="I242" i="12" s="1"/>
  <c r="C242" i="12" s="1"/>
  <c r="O250" i="12"/>
  <c r="P250" i="12" s="1"/>
  <c r="I250" i="12" s="1"/>
  <c r="C250" i="12" s="1"/>
  <c r="O257" i="12"/>
  <c r="P257" i="12" s="1"/>
  <c r="I257" i="12" s="1"/>
  <c r="C257" i="12" s="1"/>
  <c r="O234" i="12"/>
  <c r="P234" i="12" s="1"/>
  <c r="I234" i="12" s="1"/>
  <c r="C234" i="12" s="1"/>
  <c r="O246" i="12"/>
  <c r="P246" i="12" s="1"/>
  <c r="I246" i="12" s="1"/>
  <c r="C246" i="12" s="1"/>
  <c r="O254" i="12"/>
  <c r="P254" i="12" s="1"/>
  <c r="I254" i="12" s="1"/>
  <c r="C254" i="12" s="1"/>
  <c r="O263" i="12"/>
  <c r="P263" i="12" s="1"/>
  <c r="I263" i="12" s="1"/>
  <c r="C263" i="12" s="1"/>
  <c r="O239" i="12"/>
  <c r="P239" i="12" s="1"/>
  <c r="I239" i="12" s="1"/>
  <c r="C239" i="12" s="1"/>
  <c r="O247" i="12"/>
  <c r="P247" i="12" s="1"/>
  <c r="I247" i="12" s="1"/>
  <c r="C247" i="12" s="1"/>
  <c r="O251" i="12"/>
  <c r="P251" i="12" s="1"/>
  <c r="I251" i="12" s="1"/>
  <c r="C251" i="12" s="1"/>
  <c r="O222" i="12"/>
  <c r="P222" i="12" s="1"/>
  <c r="I222" i="12" s="1"/>
  <c r="C222" i="12" s="1"/>
  <c r="O240" i="12"/>
  <c r="P240" i="12" s="1"/>
  <c r="I240" i="12" s="1"/>
  <c r="C240" i="12" s="1"/>
  <c r="O244" i="12"/>
  <c r="P244" i="12" s="1"/>
  <c r="I244" i="12" s="1"/>
  <c r="C244" i="12" s="1"/>
  <c r="O248" i="12"/>
  <c r="P248" i="12" s="1"/>
  <c r="I248" i="12" s="1"/>
  <c r="C248" i="12" s="1"/>
  <c r="O256" i="12"/>
  <c r="P256" i="12" s="1"/>
  <c r="I256" i="12" s="1"/>
  <c r="C256" i="12" s="1"/>
  <c r="O253" i="12"/>
  <c r="P253" i="12" s="1"/>
  <c r="I253" i="12" s="1"/>
  <c r="C253" i="12" s="1"/>
  <c r="O245" i="12"/>
  <c r="P245" i="12" s="1"/>
  <c r="I245" i="12" s="1"/>
  <c r="C245" i="12" s="1"/>
  <c r="O237" i="12"/>
  <c r="P237" i="12" s="1"/>
  <c r="I237" i="12" s="1"/>
  <c r="C237" i="12" s="1"/>
  <c r="O306" i="12"/>
  <c r="P306" i="12" s="1"/>
  <c r="I306" i="12" s="1"/>
  <c r="C306" i="12" s="1"/>
  <c r="O314" i="12"/>
  <c r="P314" i="12" s="1"/>
  <c r="I314" i="12" s="1"/>
  <c r="C314" i="12" s="1"/>
  <c r="O300" i="12"/>
  <c r="P300" i="12" s="1"/>
  <c r="I300" i="12" s="1"/>
  <c r="C300" i="12" s="1"/>
  <c r="O243" i="12"/>
  <c r="P243" i="12" s="1"/>
  <c r="I243" i="12" s="1"/>
  <c r="C243" i="12" s="1"/>
  <c r="O313" i="12"/>
  <c r="P313" i="12" s="1"/>
  <c r="I313" i="12" s="1"/>
  <c r="C313" i="12" s="1"/>
  <c r="O236" i="12"/>
  <c r="P236" i="12" s="1"/>
  <c r="I236" i="12" s="1"/>
  <c r="C236" i="12" s="1"/>
  <c r="O286" i="12"/>
  <c r="P286" i="12" s="1"/>
  <c r="I286" i="12" s="1"/>
  <c r="C286" i="12" s="1"/>
  <c r="O294" i="12"/>
  <c r="P294" i="12" s="1"/>
  <c r="I294" i="12" s="1"/>
  <c r="C294" i="12" s="1"/>
  <c r="O184" i="12"/>
  <c r="P184" i="12" s="1"/>
  <c r="I184" i="12" s="1"/>
  <c r="C184" i="12" s="1"/>
  <c r="O206" i="12"/>
  <c r="P206" i="12" s="1"/>
  <c r="I206" i="12" s="1"/>
  <c r="C206" i="12" s="1"/>
  <c r="O230" i="12"/>
  <c r="P230" i="12" s="1"/>
  <c r="I230" i="12" s="1"/>
  <c r="C230" i="12" s="1"/>
  <c r="O323" i="12"/>
  <c r="P323" i="12" s="1"/>
  <c r="I323" i="12" s="1"/>
  <c r="C323" i="12" s="1"/>
  <c r="O196" i="12"/>
  <c r="P196" i="12" s="1"/>
  <c r="I196" i="12" s="1"/>
  <c r="O317" i="12"/>
  <c r="P317" i="12" s="1"/>
  <c r="I317" i="12" s="1"/>
  <c r="C317" i="12" s="1"/>
  <c r="O310" i="12"/>
  <c r="P310" i="12" s="1"/>
  <c r="I310" i="12" s="1"/>
  <c r="C310" i="12" s="1"/>
  <c r="O309" i="12"/>
  <c r="P309" i="12" s="1"/>
  <c r="I309" i="12" s="1"/>
  <c r="C309" i="12" s="1"/>
  <c r="O305" i="12"/>
  <c r="P305" i="12" s="1"/>
  <c r="I305" i="12" s="1"/>
  <c r="C305" i="12" s="1"/>
  <c r="O302" i="12"/>
  <c r="P302" i="12" s="1"/>
  <c r="I302" i="12" s="1"/>
  <c r="C302" i="12" s="1"/>
  <c r="O299" i="12"/>
  <c r="P299" i="12" s="1"/>
  <c r="I299" i="12" s="1"/>
  <c r="C299" i="12" s="1"/>
  <c r="O295" i="12"/>
  <c r="P295" i="12" s="1"/>
  <c r="I295" i="12" s="1"/>
  <c r="C295" i="12" s="1"/>
  <c r="O293" i="12"/>
  <c r="P293" i="12" s="1"/>
  <c r="I293" i="12" s="1"/>
  <c r="C293" i="12" s="1"/>
  <c r="O290" i="12"/>
  <c r="P290" i="12" s="1"/>
  <c r="I290" i="12" s="1"/>
  <c r="C290" i="12" s="1"/>
  <c r="O289" i="12"/>
  <c r="P289" i="12" s="1"/>
  <c r="I289" i="12" s="1"/>
  <c r="C289" i="12" s="1"/>
  <c r="O282" i="12"/>
  <c r="P282" i="12" s="1"/>
  <c r="I282" i="12" s="1"/>
  <c r="C282" i="12" s="1"/>
  <c r="O280" i="12"/>
  <c r="P280" i="12" s="1"/>
  <c r="I280" i="12" s="1"/>
  <c r="C280" i="12" s="1"/>
  <c r="O283" i="12"/>
  <c r="P283" i="12" s="1"/>
  <c r="I283" i="12" s="1"/>
  <c r="C283" i="12" s="1"/>
  <c r="O287" i="12"/>
  <c r="P287" i="12" s="1"/>
  <c r="I287" i="12" s="1"/>
  <c r="C287" i="12" s="1"/>
  <c r="O303" i="12"/>
  <c r="P303" i="12" s="1"/>
  <c r="I303" i="12" s="1"/>
  <c r="C303" i="12" s="1"/>
  <c r="O307" i="12"/>
  <c r="P307" i="12" s="1"/>
  <c r="I307" i="12" s="1"/>
  <c r="C307" i="12" s="1"/>
  <c r="O311" i="12"/>
  <c r="P311" i="12" s="1"/>
  <c r="I311" i="12" s="1"/>
  <c r="C311" i="12" s="1"/>
  <c r="O284" i="12"/>
  <c r="P284" i="12" s="1"/>
  <c r="I284" i="12" s="1"/>
  <c r="C284" i="12" s="1"/>
  <c r="O292" i="12"/>
  <c r="O308" i="12"/>
  <c r="P308" i="12" s="1"/>
  <c r="I308" i="12" s="1"/>
  <c r="C308" i="12" s="1"/>
  <c r="O312" i="12"/>
  <c r="P312" i="12" s="1"/>
  <c r="I312" i="12" s="1"/>
  <c r="C312" i="12" s="1"/>
  <c r="O316" i="12"/>
  <c r="P316" i="12" s="1"/>
  <c r="I316" i="12" s="1"/>
  <c r="C316" i="12" s="1"/>
  <c r="O281" i="12"/>
  <c r="P281" i="12" s="1"/>
  <c r="I281" i="12" s="1"/>
  <c r="C281" i="12" s="1"/>
  <c r="O297" i="12"/>
  <c r="P297" i="12" s="1"/>
  <c r="I297" i="12" s="1"/>
  <c r="C297" i="12" s="1"/>
  <c r="O301" i="12"/>
  <c r="P301" i="12" s="1"/>
  <c r="I301" i="12" s="1"/>
  <c r="C301" i="12" s="1"/>
  <c r="O285" i="12"/>
  <c r="P285" i="12" s="1"/>
  <c r="I285" i="12" s="1"/>
  <c r="C285" i="12" s="1"/>
  <c r="O288" i="12"/>
  <c r="P288" i="12" s="1"/>
  <c r="I288" i="12" s="1"/>
  <c r="C288" i="12" s="1"/>
  <c r="O296" i="12"/>
  <c r="P296" i="12" s="1"/>
  <c r="I296" i="12" s="1"/>
  <c r="C296" i="12" s="1"/>
  <c r="O304" i="12"/>
  <c r="P304" i="12" s="1"/>
  <c r="I304" i="12" s="1"/>
  <c r="C304" i="12" s="1"/>
  <c r="O320" i="12"/>
  <c r="P320" i="12" s="1"/>
  <c r="I320" i="12" s="1"/>
  <c r="C320" i="12" s="1"/>
  <c r="O229" i="12"/>
  <c r="P229" i="12" s="1"/>
  <c r="I229" i="12" s="1"/>
  <c r="C229" i="12" s="1"/>
  <c r="O279" i="12"/>
  <c r="P279" i="12" s="1"/>
  <c r="I279" i="12" s="1"/>
  <c r="C279" i="12" s="1"/>
  <c r="O318" i="12"/>
  <c r="P318" i="12" s="1"/>
  <c r="I318" i="12" s="1"/>
  <c r="C318" i="12" s="1"/>
  <c r="O319" i="12"/>
  <c r="P319" i="12" s="1"/>
  <c r="I319" i="12" s="1"/>
  <c r="C319" i="12" s="1"/>
  <c r="O321" i="12"/>
  <c r="P321" i="12" s="1"/>
  <c r="I321" i="12" s="1"/>
  <c r="C321" i="12" s="1"/>
  <c r="O315" i="12"/>
  <c r="P315" i="12" s="1"/>
  <c r="I315" i="12" s="1"/>
  <c r="C315" i="12" s="1"/>
  <c r="O298" i="12"/>
  <c r="P298" i="12" s="1"/>
  <c r="I298" i="12" s="1"/>
  <c r="C298" i="12" s="1"/>
  <c r="O291" i="12"/>
  <c r="P291" i="12" s="1"/>
  <c r="I291" i="12" s="1"/>
  <c r="C291" i="12" s="1"/>
  <c r="O199" i="12"/>
  <c r="P199" i="12" s="1"/>
  <c r="I199" i="12" s="1"/>
  <c r="C199" i="12" s="1"/>
  <c r="O183" i="12"/>
  <c r="P183" i="12" s="1"/>
  <c r="I183" i="12" s="1"/>
  <c r="C183" i="12" s="1"/>
  <c r="O207" i="12"/>
  <c r="P207" i="12" s="1"/>
  <c r="I207" i="12" s="1"/>
  <c r="C207" i="12" s="1"/>
  <c r="O215" i="12"/>
  <c r="P215" i="12" s="1"/>
  <c r="I215" i="12" s="1"/>
  <c r="C215" i="12" s="1"/>
  <c r="O185" i="12"/>
  <c r="P185" i="12" s="1"/>
  <c r="I185" i="12" s="1"/>
  <c r="C185" i="12" s="1"/>
  <c r="O223" i="12"/>
  <c r="P223" i="12" s="1"/>
  <c r="I223" i="12" s="1"/>
  <c r="C223" i="12" s="1"/>
  <c r="O220" i="12"/>
  <c r="P220" i="12" s="1"/>
  <c r="I220" i="12" s="1"/>
  <c r="C220" i="12" s="1"/>
  <c r="O212" i="12"/>
  <c r="P212" i="12" s="1"/>
  <c r="I212" i="12" s="1"/>
  <c r="C212" i="12" s="1"/>
  <c r="O208" i="12"/>
  <c r="P208" i="12" s="1"/>
  <c r="I208" i="12" s="1"/>
  <c r="C208" i="12" s="1"/>
  <c r="O277" i="12"/>
  <c r="P277" i="12" s="1"/>
  <c r="I277" i="12" s="1"/>
  <c r="O278" i="12"/>
  <c r="P278" i="12" s="1"/>
  <c r="I278" i="12" s="1"/>
  <c r="C278" i="12" s="1"/>
  <c r="O213" i="12"/>
  <c r="P213" i="12" s="1"/>
  <c r="I213" i="12" s="1"/>
  <c r="C213" i="12" s="1"/>
  <c r="O221" i="12"/>
  <c r="P221" i="12" s="1"/>
  <c r="I221" i="12" s="1"/>
  <c r="C221" i="12" s="1"/>
  <c r="O231" i="12"/>
  <c r="P231" i="12" s="1"/>
  <c r="I231" i="12" s="1"/>
  <c r="C231" i="12" s="1"/>
  <c r="O225" i="12"/>
  <c r="P225" i="12" s="1"/>
  <c r="I225" i="12" s="1"/>
  <c r="C225" i="12" s="1"/>
  <c r="O219" i="12"/>
  <c r="P219" i="12" s="1"/>
  <c r="I219" i="12" s="1"/>
  <c r="C219" i="12" s="1"/>
  <c r="O216" i="12"/>
  <c r="P216" i="12" s="1"/>
  <c r="I216" i="12" s="1"/>
  <c r="C216" i="12" s="1"/>
  <c r="O204" i="12"/>
  <c r="P204" i="12" s="1"/>
  <c r="I204" i="12" s="1"/>
  <c r="C204" i="12" s="1"/>
  <c r="O202" i="12"/>
  <c r="P202" i="12" s="1"/>
  <c r="I202" i="12" s="1"/>
  <c r="C202" i="12" s="1"/>
  <c r="O201" i="12"/>
  <c r="P201" i="12" s="1"/>
  <c r="I201" i="12" s="1"/>
  <c r="C201" i="12" s="1"/>
  <c r="O200" i="12"/>
  <c r="P200" i="12" s="1"/>
  <c r="I200" i="12" s="1"/>
  <c r="C200" i="12" s="1"/>
  <c r="O205" i="12"/>
  <c r="P205" i="12" s="1"/>
  <c r="I205" i="12" s="1"/>
  <c r="C205" i="12" s="1"/>
  <c r="O224" i="12"/>
  <c r="P224" i="12" s="1"/>
  <c r="I224" i="12" s="1"/>
  <c r="C224" i="12" s="1"/>
  <c r="O228" i="12"/>
  <c r="P228" i="12" s="1"/>
  <c r="I228" i="12" s="1"/>
  <c r="C228" i="12" s="1"/>
  <c r="O209" i="12"/>
  <c r="P209" i="12" s="1"/>
  <c r="I209" i="12" s="1"/>
  <c r="C209" i="12" s="1"/>
  <c r="O210" i="12"/>
  <c r="P210" i="12" s="1"/>
  <c r="I210" i="12" s="1"/>
  <c r="C210" i="12" s="1"/>
  <c r="O214" i="12"/>
  <c r="P214" i="12" s="1"/>
  <c r="I214" i="12" s="1"/>
  <c r="C214" i="12" s="1"/>
  <c r="O217" i="12"/>
  <c r="P217" i="12" s="1"/>
  <c r="I217" i="12" s="1"/>
  <c r="C217" i="12" s="1"/>
  <c r="O218" i="12"/>
  <c r="P218" i="12" s="1"/>
  <c r="I218" i="12" s="1"/>
  <c r="C218" i="12" s="1"/>
  <c r="O203" i="12"/>
  <c r="P203" i="12" s="1"/>
  <c r="I203" i="12" s="1"/>
  <c r="C203" i="12" s="1"/>
  <c r="O226" i="12"/>
  <c r="P226" i="12" s="1"/>
  <c r="I226" i="12" s="1"/>
  <c r="C226" i="12" s="1"/>
  <c r="O211" i="12"/>
  <c r="P211" i="12" s="1"/>
  <c r="I211" i="12" s="1"/>
  <c r="C211" i="12" s="1"/>
  <c r="O190" i="12"/>
  <c r="P190" i="12" s="1"/>
  <c r="I190" i="12" s="1"/>
  <c r="C190" i="12" s="1"/>
  <c r="O182" i="12"/>
  <c r="P182" i="12" s="1"/>
  <c r="I182" i="12" s="1"/>
  <c r="C182" i="12" s="1"/>
  <c r="O194" i="12"/>
  <c r="P194" i="12" s="1"/>
  <c r="I194" i="12" s="1"/>
  <c r="C194" i="12" s="1"/>
  <c r="O198" i="12"/>
  <c r="P198" i="12" s="1"/>
  <c r="I198" i="12" s="1"/>
  <c r="C198" i="12" s="1"/>
  <c r="O187" i="12"/>
  <c r="P187" i="12" s="1"/>
  <c r="I187" i="12" s="1"/>
  <c r="C187" i="12" s="1"/>
  <c r="O191" i="12"/>
  <c r="P191" i="12" s="1"/>
  <c r="I191" i="12" s="1"/>
  <c r="C191" i="12" s="1"/>
  <c r="O195" i="12"/>
  <c r="P195" i="12" s="1"/>
  <c r="I195" i="12" s="1"/>
  <c r="C195" i="12" s="1"/>
  <c r="O188" i="12"/>
  <c r="P188" i="12" s="1"/>
  <c r="I188" i="12" s="1"/>
  <c r="C188" i="12" s="1"/>
  <c r="O192" i="12"/>
  <c r="P192" i="12" s="1"/>
  <c r="I192" i="12" s="1"/>
  <c r="C192" i="12" s="1"/>
  <c r="O186" i="12"/>
  <c r="P186" i="12" s="1"/>
  <c r="I186" i="12" s="1"/>
  <c r="C186" i="12" s="1"/>
  <c r="O197" i="12"/>
  <c r="P197" i="12" s="1"/>
  <c r="I197" i="12" s="1"/>
  <c r="C197" i="12" s="1"/>
  <c r="O193" i="12"/>
  <c r="P193" i="12" s="1"/>
  <c r="I193" i="12" s="1"/>
  <c r="C193" i="12" s="1"/>
  <c r="O189" i="12"/>
  <c r="P189" i="12" s="1"/>
  <c r="I189" i="12" s="1"/>
  <c r="C189" i="12" s="1"/>
  <c r="O175" i="12"/>
  <c r="P175" i="12" s="1"/>
  <c r="I175" i="12" s="1"/>
  <c r="C175" i="12" s="1"/>
  <c r="O173" i="12"/>
  <c r="P173" i="12" s="1"/>
  <c r="I173" i="12" s="1"/>
  <c r="C173" i="12" s="1"/>
  <c r="O171" i="12"/>
  <c r="P171" i="12" s="1"/>
  <c r="I171" i="12" s="1"/>
  <c r="C171" i="12" s="1"/>
  <c r="O170" i="12"/>
  <c r="P170" i="12" s="1"/>
  <c r="I170" i="12" s="1"/>
  <c r="C170" i="12" s="1"/>
  <c r="O176" i="12"/>
  <c r="P176" i="12" s="1"/>
  <c r="I176" i="12" s="1"/>
  <c r="C176" i="12" s="1"/>
  <c r="O180" i="12"/>
  <c r="P180" i="12" s="1"/>
  <c r="I180" i="12" s="1"/>
  <c r="C180" i="12" s="1"/>
  <c r="O169" i="12"/>
  <c r="P169" i="12" s="1"/>
  <c r="I169" i="12" s="1"/>
  <c r="C169" i="12" s="1"/>
  <c r="O181" i="12"/>
  <c r="P181" i="12" s="1"/>
  <c r="I181" i="12" s="1"/>
  <c r="C181" i="12" s="1"/>
  <c r="O178" i="12"/>
  <c r="P178" i="12" s="1"/>
  <c r="I178" i="12" s="1"/>
  <c r="C178" i="12" s="1"/>
  <c r="O179" i="12"/>
  <c r="P179" i="12" s="1"/>
  <c r="I179" i="12" s="1"/>
  <c r="C179" i="12" s="1"/>
  <c r="O172" i="12"/>
  <c r="P172" i="12" s="1"/>
  <c r="I172" i="12" s="1"/>
  <c r="C172" i="12" s="1"/>
  <c r="O174" i="12"/>
  <c r="P174" i="12" s="1"/>
  <c r="I174" i="12" s="1"/>
  <c r="C174" i="12" s="1"/>
  <c r="O177" i="12"/>
  <c r="P177" i="12" s="1"/>
  <c r="I177" i="12" s="1"/>
  <c r="C177" i="12" s="1"/>
  <c r="O158" i="12"/>
  <c r="P158" i="12" s="1"/>
  <c r="I158" i="12" s="1"/>
  <c r="C158" i="12" s="1"/>
  <c r="O163" i="12"/>
  <c r="P163" i="12" s="1"/>
  <c r="I163" i="12" s="1"/>
  <c r="C163" i="12" s="1"/>
  <c r="O166" i="12"/>
  <c r="P166" i="12" s="1"/>
  <c r="I166" i="12" s="1"/>
  <c r="C166" i="12" s="1"/>
  <c r="O160" i="12"/>
  <c r="P160" i="12" s="1"/>
  <c r="I160" i="12" s="1"/>
  <c r="C160" i="12" s="1"/>
  <c r="O168" i="12"/>
  <c r="P168" i="12" s="1"/>
  <c r="I168" i="12" s="1"/>
  <c r="C168" i="12" s="1"/>
  <c r="O155" i="12"/>
  <c r="P155" i="12" s="1"/>
  <c r="I155" i="12" s="1"/>
  <c r="C155" i="12" s="1"/>
  <c r="O126" i="12"/>
  <c r="P126" i="12" s="1"/>
  <c r="I126" i="12" s="1"/>
  <c r="C126" i="12" s="1"/>
  <c r="O165" i="12"/>
  <c r="P165" i="12" s="1"/>
  <c r="I165" i="12" s="1"/>
  <c r="C165" i="12" s="1"/>
  <c r="O162" i="12"/>
  <c r="P162" i="12" s="1"/>
  <c r="I162" i="12" s="1"/>
  <c r="C162" i="12" s="1"/>
  <c r="O157" i="12"/>
  <c r="P157" i="12" s="1"/>
  <c r="I157" i="12" s="1"/>
  <c r="C157" i="12" s="1"/>
  <c r="O167" i="12"/>
  <c r="P167" i="12" s="1"/>
  <c r="I167" i="12" s="1"/>
  <c r="C167" i="12" s="1"/>
  <c r="O156" i="12"/>
  <c r="P156" i="12" s="1"/>
  <c r="I156" i="12" s="1"/>
  <c r="C156" i="12" s="1"/>
  <c r="O153" i="12"/>
  <c r="P153" i="12" s="1"/>
  <c r="I153" i="12" s="1"/>
  <c r="C153" i="12" s="1"/>
  <c r="O159" i="12"/>
  <c r="P159" i="12" s="1"/>
  <c r="I159" i="12" s="1"/>
  <c r="C159" i="12" s="1"/>
  <c r="O154" i="12"/>
  <c r="P154" i="12" s="1"/>
  <c r="I154" i="12" s="1"/>
  <c r="C154" i="12" s="1"/>
  <c r="O164" i="12"/>
  <c r="P164" i="12" s="1"/>
  <c r="I164" i="12" s="1"/>
  <c r="C164" i="12" s="1"/>
  <c r="O161" i="12"/>
  <c r="P161" i="12" s="1"/>
  <c r="I161" i="12" s="1"/>
  <c r="C161" i="12" s="1"/>
  <c r="O152" i="12"/>
  <c r="P152" i="12" s="1"/>
  <c r="I152" i="12" s="1"/>
  <c r="C152" i="12" s="1"/>
  <c r="O151" i="12"/>
  <c r="P151" i="12" s="1"/>
  <c r="I151" i="12" s="1"/>
  <c r="C151" i="12" s="1"/>
  <c r="O149" i="12"/>
  <c r="P149" i="12" s="1"/>
  <c r="I149" i="12" s="1"/>
  <c r="C149" i="12" s="1"/>
  <c r="O147" i="12"/>
  <c r="P147" i="12" s="1"/>
  <c r="I147" i="12" s="1"/>
  <c r="C147" i="12" s="1"/>
  <c r="O145" i="12"/>
  <c r="P145" i="12" s="1"/>
  <c r="I145" i="12" s="1"/>
  <c r="C145" i="12" s="1"/>
  <c r="O144" i="12"/>
  <c r="P144" i="12" s="1"/>
  <c r="I144" i="12" s="1"/>
  <c r="C144" i="12" s="1"/>
  <c r="O143" i="12"/>
  <c r="P143" i="12" s="1"/>
  <c r="I143" i="12" s="1"/>
  <c r="C143" i="12" s="1"/>
  <c r="O150" i="12"/>
  <c r="P150" i="12" s="1"/>
  <c r="I150" i="12" s="1"/>
  <c r="C150" i="12" s="1"/>
  <c r="O148" i="12"/>
  <c r="P148" i="12" s="1"/>
  <c r="I148" i="12" s="1"/>
  <c r="C148" i="12" s="1"/>
  <c r="O146" i="12"/>
  <c r="P146" i="12" s="1"/>
  <c r="I146" i="12" s="1"/>
  <c r="C146" i="12" s="1"/>
  <c r="O142" i="12"/>
  <c r="P142" i="12" s="1"/>
  <c r="I142" i="12" s="1"/>
  <c r="C142" i="12" s="1"/>
  <c r="O136" i="12"/>
  <c r="P136" i="12" s="1"/>
  <c r="I136" i="12" s="1"/>
  <c r="C136" i="12" s="1"/>
  <c r="O133" i="12"/>
  <c r="P133" i="12" s="1"/>
  <c r="I133" i="12" s="1"/>
  <c r="C133" i="12" s="1"/>
  <c r="O139" i="12"/>
  <c r="P139" i="12" s="1"/>
  <c r="I139" i="12" s="1"/>
  <c r="C139" i="12" s="1"/>
  <c r="O135" i="12"/>
  <c r="P135" i="12" s="1"/>
  <c r="I135" i="12" s="1"/>
  <c r="C135" i="12" s="1"/>
  <c r="O134" i="12"/>
  <c r="P134" i="12" s="1"/>
  <c r="I134" i="12" s="1"/>
  <c r="C134" i="12" s="1"/>
  <c r="O132" i="12"/>
  <c r="P132" i="12" s="1"/>
  <c r="I132" i="12" s="1"/>
  <c r="C132" i="12" s="1"/>
  <c r="O137" i="12"/>
  <c r="P137" i="12" s="1"/>
  <c r="I137" i="12" s="1"/>
  <c r="C137" i="12" s="1"/>
  <c r="O130" i="12"/>
  <c r="P130" i="12" s="1"/>
  <c r="I130" i="12" s="1"/>
  <c r="C130" i="12" s="1"/>
  <c r="O138" i="12"/>
  <c r="P138" i="12" s="1"/>
  <c r="I138" i="12" s="1"/>
  <c r="C138" i="12" s="1"/>
  <c r="O140" i="12"/>
  <c r="P140" i="12" s="1"/>
  <c r="I140" i="12" s="1"/>
  <c r="C140" i="12" s="1"/>
  <c r="O141" i="12"/>
  <c r="P141" i="12" s="1"/>
  <c r="I141" i="12" s="1"/>
  <c r="C141" i="12" s="1"/>
  <c r="O127" i="12"/>
  <c r="P127" i="12" s="1"/>
  <c r="I127" i="12" s="1"/>
  <c r="C127" i="12" s="1"/>
  <c r="O125" i="12"/>
  <c r="P125" i="12" s="1"/>
  <c r="I125" i="12" s="1"/>
  <c r="C125" i="12" s="1"/>
  <c r="O123" i="12"/>
  <c r="P123" i="12" s="1"/>
  <c r="I123" i="12" s="1"/>
  <c r="C123" i="12" s="1"/>
  <c r="O122" i="12"/>
  <c r="P122" i="12" s="1"/>
  <c r="I122" i="12" s="1"/>
  <c r="C122" i="12" s="1"/>
  <c r="O131" i="12"/>
  <c r="P131" i="12" s="1"/>
  <c r="I131" i="12" s="1"/>
  <c r="C131" i="12" s="1"/>
  <c r="O128" i="12"/>
  <c r="P128" i="12" s="1"/>
  <c r="I128" i="12" s="1"/>
  <c r="C128" i="12" s="1"/>
  <c r="O121" i="12"/>
  <c r="P121" i="12" s="1"/>
  <c r="I121" i="12" s="1"/>
  <c r="C121" i="12" s="1"/>
  <c r="O129" i="12"/>
  <c r="P129" i="12" s="1"/>
  <c r="I129" i="12" s="1"/>
  <c r="C129" i="12" s="1"/>
  <c r="O110" i="12"/>
  <c r="P110" i="12" s="1"/>
  <c r="I110" i="12" s="1"/>
  <c r="C110" i="12" s="1"/>
  <c r="O116" i="12"/>
  <c r="P116" i="12" s="1"/>
  <c r="O120" i="12"/>
  <c r="P120" i="12" s="1"/>
  <c r="I120" i="12" s="1"/>
  <c r="C120" i="12" s="1"/>
  <c r="O114" i="12"/>
  <c r="P114" i="12" s="1"/>
  <c r="I114" i="12" s="1"/>
  <c r="C114" i="12" s="1"/>
  <c r="O100" i="12"/>
  <c r="P100" i="12" s="1"/>
  <c r="I100" i="12" s="1"/>
  <c r="C100" i="12" s="1"/>
  <c r="O109" i="12"/>
  <c r="P109" i="12" s="1"/>
  <c r="I109" i="12" s="1"/>
  <c r="C109" i="12" s="1"/>
  <c r="O115" i="12"/>
  <c r="P115" i="12" s="1"/>
  <c r="I115" i="12" s="1"/>
  <c r="C115" i="12" s="1"/>
  <c r="O102" i="12"/>
  <c r="P102" i="12" s="1"/>
  <c r="I102" i="12" s="1"/>
  <c r="C102" i="12" s="1"/>
  <c r="O111" i="12"/>
  <c r="P111" i="12" s="1"/>
  <c r="I111" i="12" s="1"/>
  <c r="C111" i="12" s="1"/>
  <c r="O107" i="12"/>
  <c r="P107" i="12" s="1"/>
  <c r="I107" i="12" s="1"/>
  <c r="C107" i="12" s="1"/>
  <c r="O108" i="12"/>
  <c r="P108" i="12" s="1"/>
  <c r="I108" i="12" s="1"/>
  <c r="C108" i="12" s="1"/>
  <c r="O105" i="12"/>
  <c r="P105" i="12" s="1"/>
  <c r="I105" i="12" s="1"/>
  <c r="C105" i="12" s="1"/>
  <c r="O101" i="12"/>
  <c r="P101" i="12" s="1"/>
  <c r="I101" i="12" s="1"/>
  <c r="C101" i="12" s="1"/>
  <c r="O117" i="12"/>
  <c r="P117" i="12" s="1"/>
  <c r="I117" i="12" s="1"/>
  <c r="C117" i="12" s="1"/>
  <c r="O99" i="12"/>
  <c r="P99" i="12" s="1"/>
  <c r="I99" i="12" s="1"/>
  <c r="C99" i="12" s="1"/>
  <c r="O104" i="12"/>
  <c r="P104" i="12" s="1"/>
  <c r="I104" i="12" s="1"/>
  <c r="C104" i="12" s="1"/>
  <c r="O98" i="12"/>
  <c r="P98" i="12" s="1"/>
  <c r="I98" i="12" s="1"/>
  <c r="C98" i="12" s="1"/>
  <c r="O119" i="12"/>
  <c r="P119" i="12" s="1"/>
  <c r="O17" i="12"/>
  <c r="P17" i="12" s="1"/>
  <c r="I17" i="12" s="1"/>
  <c r="C17" i="12" s="1"/>
  <c r="O106" i="12"/>
  <c r="P106" i="12" s="1"/>
  <c r="O103" i="12"/>
  <c r="P103" i="12" s="1"/>
  <c r="I103" i="12" s="1"/>
  <c r="C103" i="12" s="1"/>
  <c r="O113" i="12"/>
  <c r="P113" i="12" s="1"/>
  <c r="I113" i="12" s="1"/>
  <c r="C113" i="12" s="1"/>
  <c r="O118" i="12"/>
  <c r="P118" i="12" s="1"/>
  <c r="I118" i="12" s="1"/>
  <c r="C118" i="12" s="1"/>
  <c r="O112" i="12"/>
  <c r="P112" i="12" s="1"/>
  <c r="I112" i="12" s="1"/>
  <c r="C112" i="12" s="1"/>
  <c r="O124" i="12"/>
  <c r="P124" i="12" s="1"/>
  <c r="I124" i="12" s="1"/>
  <c r="C124" i="12" s="1"/>
  <c r="O18" i="12"/>
  <c r="P18" i="12" s="1"/>
  <c r="I18" i="12" s="1"/>
  <c r="C18" i="12" s="1"/>
  <c r="O37" i="12"/>
  <c r="P37" i="12" s="1"/>
  <c r="I37" i="12" s="1"/>
  <c r="C37" i="12" s="1"/>
  <c r="O35" i="12"/>
  <c r="P35" i="12" s="1"/>
  <c r="I35" i="12" s="1"/>
  <c r="C35" i="12" s="1"/>
  <c r="O36" i="12"/>
  <c r="P36" i="12" s="1"/>
  <c r="Q36" i="12" s="1"/>
  <c r="R36" i="12" s="1"/>
  <c r="O38" i="12"/>
  <c r="P38" i="12" s="1"/>
  <c r="I38" i="12" s="1"/>
  <c r="C38" i="12" s="1"/>
  <c r="O44" i="12"/>
  <c r="P44" i="12" s="1"/>
  <c r="I44" i="12" s="1"/>
  <c r="C44" i="12" s="1"/>
  <c r="O32" i="12"/>
  <c r="P32" i="12" s="1"/>
  <c r="I32" i="12" s="1"/>
  <c r="C32" i="12" s="1"/>
  <c r="O30" i="12"/>
  <c r="P30" i="12" s="1"/>
  <c r="I30" i="12" s="1"/>
  <c r="C30" i="12" s="1"/>
  <c r="O33" i="12"/>
  <c r="P33" i="12" s="1"/>
  <c r="I33" i="12" s="1"/>
  <c r="C33" i="12" s="1"/>
  <c r="O34" i="12"/>
  <c r="P34" i="12" s="1"/>
  <c r="I34" i="12" s="1"/>
  <c r="C34" i="12" s="1"/>
  <c r="O41" i="12"/>
  <c r="P41" i="12" s="1"/>
  <c r="I41" i="12" s="1"/>
  <c r="C41" i="12" s="1"/>
  <c r="O20" i="12"/>
  <c r="P20" i="12" s="1"/>
  <c r="I20" i="12" s="1"/>
  <c r="C20" i="12" s="1"/>
  <c r="O39" i="12"/>
  <c r="P39" i="12" s="1"/>
  <c r="I39" i="12" s="1"/>
  <c r="C39" i="12" s="1"/>
  <c r="O40" i="12"/>
  <c r="P40" i="12" s="1"/>
  <c r="I40" i="12" s="1"/>
  <c r="C40" i="12" s="1"/>
  <c r="O26" i="12"/>
  <c r="P26" i="12" s="1"/>
  <c r="I26" i="12" s="1"/>
  <c r="C26" i="12" s="1"/>
  <c r="O25" i="12"/>
  <c r="P25" i="12" s="1"/>
  <c r="I25" i="12" s="1"/>
  <c r="C25" i="12" s="1"/>
  <c r="O28" i="12"/>
  <c r="P28" i="12" s="1"/>
  <c r="I28" i="12" s="1"/>
  <c r="C28" i="12" s="1"/>
  <c r="O29" i="12"/>
  <c r="P29" i="12" s="1"/>
  <c r="I29" i="12" s="1"/>
  <c r="C29" i="12" s="1"/>
  <c r="O27" i="12"/>
  <c r="P27" i="12" s="1"/>
  <c r="I27" i="12" s="1"/>
  <c r="C27" i="12" s="1"/>
  <c r="O83" i="12"/>
  <c r="P83" i="12" s="1"/>
  <c r="I83" i="12" s="1"/>
  <c r="C83" i="12" s="1"/>
  <c r="O91" i="12"/>
  <c r="P91" i="12" s="1"/>
  <c r="Q91" i="12" s="1"/>
  <c r="R91" i="12" s="1"/>
  <c r="O63" i="12"/>
  <c r="P63" i="12" s="1"/>
  <c r="I63" i="12" s="1"/>
  <c r="C63" i="12" s="1"/>
  <c r="O61" i="12"/>
  <c r="P61" i="12" s="1"/>
  <c r="I61" i="12" s="1"/>
  <c r="C61" i="12" s="1"/>
  <c r="O82" i="12"/>
  <c r="P82" i="12" s="1"/>
  <c r="I82" i="12" s="1"/>
  <c r="C82" i="12" s="1"/>
  <c r="O62" i="12"/>
  <c r="P62" i="12" s="1"/>
  <c r="I62" i="12" s="1"/>
  <c r="C62" i="12" s="1"/>
  <c r="O85" i="12"/>
  <c r="P85" i="12" s="1"/>
  <c r="I85" i="12" s="1"/>
  <c r="C85" i="12" s="1"/>
  <c r="O89" i="12"/>
  <c r="P89" i="12" s="1"/>
  <c r="I89" i="12" s="1"/>
  <c r="C89" i="12" s="1"/>
  <c r="O97" i="12"/>
  <c r="P97" i="12" s="1"/>
  <c r="I97" i="12" s="1"/>
  <c r="C97" i="12" s="1"/>
  <c r="O80" i="12"/>
  <c r="P80" i="12" s="1"/>
  <c r="I80" i="12" s="1"/>
  <c r="C80" i="12" s="1"/>
  <c r="O84" i="12"/>
  <c r="P84" i="12" s="1"/>
  <c r="I84" i="12" s="1"/>
  <c r="C84" i="12" s="1"/>
  <c r="O92" i="12"/>
  <c r="P92" i="12" s="1"/>
  <c r="I92" i="12" s="1"/>
  <c r="C92" i="12" s="1"/>
  <c r="O96" i="12"/>
  <c r="P96" i="12" s="1"/>
  <c r="I96" i="12" s="1"/>
  <c r="C96" i="12" s="1"/>
  <c r="O81" i="12"/>
  <c r="P81" i="12" s="1"/>
  <c r="I81" i="12" s="1"/>
  <c r="C81" i="12" s="1"/>
  <c r="O86" i="12"/>
  <c r="P86" i="12" s="1"/>
  <c r="I86" i="12" s="1"/>
  <c r="C86" i="12" s="1"/>
  <c r="O93" i="12"/>
  <c r="P93" i="12" s="1"/>
  <c r="I93" i="12" s="1"/>
  <c r="C93" i="12" s="1"/>
  <c r="O94" i="12"/>
  <c r="P94" i="12" s="1"/>
  <c r="I94" i="12" s="1"/>
  <c r="C94" i="12" s="1"/>
  <c r="O79" i="12"/>
  <c r="P79" i="12" s="1"/>
  <c r="I79" i="12" s="1"/>
  <c r="C79" i="12" s="1"/>
  <c r="O95" i="12"/>
  <c r="P95" i="12" s="1"/>
  <c r="I95" i="12" s="1"/>
  <c r="C95" i="12" s="1"/>
  <c r="O88" i="12"/>
  <c r="P88" i="12" s="1"/>
  <c r="I88" i="12" s="1"/>
  <c r="C88" i="12" s="1"/>
  <c r="O90" i="12"/>
  <c r="P90" i="12" s="1"/>
  <c r="I90" i="12" s="1"/>
  <c r="C90" i="12" s="1"/>
  <c r="N78" i="12"/>
  <c r="P78" i="12" s="1"/>
  <c r="I78" i="12" s="1"/>
  <c r="C78" i="12" s="1"/>
  <c r="O87" i="12"/>
  <c r="P87" i="12" s="1"/>
  <c r="I87" i="12" s="1"/>
  <c r="C87" i="12" s="1"/>
  <c r="O5" i="13"/>
  <c r="P5" i="13" s="1"/>
  <c r="I5" i="13" s="1"/>
  <c r="C5" i="13" s="1"/>
  <c r="O9" i="13"/>
  <c r="P9" i="13" s="1"/>
  <c r="I9" i="13" s="1"/>
  <c r="C9" i="13" s="1"/>
  <c r="O21" i="13"/>
  <c r="P21" i="13" s="1"/>
  <c r="Q21" i="13" s="1"/>
  <c r="R21" i="13" s="1"/>
  <c r="O14" i="13"/>
  <c r="P14" i="13" s="1"/>
  <c r="I14" i="13" s="1"/>
  <c r="C14" i="13" s="1"/>
  <c r="O22" i="13"/>
  <c r="P22" i="13" s="1"/>
  <c r="I22" i="13" s="1"/>
  <c r="C22" i="13" s="1"/>
  <c r="N4" i="13"/>
  <c r="O19" i="13"/>
  <c r="P19" i="13" s="1"/>
  <c r="I19" i="13" s="1"/>
  <c r="C19" i="13" s="1"/>
  <c r="O13" i="13"/>
  <c r="P13" i="13" s="1"/>
  <c r="I13" i="13" s="1"/>
  <c r="C13" i="13" s="1"/>
  <c r="O16" i="13"/>
  <c r="P16" i="13" s="1"/>
  <c r="I16" i="13" s="1"/>
  <c r="C16" i="13" s="1"/>
  <c r="O20" i="13"/>
  <c r="P20" i="13" s="1"/>
  <c r="I20" i="13" s="1"/>
  <c r="C20" i="13" s="1"/>
  <c r="O17" i="13"/>
  <c r="O23" i="13"/>
  <c r="P23" i="13" s="1"/>
  <c r="I23" i="13" s="1"/>
  <c r="C23" i="13" s="1"/>
  <c r="O10" i="13"/>
  <c r="P10" i="13" s="1"/>
  <c r="I10" i="13" s="1"/>
  <c r="C10" i="13" s="1"/>
  <c r="O11" i="13"/>
  <c r="P11" i="13" s="1"/>
  <c r="I11" i="13" s="1"/>
  <c r="C11" i="13" s="1"/>
  <c r="O7" i="13"/>
  <c r="P7" i="13" s="1"/>
  <c r="I7" i="13" s="1"/>
  <c r="C7" i="13" s="1"/>
  <c r="O18" i="13"/>
  <c r="P18" i="13" s="1"/>
  <c r="I18" i="13" s="1"/>
  <c r="C18" i="13" s="1"/>
  <c r="O8" i="13"/>
  <c r="P8" i="13" s="1"/>
  <c r="P4" i="13"/>
  <c r="I4" i="13" s="1"/>
  <c r="C4" i="13" s="1"/>
  <c r="O4" i="13"/>
  <c r="Q22" i="13"/>
  <c r="R22" i="13" s="1"/>
  <c r="Q9" i="13"/>
  <c r="R9" i="13" s="1"/>
  <c r="Q12" i="13"/>
  <c r="R12" i="13" s="1"/>
  <c r="I12" i="13"/>
  <c r="C12" i="13" s="1"/>
  <c r="O15" i="13"/>
  <c r="P15" i="13" s="1"/>
  <c r="I15" i="13" s="1"/>
  <c r="C15" i="13" s="1"/>
  <c r="I21" i="13"/>
  <c r="C21" i="13" s="1"/>
  <c r="O6" i="13"/>
  <c r="P6" i="13" s="1"/>
  <c r="I6" i="13" s="1"/>
  <c r="C6" i="13" s="1"/>
  <c r="N55" i="12"/>
  <c r="O55" i="12" s="1"/>
  <c r="O69" i="12"/>
  <c r="P69" i="12" s="1"/>
  <c r="I69" i="12" s="1"/>
  <c r="C69" i="12" s="1"/>
  <c r="O70" i="12"/>
  <c r="P70" i="12" s="1"/>
  <c r="I70" i="12" s="1"/>
  <c r="C70" i="12" s="1"/>
  <c r="O65" i="12"/>
  <c r="P65" i="12" s="1"/>
  <c r="I65" i="12" s="1"/>
  <c r="C65" i="12" s="1"/>
  <c r="O56" i="12"/>
  <c r="P56" i="12" s="1"/>
  <c r="I56" i="12" s="1"/>
  <c r="C56" i="12" s="1"/>
  <c r="O57" i="12"/>
  <c r="P57" i="12" s="1"/>
  <c r="I57" i="12" s="1"/>
  <c r="C57" i="12" s="1"/>
  <c r="O68" i="12"/>
  <c r="P68" i="12" s="1"/>
  <c r="I68" i="12" s="1"/>
  <c r="C68" i="12" s="1"/>
  <c r="O12" i="12"/>
  <c r="P12" i="12" s="1"/>
  <c r="I12" i="12" s="1"/>
  <c r="C12" i="12" s="1"/>
  <c r="O59" i="12"/>
  <c r="P59" i="12" s="1"/>
  <c r="I59" i="12" s="1"/>
  <c r="C59" i="12" s="1"/>
  <c r="O53" i="12"/>
  <c r="P53" i="12" s="1"/>
  <c r="I53" i="12" s="1"/>
  <c r="C53" i="12" s="1"/>
  <c r="O52" i="12"/>
  <c r="P52" i="12" s="1"/>
  <c r="I52" i="12" s="1"/>
  <c r="C52" i="12" s="1"/>
  <c r="O50" i="12"/>
  <c r="P50" i="12" s="1"/>
  <c r="I50" i="12" s="1"/>
  <c r="C50" i="12" s="1"/>
  <c r="O49" i="12"/>
  <c r="P49" i="12" s="1"/>
  <c r="I49" i="12" s="1"/>
  <c r="C49" i="12" s="1"/>
  <c r="O48" i="12"/>
  <c r="P48" i="12" s="1"/>
  <c r="I48" i="12" s="1"/>
  <c r="C48" i="12" s="1"/>
  <c r="O47" i="12"/>
  <c r="P47" i="12" s="1"/>
  <c r="I47" i="12" s="1"/>
  <c r="C47" i="12" s="1"/>
  <c r="O46" i="12"/>
  <c r="P46" i="12" s="1"/>
  <c r="I46" i="12" s="1"/>
  <c r="C46" i="12" s="1"/>
  <c r="O45" i="12"/>
  <c r="P45" i="12" s="1"/>
  <c r="I45" i="12" s="1"/>
  <c r="C45" i="12" s="1"/>
  <c r="O43" i="12"/>
  <c r="P43" i="12" s="1"/>
  <c r="I43" i="12" s="1"/>
  <c r="C43" i="12" s="1"/>
  <c r="O42" i="12"/>
  <c r="P42" i="12" s="1"/>
  <c r="I42" i="12" s="1"/>
  <c r="C42" i="12" s="1"/>
  <c r="O31" i="12"/>
  <c r="P31" i="12" s="1"/>
  <c r="I31" i="12" s="1"/>
  <c r="C31" i="12" s="1"/>
  <c r="O51" i="12"/>
  <c r="P51" i="12" s="1"/>
  <c r="I51" i="12" s="1"/>
  <c r="C51" i="12" s="1"/>
  <c r="O22" i="12"/>
  <c r="P22" i="12" s="1"/>
  <c r="I22" i="12" s="1"/>
  <c r="C22" i="12" s="1"/>
  <c r="O21" i="12"/>
  <c r="P21" i="12" s="1"/>
  <c r="I21" i="12" s="1"/>
  <c r="C21" i="12" s="1"/>
  <c r="O76" i="12"/>
  <c r="P76" i="12" s="1"/>
  <c r="I76" i="12" s="1"/>
  <c r="C76" i="12" s="1"/>
  <c r="O75" i="12"/>
  <c r="P75" i="12" s="1"/>
  <c r="I75" i="12" s="1"/>
  <c r="C75" i="12" s="1"/>
  <c r="O74" i="12"/>
  <c r="P74" i="12" s="1"/>
  <c r="I74" i="12" s="1"/>
  <c r="C74" i="12" s="1"/>
  <c r="O73" i="12"/>
  <c r="P73" i="12" s="1"/>
  <c r="I73" i="12" s="1"/>
  <c r="C73" i="12" s="1"/>
  <c r="O72" i="12"/>
  <c r="P72" i="12" s="1"/>
  <c r="I72" i="12" s="1"/>
  <c r="C72" i="12" s="1"/>
  <c r="O67" i="12"/>
  <c r="P67" i="12" s="1"/>
  <c r="I67" i="12" s="1"/>
  <c r="C67" i="12" s="1"/>
  <c r="O66" i="12"/>
  <c r="P66" i="12" s="1"/>
  <c r="I66" i="12" s="1"/>
  <c r="C66" i="12" s="1"/>
  <c r="O64" i="12"/>
  <c r="P64" i="12" s="1"/>
  <c r="I64" i="12" s="1"/>
  <c r="C64" i="12" s="1"/>
  <c r="O71" i="12"/>
  <c r="P71" i="12" s="1"/>
  <c r="I71" i="12" s="1"/>
  <c r="C71" i="12" s="1"/>
  <c r="O60" i="12"/>
  <c r="P60" i="12" s="1"/>
  <c r="I60" i="12" s="1"/>
  <c r="C60" i="12" s="1"/>
  <c r="O58" i="12"/>
  <c r="P58" i="12" s="1"/>
  <c r="I58" i="12" s="1"/>
  <c r="C58" i="12" s="1"/>
  <c r="O10" i="12"/>
  <c r="P10" i="12" s="1"/>
  <c r="I10" i="12" s="1"/>
  <c r="C10" i="12" s="1"/>
  <c r="O5" i="12"/>
  <c r="P5" i="12" s="1"/>
  <c r="O9" i="12"/>
  <c r="P9" i="12" s="1"/>
  <c r="O11" i="12"/>
  <c r="P11" i="12" s="1"/>
  <c r="O8" i="12"/>
  <c r="P8" i="12" s="1"/>
  <c r="O7" i="12"/>
  <c r="P7" i="12" s="1"/>
  <c r="I7" i="12" s="1"/>
  <c r="C7" i="12" s="1"/>
  <c r="O6" i="12"/>
  <c r="P6" i="12" s="1"/>
  <c r="I6" i="12" s="1"/>
  <c r="C6" i="12" s="1"/>
  <c r="N4" i="12"/>
  <c r="O4" i="12" s="1"/>
  <c r="P81" i="7"/>
  <c r="P60" i="1"/>
  <c r="Q60" i="1" s="1"/>
  <c r="I60" i="1" s="1"/>
  <c r="C60" i="1" s="1"/>
  <c r="P12" i="1"/>
  <c r="Q12" i="1" s="1"/>
  <c r="I12" i="1" s="1"/>
  <c r="C12" i="1" s="1"/>
  <c r="P20" i="1"/>
  <c r="Q20" i="1" s="1"/>
  <c r="I20" i="1" s="1"/>
  <c r="C20" i="1" s="1"/>
  <c r="P39" i="1"/>
  <c r="Q39" i="1" s="1"/>
  <c r="I39" i="1" s="1"/>
  <c r="C39" i="1" s="1"/>
  <c r="P6" i="1"/>
  <c r="Q6" i="1" s="1"/>
  <c r="I6" i="1" s="1"/>
  <c r="C6" i="1" s="1"/>
  <c r="P35" i="1"/>
  <c r="Q35" i="1" s="1"/>
  <c r="I35" i="1" s="1"/>
  <c r="C35" i="1" s="1"/>
  <c r="P34" i="1"/>
  <c r="Q34" i="1" s="1"/>
  <c r="I34" i="1" s="1"/>
  <c r="C34" i="1" s="1"/>
  <c r="P36" i="1"/>
  <c r="Q36" i="1" s="1"/>
  <c r="N23" i="10"/>
  <c r="O23" i="10" s="1"/>
  <c r="H23" i="10" s="1"/>
  <c r="C23" i="10" s="1"/>
  <c r="N25" i="10"/>
  <c r="O25" i="10" s="1"/>
  <c r="H25" i="10" s="1"/>
  <c r="C25" i="10" s="1"/>
  <c r="N6" i="10"/>
  <c r="O6" i="10" s="1"/>
  <c r="H6" i="10" s="1"/>
  <c r="C6" i="10" s="1"/>
  <c r="N5" i="10"/>
  <c r="O5" i="10" s="1"/>
  <c r="H5" i="10" s="1"/>
  <c r="C5" i="10" s="1"/>
  <c r="N30" i="11"/>
  <c r="O30" i="11" s="1"/>
  <c r="H30" i="11" s="1"/>
  <c r="C30" i="11" s="1"/>
  <c r="N28" i="11"/>
  <c r="O28" i="11" s="1"/>
  <c r="H28" i="11" s="1"/>
  <c r="C28" i="11" s="1"/>
  <c r="N27" i="11"/>
  <c r="O27" i="11" s="1"/>
  <c r="H27" i="11" s="1"/>
  <c r="C27" i="11" s="1"/>
  <c r="N29" i="11"/>
  <c r="O29" i="11" s="1"/>
  <c r="H29" i="11" s="1"/>
  <c r="C29" i="11" s="1"/>
  <c r="N26" i="11"/>
  <c r="O26" i="11" s="1"/>
  <c r="H26" i="11" s="1"/>
  <c r="C26" i="11" s="1"/>
  <c r="N25" i="11"/>
  <c r="O25" i="11" s="1"/>
  <c r="H25" i="11" s="1"/>
  <c r="C25" i="11" s="1"/>
  <c r="N55" i="10"/>
  <c r="O55" i="10" s="1"/>
  <c r="H55" i="10" s="1"/>
  <c r="C55" i="10" s="1"/>
  <c r="N56" i="10"/>
  <c r="O56" i="10" s="1"/>
  <c r="H56" i="10" s="1"/>
  <c r="C56" i="10" s="1"/>
  <c r="N59" i="10"/>
  <c r="O59" i="10" s="1"/>
  <c r="H59" i="10" s="1"/>
  <c r="C59" i="10" s="1"/>
  <c r="N66" i="10"/>
  <c r="O66" i="10" s="1"/>
  <c r="H66" i="10" s="1"/>
  <c r="C66" i="10" s="1"/>
  <c r="N67" i="10"/>
  <c r="O67" i="10" s="1"/>
  <c r="H67" i="10" s="1"/>
  <c r="C67" i="10" s="1"/>
  <c r="N68" i="10"/>
  <c r="O68" i="10" s="1"/>
  <c r="H68" i="10" s="1"/>
  <c r="C68" i="10" s="1"/>
  <c r="N65" i="10"/>
  <c r="O65" i="10" s="1"/>
  <c r="H65" i="10" s="1"/>
  <c r="C65" i="10" s="1"/>
  <c r="N54" i="10"/>
  <c r="O54" i="10" s="1"/>
  <c r="H54" i="10" s="1"/>
  <c r="C54" i="10" s="1"/>
  <c r="N45" i="10"/>
  <c r="O45" i="10" s="1"/>
  <c r="H45" i="10" s="1"/>
  <c r="C45" i="10" s="1"/>
  <c r="N44" i="10"/>
  <c r="O44" i="10" s="1"/>
  <c r="H44" i="10" s="1"/>
  <c r="C44" i="10" s="1"/>
  <c r="N43" i="10"/>
  <c r="O43" i="10" s="1"/>
  <c r="H43" i="10" s="1"/>
  <c r="C43" i="10" s="1"/>
  <c r="N42" i="10"/>
  <c r="O42" i="10" s="1"/>
  <c r="H42" i="10" s="1"/>
  <c r="C42" i="10" s="1"/>
  <c r="N41" i="10"/>
  <c r="O41" i="10" s="1"/>
  <c r="H41" i="10" s="1"/>
  <c r="C41" i="10" s="1"/>
  <c r="N57" i="10"/>
  <c r="O57" i="10" s="1"/>
  <c r="H57" i="10" s="1"/>
  <c r="C57" i="10" s="1"/>
  <c r="N58" i="10"/>
  <c r="O58" i="10" s="1"/>
  <c r="H58" i="10" s="1"/>
  <c r="C58" i="10" s="1"/>
  <c r="N61" i="10"/>
  <c r="O61" i="10" s="1"/>
  <c r="H61" i="10" s="1"/>
  <c r="C61" i="10" s="1"/>
  <c r="N60" i="10"/>
  <c r="O60" i="10" s="1"/>
  <c r="H60" i="10" s="1"/>
  <c r="C60" i="10" s="1"/>
  <c r="N62" i="10"/>
  <c r="O62" i="10" s="1"/>
  <c r="H62" i="10" s="1"/>
  <c r="C62" i="10" s="1"/>
  <c r="N64" i="10"/>
  <c r="O64" i="10" s="1"/>
  <c r="H64" i="10" s="1"/>
  <c r="C64" i="10" s="1"/>
  <c r="N63" i="10"/>
  <c r="O63" i="10" s="1"/>
  <c r="H63" i="10" s="1"/>
  <c r="C63" i="10" s="1"/>
  <c r="N39" i="10"/>
  <c r="O39" i="10" s="1"/>
  <c r="H39" i="10" s="1"/>
  <c r="C39" i="10" s="1"/>
  <c r="N40" i="10"/>
  <c r="O40" i="10" s="1"/>
  <c r="H40" i="10" s="1"/>
  <c r="C40" i="10" s="1"/>
  <c r="N29" i="10"/>
  <c r="O29" i="10" s="1"/>
  <c r="H29" i="10" s="1"/>
  <c r="C29" i="10" s="1"/>
  <c r="N9" i="10"/>
  <c r="O9" i="10" s="1"/>
  <c r="H9" i="10" s="1"/>
  <c r="C9" i="10" s="1"/>
  <c r="N14" i="10"/>
  <c r="O14" i="10" s="1"/>
  <c r="H14" i="10" s="1"/>
  <c r="C14" i="10" s="1"/>
  <c r="N21" i="10"/>
  <c r="O21" i="10" s="1"/>
  <c r="H21" i="10" s="1"/>
  <c r="C21" i="10" s="1"/>
  <c r="N3" i="10"/>
  <c r="O3" i="10" s="1"/>
  <c r="H3" i="10" s="1"/>
  <c r="C3" i="10" s="1"/>
  <c r="N12" i="10"/>
  <c r="O12" i="10" s="1"/>
  <c r="H12" i="10" s="1"/>
  <c r="C12" i="10" s="1"/>
  <c r="N17" i="10"/>
  <c r="O17" i="10" s="1"/>
  <c r="H17" i="10" s="1"/>
  <c r="C17" i="10" s="1"/>
  <c r="N16" i="10"/>
  <c r="O16" i="10" s="1"/>
  <c r="H16" i="10" s="1"/>
  <c r="C16" i="10" s="1"/>
  <c r="N18" i="10"/>
  <c r="O18" i="10" s="1"/>
  <c r="H18" i="10" s="1"/>
  <c r="C18" i="10" s="1"/>
  <c r="N15" i="10"/>
  <c r="O15" i="10" s="1"/>
  <c r="H15" i="10" s="1"/>
  <c r="C15" i="10" s="1"/>
  <c r="N13" i="10"/>
  <c r="O13" i="10" s="1"/>
  <c r="H13" i="10" s="1"/>
  <c r="C13" i="10" s="1"/>
  <c r="N11" i="10"/>
  <c r="O11" i="10" s="1"/>
  <c r="H11" i="10" s="1"/>
  <c r="C11" i="10" s="1"/>
  <c r="N10" i="10"/>
  <c r="O10" i="10" s="1"/>
  <c r="H10" i="10" s="1"/>
  <c r="C10" i="10" s="1"/>
  <c r="N8" i="10"/>
  <c r="O8" i="10" s="1"/>
  <c r="H8" i="10" s="1"/>
  <c r="N7" i="10"/>
  <c r="O7" i="10" s="1"/>
  <c r="H7" i="10" s="1"/>
  <c r="C7" i="10" s="1"/>
  <c r="N4" i="10"/>
  <c r="O4" i="10" s="1"/>
  <c r="H4" i="10" s="1"/>
  <c r="C4" i="10" s="1"/>
  <c r="N22" i="10"/>
  <c r="O22" i="10" s="1"/>
  <c r="H22" i="10" s="1"/>
  <c r="C22" i="10" s="1"/>
  <c r="N26" i="10"/>
  <c r="O26" i="10" s="1"/>
  <c r="H26" i="10" s="1"/>
  <c r="C26" i="10" s="1"/>
  <c r="N19" i="10"/>
  <c r="O19" i="10" s="1"/>
  <c r="H19" i="10" s="1"/>
  <c r="C19" i="10" s="1"/>
  <c r="N20" i="10"/>
  <c r="O20" i="10" s="1"/>
  <c r="H20" i="10" s="1"/>
  <c r="C20" i="10" s="1"/>
  <c r="N30" i="10"/>
  <c r="O30" i="10" s="1"/>
  <c r="H30" i="10" s="1"/>
  <c r="C30" i="10" s="1"/>
  <c r="N31" i="10"/>
  <c r="O31" i="10" s="1"/>
  <c r="H31" i="10" s="1"/>
  <c r="C31" i="10" s="1"/>
  <c r="N32" i="10"/>
  <c r="O32" i="10" s="1"/>
  <c r="H32" i="10" s="1"/>
  <c r="C32" i="10" s="1"/>
  <c r="N33" i="10"/>
  <c r="O33" i="10" s="1"/>
  <c r="H33" i="10" s="1"/>
  <c r="C33" i="10" s="1"/>
  <c r="N34" i="10"/>
  <c r="O34" i="10" s="1"/>
  <c r="H34" i="10" s="1"/>
  <c r="C34" i="10" s="1"/>
  <c r="N35" i="10"/>
  <c r="O35" i="10" s="1"/>
  <c r="H35" i="10" s="1"/>
  <c r="C35" i="10" s="1"/>
  <c r="N36" i="10"/>
  <c r="O36" i="10" s="1"/>
  <c r="H36" i="10" s="1"/>
  <c r="C36" i="10" s="1"/>
  <c r="N37" i="10"/>
  <c r="O37" i="10" s="1"/>
  <c r="H37" i="10" s="1"/>
  <c r="C37" i="10" s="1"/>
  <c r="N38" i="10"/>
  <c r="O38" i="10" s="1"/>
  <c r="H38" i="10" s="1"/>
  <c r="C38" i="10" s="1"/>
  <c r="N49" i="10"/>
  <c r="O49" i="10" s="1"/>
  <c r="H49" i="10" s="1"/>
  <c r="C49" i="10" s="1"/>
  <c r="N47" i="10"/>
  <c r="O47" i="10" s="1"/>
  <c r="H47" i="10" s="1"/>
  <c r="C47" i="10" s="1"/>
  <c r="N52" i="10"/>
  <c r="O52" i="10" s="1"/>
  <c r="H52" i="10" s="1"/>
  <c r="C52" i="10" s="1"/>
  <c r="N28" i="10"/>
  <c r="O28" i="10" s="1"/>
  <c r="H28" i="10" s="1"/>
  <c r="C28" i="10" s="1"/>
  <c r="N50" i="10"/>
  <c r="O50" i="10" s="1"/>
  <c r="H50" i="10" s="1"/>
  <c r="C50" i="10" s="1"/>
  <c r="N46" i="10"/>
  <c r="O46" i="10" s="1"/>
  <c r="H46" i="10" s="1"/>
  <c r="C46" i="10" s="1"/>
  <c r="N51" i="10"/>
  <c r="O51" i="10" s="1"/>
  <c r="H51" i="10" s="1"/>
  <c r="C51" i="10" s="1"/>
  <c r="N48" i="10"/>
  <c r="O48" i="10" s="1"/>
  <c r="H48" i="10" s="1"/>
  <c r="C48" i="10" s="1"/>
  <c r="N53" i="10"/>
  <c r="O53" i="10" s="1"/>
  <c r="H53" i="10" s="1"/>
  <c r="C53" i="10" s="1"/>
  <c r="N27" i="10"/>
  <c r="O27" i="10" s="1"/>
  <c r="H27" i="10" s="1"/>
  <c r="C27" i="10" s="1"/>
  <c r="P89" i="7"/>
  <c r="P30" i="1"/>
  <c r="Q30" i="1" s="1"/>
  <c r="I30" i="1" s="1"/>
  <c r="C30" i="1" s="1"/>
  <c r="P58" i="1"/>
  <c r="Q58" i="1" s="1"/>
  <c r="I58" i="1" s="1"/>
  <c r="C58" i="1" s="1"/>
  <c r="P57" i="1"/>
  <c r="Q57" i="1" s="1"/>
  <c r="I57" i="1" s="1"/>
  <c r="C57" i="1" s="1"/>
  <c r="P43" i="1"/>
  <c r="Q43" i="1" s="1"/>
  <c r="I43" i="1" s="1"/>
  <c r="C43" i="1" s="1"/>
  <c r="P84" i="1"/>
  <c r="Q84" i="1" s="1"/>
  <c r="I84" i="1" s="1"/>
  <c r="C84" i="1" s="1"/>
  <c r="P101" i="1"/>
  <c r="Q101" i="1" s="1"/>
  <c r="I101" i="1" s="1"/>
  <c r="C101" i="1" s="1"/>
  <c r="P81" i="1"/>
  <c r="Q81" i="1" s="1"/>
  <c r="I81" i="1" s="1"/>
  <c r="C81" i="1" s="1"/>
  <c r="P109" i="1"/>
  <c r="Q109" i="1" s="1"/>
  <c r="I109" i="1" s="1"/>
  <c r="C109" i="1" s="1"/>
  <c r="L42" i="7"/>
  <c r="M42" i="7"/>
  <c r="L148" i="7"/>
  <c r="Q26" i="7"/>
  <c r="M76" i="7"/>
  <c r="L26" i="7"/>
  <c r="M26" i="7"/>
  <c r="L36" i="7"/>
  <c r="M36" i="7"/>
  <c r="P36" i="7"/>
  <c r="L33" i="7"/>
  <c r="M33" i="7"/>
  <c r="P33" i="7"/>
  <c r="M37" i="7"/>
  <c r="Q125" i="7"/>
  <c r="L35" i="7"/>
  <c r="M35" i="7"/>
  <c r="P35" i="7"/>
  <c r="L145" i="7"/>
  <c r="M116" i="7"/>
  <c r="P37" i="7"/>
  <c r="M56" i="7"/>
  <c r="R56" i="7" s="1"/>
  <c r="S56" i="7" s="1"/>
  <c r="T56" i="7" s="1"/>
  <c r="C56" i="7" s="1"/>
  <c r="P124" i="7"/>
  <c r="Q28" i="7"/>
  <c r="L107" i="7"/>
  <c r="M107" i="7"/>
  <c r="P107" i="7"/>
  <c r="M71" i="7"/>
  <c r="L121" i="7"/>
  <c r="R121" i="7" s="1"/>
  <c r="S121" i="7" s="1"/>
  <c r="T121" i="7" s="1"/>
  <c r="C121" i="7" s="1"/>
  <c r="M53" i="7"/>
  <c r="R53" i="7" s="1"/>
  <c r="S53" i="7" s="1"/>
  <c r="T53" i="7" s="1"/>
  <c r="C53" i="7" s="1"/>
  <c r="L99" i="7"/>
  <c r="R99" i="7" s="1"/>
  <c r="S99" i="7" s="1"/>
  <c r="T99" i="7" s="1"/>
  <c r="C99" i="7" s="1"/>
  <c r="L110" i="7"/>
  <c r="R110" i="7" s="1"/>
  <c r="S110" i="7" s="1"/>
  <c r="T110" i="7" s="1"/>
  <c r="C110" i="7" s="1"/>
  <c r="M102" i="7"/>
  <c r="L146" i="7"/>
  <c r="L23" i="7"/>
  <c r="R23" i="7" s="1"/>
  <c r="S23" i="7" s="1"/>
  <c r="T23" i="7" s="1"/>
  <c r="C23" i="7" s="1"/>
  <c r="Q16" i="7"/>
  <c r="M83" i="7"/>
  <c r="R83" i="7" s="1"/>
  <c r="S83" i="7" s="1"/>
  <c r="T83" i="7" s="1"/>
  <c r="C83" i="7" s="1"/>
  <c r="L103" i="7"/>
  <c r="L34" i="7"/>
  <c r="L119" i="7"/>
  <c r="R119" i="7" s="1"/>
  <c r="S119" i="7" s="1"/>
  <c r="T119" i="7" s="1"/>
  <c r="C119" i="7" s="1"/>
  <c r="L104" i="7"/>
  <c r="L106" i="7"/>
  <c r="M104" i="7"/>
  <c r="P104" i="7"/>
  <c r="M6" i="7"/>
  <c r="R6" i="7" s="1"/>
  <c r="S6" i="7" s="1"/>
  <c r="T6" i="7" s="1"/>
  <c r="C6" i="7" s="1"/>
  <c r="L48" i="7"/>
  <c r="R48" i="7" s="1"/>
  <c r="S48" i="7" s="1"/>
  <c r="T48" i="7" s="1"/>
  <c r="C48" i="7" s="1"/>
  <c r="L27" i="7"/>
  <c r="M152" i="7"/>
  <c r="P39" i="7"/>
  <c r="L46" i="7"/>
  <c r="R46" i="7" s="1"/>
  <c r="S46" i="7" s="1"/>
  <c r="T46" i="7" s="1"/>
  <c r="C46" i="7" s="1"/>
  <c r="L51" i="7"/>
  <c r="R51" i="7" s="1"/>
  <c r="S51" i="7" s="1"/>
  <c r="T51" i="7" s="1"/>
  <c r="C51" i="7" s="1"/>
  <c r="P154" i="7"/>
  <c r="M63" i="7"/>
  <c r="M91" i="7"/>
  <c r="R91" i="7" s="1"/>
  <c r="S91" i="7" s="1"/>
  <c r="T91" i="7" s="1"/>
  <c r="C91" i="7" s="1"/>
  <c r="Q126" i="7"/>
  <c r="Q133" i="7"/>
  <c r="L155" i="7"/>
  <c r="M98" i="7"/>
  <c r="R98" i="7" s="1"/>
  <c r="S98" i="7" s="1"/>
  <c r="T98" i="7" s="1"/>
  <c r="C98" i="7" s="1"/>
  <c r="P103" i="7"/>
  <c r="P127" i="7"/>
  <c r="L122" i="7"/>
  <c r="R122" i="7" s="1"/>
  <c r="S122" i="7" s="1"/>
  <c r="T122" i="7" s="1"/>
  <c r="C122" i="7" s="1"/>
  <c r="M156" i="7"/>
  <c r="M86" i="7"/>
  <c r="R86" i="7" s="1"/>
  <c r="S86" i="7" s="1"/>
  <c r="T86" i="7" s="1"/>
  <c r="C86" i="7" s="1"/>
  <c r="L81" i="7"/>
  <c r="R81" i="7" s="1"/>
  <c r="S81" i="7" s="1"/>
  <c r="T81" i="7" s="1"/>
  <c r="C81" i="7" s="1"/>
  <c r="L92" i="7"/>
  <c r="L28" i="7"/>
  <c r="R28" i="7" s="1"/>
  <c r="S28" i="7" s="1"/>
  <c r="T28" i="7" s="1"/>
  <c r="C28" i="7" s="1"/>
  <c r="Q149" i="7"/>
  <c r="M105" i="7"/>
  <c r="M112" i="7"/>
  <c r="R112" i="7" s="1"/>
  <c r="S112" i="7" s="1"/>
  <c r="T112" i="7" s="1"/>
  <c r="C112" i="7" s="1"/>
  <c r="L39" i="7"/>
  <c r="M10" i="7"/>
  <c r="R10" i="7" s="1"/>
  <c r="S10" i="7" s="1"/>
  <c r="T10" i="7" s="1"/>
  <c r="C10" i="7" s="1"/>
  <c r="M66" i="7"/>
  <c r="R66" i="7" s="1"/>
  <c r="S66" i="7" s="1"/>
  <c r="T66" i="7" s="1"/>
  <c r="C66" i="7" s="1"/>
  <c r="M88" i="7"/>
  <c r="R88" i="7" s="1"/>
  <c r="S88" i="7" s="1"/>
  <c r="T88" i="7" s="1"/>
  <c r="C88" i="7" s="1"/>
  <c r="L94" i="7"/>
  <c r="R94" i="7" s="1"/>
  <c r="S94" i="7" s="1"/>
  <c r="T94" i="7" s="1"/>
  <c r="C94" i="7" s="1"/>
  <c r="M113" i="7"/>
  <c r="R113" i="7" s="1"/>
  <c r="S113" i="7" s="1"/>
  <c r="T113" i="7" s="1"/>
  <c r="C113" i="7" s="1"/>
  <c r="M138" i="7"/>
  <c r="M39" i="7"/>
  <c r="Q30" i="7"/>
  <c r="L78" i="7"/>
  <c r="R78" i="7" s="1"/>
  <c r="S78" i="7" s="1"/>
  <c r="T78" i="7" s="1"/>
  <c r="C78" i="7" s="1"/>
  <c r="M108" i="7"/>
  <c r="L139" i="7"/>
  <c r="L11" i="7"/>
  <c r="R11" i="7" s="1"/>
  <c r="S11" i="7" s="1"/>
  <c r="T11" i="7" s="1"/>
  <c r="C11" i="7" s="1"/>
  <c r="L73" i="7"/>
  <c r="R73" i="7" s="1"/>
  <c r="S73" i="7" s="1"/>
  <c r="T73" i="7" s="1"/>
  <c r="C73" i="7" s="1"/>
  <c r="L114" i="7"/>
  <c r="R114" i="7" s="1"/>
  <c r="S114" i="7" s="1"/>
  <c r="T114" i="7" s="1"/>
  <c r="C114" i="7" s="1"/>
  <c r="M153" i="7"/>
  <c r="Q17" i="7"/>
  <c r="Q31" i="7"/>
  <c r="M140" i="7"/>
  <c r="R140" i="7" s="1"/>
  <c r="S140" i="7" s="1"/>
  <c r="T140" i="7" s="1"/>
  <c r="C140" i="7" s="1"/>
  <c r="L19" i="7"/>
  <c r="R19" i="7" s="1"/>
  <c r="S19" i="7" s="1"/>
  <c r="T19" i="7" s="1"/>
  <c r="C19" i="7" s="1"/>
  <c r="L117" i="7"/>
  <c r="R117" i="7" s="1"/>
  <c r="S117" i="7" s="1"/>
  <c r="T117" i="7" s="1"/>
  <c r="C117" i="7" s="1"/>
  <c r="M58" i="7"/>
  <c r="R58" i="7" s="1"/>
  <c r="S58" i="7" s="1"/>
  <c r="T58" i="7" s="1"/>
  <c r="C58" i="7" s="1"/>
  <c r="L131" i="7"/>
  <c r="R131" i="7" s="1"/>
  <c r="S131" i="7" s="1"/>
  <c r="T131" i="7" s="1"/>
  <c r="C131" i="7" s="1"/>
  <c r="M15" i="7"/>
  <c r="R15" i="7" s="1"/>
  <c r="S15" i="7" s="1"/>
  <c r="T15" i="7" s="1"/>
  <c r="C15" i="7" s="1"/>
  <c r="M68" i="7"/>
  <c r="R68" i="7" s="1"/>
  <c r="S68" i="7" s="1"/>
  <c r="T68" i="7" s="1"/>
  <c r="C68" i="7" s="1"/>
  <c r="M93" i="7"/>
  <c r="Q93" i="7"/>
  <c r="M118" i="7"/>
  <c r="R118" i="7" s="1"/>
  <c r="S118" i="7" s="1"/>
  <c r="T118" i="7" s="1"/>
  <c r="C118" i="7" s="1"/>
  <c r="M127" i="7"/>
  <c r="Q138" i="7"/>
  <c r="L144" i="7"/>
  <c r="P148" i="7"/>
  <c r="R148" i="7" s="1"/>
  <c r="S148" i="7" s="1"/>
  <c r="T148" i="7" s="1"/>
  <c r="C148" i="7" s="1"/>
  <c r="M5" i="7"/>
  <c r="R5" i="7" s="1"/>
  <c r="S5" i="7" s="1"/>
  <c r="T5" i="7" s="1"/>
  <c r="C5" i="7" s="1"/>
  <c r="L16" i="7"/>
  <c r="L109" i="7"/>
  <c r="R109" i="7" s="1"/>
  <c r="S109" i="7" s="1"/>
  <c r="T109" i="7" s="1"/>
  <c r="C109" i="7" s="1"/>
  <c r="R63" i="7"/>
  <c r="S63" i="7" s="1"/>
  <c r="T63" i="7" s="1"/>
  <c r="C63" i="7" s="1"/>
  <c r="L123" i="7"/>
  <c r="Q144" i="7"/>
  <c r="P128" i="7"/>
  <c r="L134" i="7"/>
  <c r="M17" i="7"/>
  <c r="M29" i="7"/>
  <c r="L61" i="7"/>
  <c r="L95" i="7"/>
  <c r="R95" i="7" s="1"/>
  <c r="S95" i="7" s="1"/>
  <c r="T95" i="7" s="1"/>
  <c r="C95" i="7" s="1"/>
  <c r="L100" i="7"/>
  <c r="R100" i="7" s="1"/>
  <c r="S100" i="7" s="1"/>
  <c r="T100" i="7" s="1"/>
  <c r="C100" i="7" s="1"/>
  <c r="M124" i="7"/>
  <c r="L150" i="7"/>
  <c r="M61" i="7"/>
  <c r="M120" i="7"/>
  <c r="R120" i="7" s="1"/>
  <c r="S120" i="7" s="1"/>
  <c r="T120" i="7" s="1"/>
  <c r="C120" i="7" s="1"/>
  <c r="M129" i="7"/>
  <c r="R129" i="7" s="1"/>
  <c r="S129" i="7" s="1"/>
  <c r="T129" i="7" s="1"/>
  <c r="C129" i="7" s="1"/>
  <c r="L30" i="7"/>
  <c r="R76" i="7"/>
  <c r="S76" i="7" s="1"/>
  <c r="T76" i="7" s="1"/>
  <c r="C76" i="7" s="1"/>
  <c r="L141" i="7"/>
  <c r="R141" i="7" s="1"/>
  <c r="S141" i="7" s="1"/>
  <c r="T141" i="7" s="1"/>
  <c r="C141" i="7" s="1"/>
  <c r="L101" i="7"/>
  <c r="Q105" i="7"/>
  <c r="P156" i="7"/>
  <c r="M101" i="7"/>
  <c r="P146" i="7"/>
  <c r="L43" i="7"/>
  <c r="R43" i="7" s="1"/>
  <c r="S43" i="7" s="1"/>
  <c r="T43" i="7" s="1"/>
  <c r="C43" i="7" s="1"/>
  <c r="Q136" i="7"/>
  <c r="Q152" i="7"/>
  <c r="L31" i="7"/>
  <c r="L147" i="7"/>
  <c r="M55" i="7"/>
  <c r="L55" i="7"/>
  <c r="R102" i="7"/>
  <c r="S102" i="7" s="1"/>
  <c r="T102" i="7" s="1"/>
  <c r="C102" i="7" s="1"/>
  <c r="M125" i="7"/>
  <c r="L125" i="7"/>
  <c r="M128" i="7"/>
  <c r="M149" i="7"/>
  <c r="L149" i="7"/>
  <c r="P153" i="7"/>
  <c r="M59" i="7"/>
  <c r="L59" i="7"/>
  <c r="M85" i="7"/>
  <c r="L85" i="7"/>
  <c r="M89" i="7"/>
  <c r="L89" i="7"/>
  <c r="M111" i="7"/>
  <c r="R111" i="7" s="1"/>
  <c r="S111" i="7" s="1"/>
  <c r="T111" i="7" s="1"/>
  <c r="C111" i="7" s="1"/>
  <c r="M133" i="7"/>
  <c r="L133" i="7"/>
  <c r="P137" i="7"/>
  <c r="M74" i="7"/>
  <c r="L74" i="7"/>
  <c r="M115" i="7"/>
  <c r="R115" i="7" s="1"/>
  <c r="S115" i="7" s="1"/>
  <c r="T115" i="7" s="1"/>
  <c r="C115" i="7" s="1"/>
  <c r="L77" i="7"/>
  <c r="M45" i="7"/>
  <c r="L45" i="7"/>
  <c r="M52" i="7"/>
  <c r="R52" i="7" s="1"/>
  <c r="S52" i="7" s="1"/>
  <c r="T52" i="7" s="1"/>
  <c r="C52" i="7" s="1"/>
  <c r="L18" i="7"/>
  <c r="R18" i="7" s="1"/>
  <c r="S18" i="7" s="1"/>
  <c r="T18" i="7" s="1"/>
  <c r="C18" i="7" s="1"/>
  <c r="M49" i="7"/>
  <c r="L49" i="7"/>
  <c r="L67" i="7"/>
  <c r="M32" i="7"/>
  <c r="L32" i="7"/>
  <c r="L41" i="7"/>
  <c r="M60" i="7"/>
  <c r="L60" i="7"/>
  <c r="M67" i="7"/>
  <c r="P108" i="7"/>
  <c r="M142" i="7"/>
  <c r="M24" i="7"/>
  <c r="M70" i="7"/>
  <c r="L70" i="7"/>
  <c r="M21" i="7"/>
  <c r="R21" i="7" s="1"/>
  <c r="S21" i="7" s="1"/>
  <c r="T21" i="7" s="1"/>
  <c r="C21" i="7" s="1"/>
  <c r="Q40" i="7"/>
  <c r="L3" i="7"/>
  <c r="L25" i="7"/>
  <c r="P29" i="7"/>
  <c r="M41" i="7"/>
  <c r="M82" i="7"/>
  <c r="R82" i="7" s="1"/>
  <c r="S82" i="7" s="1"/>
  <c r="T82" i="7" s="1"/>
  <c r="C82" i="7" s="1"/>
  <c r="L142" i="7"/>
  <c r="M40" i="7"/>
  <c r="L40" i="7"/>
  <c r="M77" i="7"/>
  <c r="P92" i="7"/>
  <c r="L9" i="7"/>
  <c r="R9" i="7" s="1"/>
  <c r="S9" i="7" s="1"/>
  <c r="T9" i="7" s="1"/>
  <c r="C9" i="7" s="1"/>
  <c r="L13" i="7"/>
  <c r="R13" i="7" s="1"/>
  <c r="S13" i="7" s="1"/>
  <c r="T13" i="7" s="1"/>
  <c r="C13" i="7" s="1"/>
  <c r="M64" i="7"/>
  <c r="L64" i="7"/>
  <c r="R71" i="7"/>
  <c r="S71" i="7" s="1"/>
  <c r="T71" i="7" s="1"/>
  <c r="C71" i="7" s="1"/>
  <c r="L97" i="7"/>
  <c r="L130" i="7"/>
  <c r="L96" i="7"/>
  <c r="R96" i="7" s="1"/>
  <c r="S96" i="7" s="1"/>
  <c r="T96" i="7" s="1"/>
  <c r="C96" i="7" s="1"/>
  <c r="M137" i="7"/>
  <c r="M3" i="7"/>
  <c r="M25" i="7"/>
  <c r="L57" i="7"/>
  <c r="R57" i="7" s="1"/>
  <c r="S57" i="7" s="1"/>
  <c r="T57" i="7" s="1"/>
  <c r="C57" i="7" s="1"/>
  <c r="M90" i="7"/>
  <c r="L90" i="7"/>
  <c r="M97" i="7"/>
  <c r="M130" i="7"/>
  <c r="Q134" i="7"/>
  <c r="P134" i="7"/>
  <c r="L24" i="7"/>
  <c r="M12" i="7"/>
  <c r="L12" i="7"/>
  <c r="M50" i="7"/>
  <c r="L50" i="7"/>
  <c r="M75" i="7"/>
  <c r="L75" i="7"/>
  <c r="R116" i="7"/>
  <c r="S116" i="7" s="1"/>
  <c r="T116" i="7" s="1"/>
  <c r="C116" i="7" s="1"/>
  <c r="M79" i="7"/>
  <c r="L79" i="7"/>
  <c r="L151" i="7"/>
  <c r="P155" i="7"/>
  <c r="Q34" i="7"/>
  <c r="P34" i="7"/>
  <c r="M54" i="7"/>
  <c r="L54" i="7"/>
  <c r="L87" i="7"/>
  <c r="P123" i="7"/>
  <c r="P139" i="7"/>
  <c r="M151" i="7"/>
  <c r="M7" i="7"/>
  <c r="L7" i="7"/>
  <c r="L4" i="7"/>
  <c r="R4" i="7" s="1"/>
  <c r="S4" i="7" s="1"/>
  <c r="T4" i="7" s="1"/>
  <c r="C4" i="7" s="1"/>
  <c r="P27" i="7"/>
  <c r="R27" i="7" s="1"/>
  <c r="S27" i="7" s="1"/>
  <c r="L47" i="7"/>
  <c r="R47" i="7" s="1"/>
  <c r="S47" i="7" s="1"/>
  <c r="T47" i="7" s="1"/>
  <c r="C47" i="7" s="1"/>
  <c r="L72" i="7"/>
  <c r="R72" i="7" s="1"/>
  <c r="S72" i="7" s="1"/>
  <c r="T72" i="7" s="1"/>
  <c r="C72" i="7" s="1"/>
  <c r="M87" i="7"/>
  <c r="L135" i="7"/>
  <c r="M65" i="7"/>
  <c r="L65" i="7"/>
  <c r="M44" i="7"/>
  <c r="L44" i="7"/>
  <c r="M69" i="7"/>
  <c r="L69" i="7"/>
  <c r="L8" i="7"/>
  <c r="R8" i="7" s="1"/>
  <c r="S8" i="7" s="1"/>
  <c r="T8" i="7" s="1"/>
  <c r="C8" i="7" s="1"/>
  <c r="L14" i="7"/>
  <c r="M20" i="7"/>
  <c r="R20" i="7" s="1"/>
  <c r="S20" i="7" s="1"/>
  <c r="T20" i="7" s="1"/>
  <c r="C20" i="7" s="1"/>
  <c r="M14" i="7"/>
  <c r="L38" i="7"/>
  <c r="L62" i="7"/>
  <c r="R62" i="7" s="1"/>
  <c r="S62" i="7" s="1"/>
  <c r="T62" i="7" s="1"/>
  <c r="C62" i="7" s="1"/>
  <c r="M80" i="7"/>
  <c r="L80" i="7"/>
  <c r="M84" i="7"/>
  <c r="L84" i="7"/>
  <c r="M132" i="7"/>
  <c r="L132" i="7"/>
  <c r="P150" i="7"/>
  <c r="P38" i="7"/>
  <c r="L126" i="7"/>
  <c r="P135" i="7"/>
  <c r="P151" i="7"/>
  <c r="M126" i="7"/>
  <c r="L22" i="7"/>
  <c r="R22" i="7" s="1"/>
  <c r="S22" i="7" s="1"/>
  <c r="T22" i="7" s="1"/>
  <c r="C22" i="7" s="1"/>
  <c r="P32" i="7"/>
  <c r="P147" i="7"/>
  <c r="L154" i="7"/>
  <c r="P106" i="7"/>
  <c r="L136" i="7"/>
  <c r="L143" i="7"/>
  <c r="R143" i="7" s="1"/>
  <c r="S143" i="7" s="1"/>
  <c r="T143" i="7" s="1"/>
  <c r="C143" i="7" s="1"/>
  <c r="P145" i="7"/>
  <c r="Q13" i="12" l="1"/>
  <c r="R13" i="12" s="1"/>
  <c r="Q19" i="12"/>
  <c r="R19" i="12" s="1"/>
  <c r="Q15" i="12"/>
  <c r="R15" i="12" s="1"/>
  <c r="Q14" i="12"/>
  <c r="R14" i="12" s="1"/>
  <c r="Q232" i="12"/>
  <c r="R232" i="12" s="1"/>
  <c r="Q322" i="12"/>
  <c r="R322" i="12" s="1"/>
  <c r="Q267" i="12"/>
  <c r="R267" i="12" s="1"/>
  <c r="Q270" i="12"/>
  <c r="R270" i="12" s="1"/>
  <c r="Q269" i="12"/>
  <c r="R269" i="12" s="1"/>
  <c r="Q249" i="12"/>
  <c r="R249" i="12" s="1"/>
  <c r="Q246" i="12"/>
  <c r="R246" i="12" s="1"/>
  <c r="Q314" i="12"/>
  <c r="R314" i="12" s="1"/>
  <c r="Q306" i="12"/>
  <c r="R306" i="12" s="1"/>
  <c r="Q257" i="12"/>
  <c r="R257" i="12" s="1"/>
  <c r="Q230" i="12"/>
  <c r="R230" i="12" s="1"/>
  <c r="Q231" i="12"/>
  <c r="R231" i="12" s="1"/>
  <c r="Q261" i="12"/>
  <c r="R261" i="12" s="1"/>
  <c r="Q183" i="12"/>
  <c r="R183" i="12" s="1"/>
  <c r="Q275" i="12"/>
  <c r="R275" i="12" s="1"/>
  <c r="Q274" i="12"/>
  <c r="R274" i="12" s="1"/>
  <c r="Q196" i="12"/>
  <c r="R196" i="12" s="1"/>
  <c r="Q252" i="12"/>
  <c r="R252" i="12" s="1"/>
  <c r="Q247" i="12"/>
  <c r="R247" i="12" s="1"/>
  <c r="Q276" i="12"/>
  <c r="R276" i="12" s="1"/>
  <c r="Q313" i="12"/>
  <c r="R313" i="12" s="1"/>
  <c r="Q216" i="12"/>
  <c r="R216" i="12" s="1"/>
  <c r="Q222" i="12"/>
  <c r="R222" i="12" s="1"/>
  <c r="Q305" i="12"/>
  <c r="R305" i="12" s="1"/>
  <c r="Q300" i="12"/>
  <c r="R300" i="12" s="1"/>
  <c r="Q254" i="12"/>
  <c r="R254" i="12" s="1"/>
  <c r="Q263" i="12"/>
  <c r="R263" i="12" s="1"/>
  <c r="Q323" i="12"/>
  <c r="R323" i="12" s="1"/>
  <c r="Q266" i="12"/>
  <c r="R266" i="12" s="1"/>
  <c r="Q248" i="12"/>
  <c r="R248" i="12" s="1"/>
  <c r="Q265" i="12"/>
  <c r="R265" i="12" s="1"/>
  <c r="Q251" i="12"/>
  <c r="R251" i="12" s="1"/>
  <c r="Q272" i="12"/>
  <c r="R272" i="12" s="1"/>
  <c r="Q264" i="12"/>
  <c r="R264" i="12" s="1"/>
  <c r="Q287" i="12"/>
  <c r="R287" i="12" s="1"/>
  <c r="Q258" i="12"/>
  <c r="R258" i="12" s="1"/>
  <c r="Q234" i="12"/>
  <c r="R234" i="12" s="1"/>
  <c r="Q273" i="12"/>
  <c r="R273" i="12" s="1"/>
  <c r="Q253" i="12"/>
  <c r="R253" i="12" s="1"/>
  <c r="Q237" i="12"/>
  <c r="R237" i="12" s="1"/>
  <c r="Q268" i="12"/>
  <c r="R268" i="12" s="1"/>
  <c r="Q241" i="12"/>
  <c r="R241" i="12" s="1"/>
  <c r="Q260" i="12"/>
  <c r="R260" i="12" s="1"/>
  <c r="Q233" i="12"/>
  <c r="R233" i="12" s="1"/>
  <c r="Q245" i="12"/>
  <c r="R245" i="12" s="1"/>
  <c r="Q256" i="12"/>
  <c r="R256" i="12" s="1"/>
  <c r="Q240" i="12"/>
  <c r="R240" i="12" s="1"/>
  <c r="Q271" i="12"/>
  <c r="R271" i="12" s="1"/>
  <c r="Q262" i="12"/>
  <c r="R262" i="12" s="1"/>
  <c r="Q212" i="12"/>
  <c r="R212" i="12" s="1"/>
  <c r="Q259" i="12"/>
  <c r="R259" i="12" s="1"/>
  <c r="Q215" i="12"/>
  <c r="R215" i="12" s="1"/>
  <c r="Q239" i="12"/>
  <c r="R239" i="12" s="1"/>
  <c r="Q213" i="12"/>
  <c r="R213" i="12" s="1"/>
  <c r="Q242" i="12"/>
  <c r="R242" i="12" s="1"/>
  <c r="Q238" i="12"/>
  <c r="R238" i="12" s="1"/>
  <c r="Q206" i="12"/>
  <c r="R206" i="12" s="1"/>
  <c r="Q310" i="12"/>
  <c r="R310" i="12" s="1"/>
  <c r="Q289" i="12"/>
  <c r="R289" i="12" s="1"/>
  <c r="Q207" i="12"/>
  <c r="R207" i="12" s="1"/>
  <c r="Q255" i="12"/>
  <c r="R255" i="12" s="1"/>
  <c r="Q236" i="12"/>
  <c r="R236" i="12" s="1"/>
  <c r="Q199" i="12"/>
  <c r="R199" i="12" s="1"/>
  <c r="Q282" i="12"/>
  <c r="R282" i="12" s="1"/>
  <c r="Q301" i="12"/>
  <c r="R301" i="12" s="1"/>
  <c r="Q244" i="12"/>
  <c r="R244" i="12" s="1"/>
  <c r="Q243" i="12"/>
  <c r="R243" i="12" s="1"/>
  <c r="Q235" i="12"/>
  <c r="R235" i="12" s="1"/>
  <c r="Q250" i="12"/>
  <c r="R250" i="12" s="1"/>
  <c r="Q302" i="12"/>
  <c r="R302" i="12" s="1"/>
  <c r="Q293" i="12"/>
  <c r="R293" i="12" s="1"/>
  <c r="Q317" i="12"/>
  <c r="R317" i="12" s="1"/>
  <c r="Q308" i="12"/>
  <c r="R308" i="12" s="1"/>
  <c r="Q307" i="12"/>
  <c r="R307" i="12" s="1"/>
  <c r="Q304" i="12"/>
  <c r="R304" i="12" s="1"/>
  <c r="Q299" i="12"/>
  <c r="R299" i="12" s="1"/>
  <c r="Q297" i="12"/>
  <c r="R297" i="12" s="1"/>
  <c r="Q295" i="12"/>
  <c r="R295" i="12" s="1"/>
  <c r="P292" i="12"/>
  <c r="I292" i="12" s="1"/>
  <c r="C292" i="12" s="1"/>
  <c r="Q290" i="12"/>
  <c r="R290" i="12" s="1"/>
  <c r="Q284" i="12"/>
  <c r="R284" i="12" s="1"/>
  <c r="Q281" i="12"/>
  <c r="R281" i="12" s="1"/>
  <c r="Q280" i="12"/>
  <c r="R280" i="12" s="1"/>
  <c r="Q312" i="12"/>
  <c r="R312" i="12" s="1"/>
  <c r="Q303" i="12"/>
  <c r="R303" i="12" s="1"/>
  <c r="Q316" i="12"/>
  <c r="R316" i="12" s="1"/>
  <c r="Q291" i="12"/>
  <c r="R291" i="12" s="1"/>
  <c r="Q298" i="12"/>
  <c r="R298" i="12" s="1"/>
  <c r="Q294" i="12"/>
  <c r="R294" i="12" s="1"/>
  <c r="Q320" i="12"/>
  <c r="R320" i="12" s="1"/>
  <c r="Q288" i="12"/>
  <c r="R288" i="12" s="1"/>
  <c r="Q311" i="12"/>
  <c r="R311" i="12" s="1"/>
  <c r="Q200" i="12"/>
  <c r="R200" i="12" s="1"/>
  <c r="Q220" i="12"/>
  <c r="R220" i="12" s="1"/>
  <c r="Q208" i="12"/>
  <c r="R208" i="12" s="1"/>
  <c r="Q279" i="12"/>
  <c r="R279" i="12" s="1"/>
  <c r="Q278" i="12"/>
  <c r="R278" i="12" s="1"/>
  <c r="Q319" i="12"/>
  <c r="R319" i="12" s="1"/>
  <c r="Q318" i="12"/>
  <c r="R318" i="12" s="1"/>
  <c r="Q321" i="12"/>
  <c r="R321" i="12" s="1"/>
  <c r="Q309" i="12"/>
  <c r="R309" i="12" s="1"/>
  <c r="Q315" i="12"/>
  <c r="R315" i="12" s="1"/>
  <c r="Q296" i="12"/>
  <c r="R296" i="12" s="1"/>
  <c r="Q286" i="12"/>
  <c r="R286" i="12" s="1"/>
  <c r="Q283" i="12"/>
  <c r="R283" i="12" s="1"/>
  <c r="Q285" i="12"/>
  <c r="R285" i="12" s="1"/>
  <c r="Q209" i="12"/>
  <c r="R209" i="12" s="1"/>
  <c r="Q219" i="12"/>
  <c r="R219" i="12" s="1"/>
  <c r="Q171" i="12"/>
  <c r="R171" i="12" s="1"/>
  <c r="Q101" i="12"/>
  <c r="R101" i="12" s="1"/>
  <c r="Q223" i="12"/>
  <c r="R223" i="12" s="1"/>
  <c r="Q277" i="12"/>
  <c r="R277" i="12" s="1"/>
  <c r="Q228" i="12"/>
  <c r="R228" i="12" s="1"/>
  <c r="Q227" i="12"/>
  <c r="R227" i="12" s="1"/>
  <c r="Q218" i="12"/>
  <c r="R218" i="12" s="1"/>
  <c r="Q214" i="12"/>
  <c r="R214" i="12" s="1"/>
  <c r="Q210" i="12"/>
  <c r="R210" i="12" s="1"/>
  <c r="Q203" i="12"/>
  <c r="R203" i="12" s="1"/>
  <c r="Q202" i="12"/>
  <c r="R202" i="12" s="1"/>
  <c r="Q201" i="12"/>
  <c r="R201" i="12" s="1"/>
  <c r="Q211" i="12"/>
  <c r="R211" i="12" s="1"/>
  <c r="Q217" i="12"/>
  <c r="R217" i="12" s="1"/>
  <c r="Q226" i="12"/>
  <c r="R226" i="12" s="1"/>
  <c r="Q224" i="12"/>
  <c r="R224" i="12" s="1"/>
  <c r="Q205" i="12"/>
  <c r="R205" i="12" s="1"/>
  <c r="Q229" i="12"/>
  <c r="R229" i="12" s="1"/>
  <c r="Q225" i="12"/>
  <c r="R225" i="12" s="1"/>
  <c r="Q221" i="12"/>
  <c r="R221" i="12" s="1"/>
  <c r="Q204" i="12"/>
  <c r="R204" i="12" s="1"/>
  <c r="Q191" i="12"/>
  <c r="R191" i="12" s="1"/>
  <c r="Q190" i="12"/>
  <c r="R190" i="12" s="1"/>
  <c r="Q192" i="12"/>
  <c r="R192" i="12" s="1"/>
  <c r="Q195" i="12"/>
  <c r="R195" i="12" s="1"/>
  <c r="Q187" i="12"/>
  <c r="R187" i="12" s="1"/>
  <c r="Q197" i="12"/>
  <c r="R197" i="12" s="1"/>
  <c r="Q160" i="12"/>
  <c r="R160" i="12" s="1"/>
  <c r="Q184" i="12"/>
  <c r="R184" i="12" s="1"/>
  <c r="Q186" i="12"/>
  <c r="R186" i="12" s="1"/>
  <c r="Q193" i="12"/>
  <c r="R193" i="12" s="1"/>
  <c r="Q185" i="12"/>
  <c r="R185" i="12" s="1"/>
  <c r="Q198" i="12"/>
  <c r="R198" i="12" s="1"/>
  <c r="Q194" i="12"/>
  <c r="R194" i="12" s="1"/>
  <c r="Q189" i="12"/>
  <c r="R189" i="12" s="1"/>
  <c r="Q188" i="12"/>
  <c r="R188" i="12" s="1"/>
  <c r="Q175" i="12"/>
  <c r="R175" i="12" s="1"/>
  <c r="Q178" i="12"/>
  <c r="R178" i="12" s="1"/>
  <c r="Q176" i="12"/>
  <c r="R176" i="12" s="1"/>
  <c r="Q170" i="12"/>
  <c r="R170" i="12" s="1"/>
  <c r="Q169" i="12"/>
  <c r="R169" i="12" s="1"/>
  <c r="Q177" i="12"/>
  <c r="R177" i="12" s="1"/>
  <c r="Q180" i="12"/>
  <c r="R180" i="12" s="1"/>
  <c r="Q181" i="12"/>
  <c r="R181" i="12" s="1"/>
  <c r="Q179" i="12"/>
  <c r="R179" i="12" s="1"/>
  <c r="Q174" i="12"/>
  <c r="R174" i="12" s="1"/>
  <c r="Q182" i="12"/>
  <c r="R182" i="12" s="1"/>
  <c r="Q173" i="12"/>
  <c r="R173" i="12" s="1"/>
  <c r="Q172" i="12"/>
  <c r="R172" i="12" s="1"/>
  <c r="Q162" i="12"/>
  <c r="R162" i="12" s="1"/>
  <c r="Q158" i="12"/>
  <c r="R158" i="12" s="1"/>
  <c r="Q163" i="12"/>
  <c r="R163" i="12" s="1"/>
  <c r="Q159" i="12"/>
  <c r="R159" i="12" s="1"/>
  <c r="Q126" i="12"/>
  <c r="R126" i="12" s="1"/>
  <c r="Q155" i="12"/>
  <c r="R155" i="12" s="1"/>
  <c r="Q109" i="12"/>
  <c r="R109" i="12" s="1"/>
  <c r="Q168" i="12"/>
  <c r="R168" i="12" s="1"/>
  <c r="Q165" i="12"/>
  <c r="R165" i="12" s="1"/>
  <c r="Q167" i="12"/>
  <c r="R167" i="12" s="1"/>
  <c r="Q157" i="12"/>
  <c r="R157" i="12" s="1"/>
  <c r="Q154" i="12"/>
  <c r="R154" i="12" s="1"/>
  <c r="Q152" i="12"/>
  <c r="R152" i="12" s="1"/>
  <c r="Q161" i="12"/>
  <c r="R161" i="12" s="1"/>
  <c r="Q166" i="12"/>
  <c r="R166" i="12" s="1"/>
  <c r="Q164" i="12"/>
  <c r="R164" i="12" s="1"/>
  <c r="Q149" i="12"/>
  <c r="R149" i="12" s="1"/>
  <c r="Q147" i="12"/>
  <c r="R147" i="12" s="1"/>
  <c r="Q143" i="12"/>
  <c r="R143" i="12" s="1"/>
  <c r="Q146" i="12"/>
  <c r="R146" i="12" s="1"/>
  <c r="Q144" i="12"/>
  <c r="R144" i="12" s="1"/>
  <c r="Q150" i="12"/>
  <c r="R150" i="12" s="1"/>
  <c r="Q148" i="12"/>
  <c r="R148" i="12" s="1"/>
  <c r="Q151" i="12"/>
  <c r="R151" i="12" s="1"/>
  <c r="Q153" i="12"/>
  <c r="R153" i="12" s="1"/>
  <c r="Q156" i="12"/>
  <c r="R156" i="12" s="1"/>
  <c r="Q142" i="12"/>
  <c r="R142" i="12" s="1"/>
  <c r="Q135" i="12"/>
  <c r="R135" i="12" s="1"/>
  <c r="Q139" i="12"/>
  <c r="R139" i="12" s="1"/>
  <c r="Q133" i="12"/>
  <c r="R133" i="12" s="1"/>
  <c r="Q132" i="12"/>
  <c r="R132" i="12" s="1"/>
  <c r="Q131" i="12"/>
  <c r="R131" i="12" s="1"/>
  <c r="Q130" i="12"/>
  <c r="R130" i="12" s="1"/>
  <c r="Q145" i="12"/>
  <c r="R145" i="12" s="1"/>
  <c r="Q141" i="12"/>
  <c r="R141" i="12" s="1"/>
  <c r="Q134" i="12"/>
  <c r="R134" i="12" s="1"/>
  <c r="Q137" i="12"/>
  <c r="R137" i="12" s="1"/>
  <c r="Q136" i="12"/>
  <c r="R136" i="12" s="1"/>
  <c r="Q140" i="12"/>
  <c r="R140" i="12" s="1"/>
  <c r="Q138" i="12"/>
  <c r="R138" i="12" s="1"/>
  <c r="Q127" i="12"/>
  <c r="R127" i="12" s="1"/>
  <c r="Q125" i="12"/>
  <c r="R125" i="12" s="1"/>
  <c r="Q123" i="12"/>
  <c r="R123" i="12" s="1"/>
  <c r="Q121" i="12"/>
  <c r="R121" i="12" s="1"/>
  <c r="Q108" i="12"/>
  <c r="R108" i="12" s="1"/>
  <c r="Q129" i="12"/>
  <c r="R129" i="12" s="1"/>
  <c r="Q128" i="12"/>
  <c r="R128" i="12" s="1"/>
  <c r="Q105" i="12"/>
  <c r="R105" i="12" s="1"/>
  <c r="Q122" i="12"/>
  <c r="R122" i="12" s="1"/>
  <c r="Q116" i="12"/>
  <c r="R116" i="12" s="1"/>
  <c r="I116" i="12"/>
  <c r="C116" i="12" s="1"/>
  <c r="Q17" i="12"/>
  <c r="R17" i="12" s="1"/>
  <c r="Q100" i="12"/>
  <c r="R100" i="12" s="1"/>
  <c r="Q120" i="12"/>
  <c r="R120" i="12" s="1"/>
  <c r="Q119" i="12"/>
  <c r="R119" i="12" s="1"/>
  <c r="I119" i="12"/>
  <c r="C119" i="12" s="1"/>
  <c r="Q117" i="12"/>
  <c r="R117" i="12" s="1"/>
  <c r="Q102" i="12"/>
  <c r="R102" i="12" s="1"/>
  <c r="Q115" i="12"/>
  <c r="R115" i="12" s="1"/>
  <c r="Q111" i="12"/>
  <c r="R111" i="12" s="1"/>
  <c r="Q107" i="12"/>
  <c r="R107" i="12" s="1"/>
  <c r="Q99" i="12"/>
  <c r="R99" i="12" s="1"/>
  <c r="Q114" i="12"/>
  <c r="R114" i="12" s="1"/>
  <c r="Q118" i="12"/>
  <c r="R118" i="12" s="1"/>
  <c r="I106" i="12"/>
  <c r="C106" i="12" s="1"/>
  <c r="Q113" i="12"/>
  <c r="R113" i="12" s="1"/>
  <c r="Q124" i="12"/>
  <c r="R124" i="12" s="1"/>
  <c r="Q112" i="12"/>
  <c r="R112" i="12" s="1"/>
  <c r="Q110" i="12"/>
  <c r="R110" i="12" s="1"/>
  <c r="Q106" i="12"/>
  <c r="R106" i="12" s="1"/>
  <c r="Q104" i="12"/>
  <c r="R104" i="12" s="1"/>
  <c r="Q103" i="12"/>
  <c r="R103" i="12" s="1"/>
  <c r="Q98" i="12"/>
  <c r="R98" i="12" s="1"/>
  <c r="Q18" i="12"/>
  <c r="R18" i="12" s="1"/>
  <c r="I36" i="12"/>
  <c r="C36" i="12" s="1"/>
  <c r="Q35" i="12"/>
  <c r="R35" i="12" s="1"/>
  <c r="Q38" i="12"/>
  <c r="R38" i="12" s="1"/>
  <c r="Q37" i="12"/>
  <c r="R37" i="12" s="1"/>
  <c r="Q44" i="12"/>
  <c r="R44" i="12" s="1"/>
  <c r="Q34" i="12"/>
  <c r="R34" i="12" s="1"/>
  <c r="Q33" i="12"/>
  <c r="R33" i="12" s="1"/>
  <c r="Q30" i="12"/>
  <c r="R30" i="12" s="1"/>
  <c r="Q32" i="12"/>
  <c r="R32" i="12" s="1"/>
  <c r="Q41" i="12"/>
  <c r="R41" i="12" s="1"/>
  <c r="Q20" i="12"/>
  <c r="R20" i="12" s="1"/>
  <c r="Q39" i="12"/>
  <c r="R39" i="12" s="1"/>
  <c r="Q83" i="12"/>
  <c r="R83" i="12" s="1"/>
  <c r="Q40" i="12"/>
  <c r="R40" i="12" s="1"/>
  <c r="Q26" i="12"/>
  <c r="R26" i="12" s="1"/>
  <c r="Q25" i="12"/>
  <c r="R25" i="12" s="1"/>
  <c r="Q28" i="12"/>
  <c r="R28" i="12" s="1"/>
  <c r="Q29" i="12"/>
  <c r="R29" i="12" s="1"/>
  <c r="I91" i="12"/>
  <c r="C91" i="12" s="1"/>
  <c r="Q27" i="12"/>
  <c r="R27" i="12" s="1"/>
  <c r="Q82" i="12"/>
  <c r="R82" i="12" s="1"/>
  <c r="Q63" i="12"/>
  <c r="R63" i="12" s="1"/>
  <c r="Q85" i="12"/>
  <c r="R85" i="12" s="1"/>
  <c r="Q61" i="12"/>
  <c r="R61" i="12" s="1"/>
  <c r="Q86" i="12"/>
  <c r="R86" i="12" s="1"/>
  <c r="Q79" i="12"/>
  <c r="R79" i="12" s="1"/>
  <c r="Q62" i="12"/>
  <c r="R62" i="12" s="1"/>
  <c r="Q92" i="12"/>
  <c r="R92" i="12" s="1"/>
  <c r="Q81" i="12"/>
  <c r="R81" i="12" s="1"/>
  <c r="Q88" i="12"/>
  <c r="R88" i="12" s="1"/>
  <c r="Q94" i="12"/>
  <c r="R94" i="12" s="1"/>
  <c r="Q10" i="12"/>
  <c r="R10" i="12" s="1"/>
  <c r="P55" i="12"/>
  <c r="I55" i="12" s="1"/>
  <c r="C55" i="12" s="1"/>
  <c r="Q84" i="12"/>
  <c r="R84" i="12" s="1"/>
  <c r="Q96" i="12"/>
  <c r="R96" i="12" s="1"/>
  <c r="Q97" i="12"/>
  <c r="R97" i="12" s="1"/>
  <c r="Q90" i="12"/>
  <c r="R90" i="12" s="1"/>
  <c r="O78" i="12"/>
  <c r="Q78" i="12" s="1"/>
  <c r="R78" i="12" s="1"/>
  <c r="Q93" i="12"/>
  <c r="R93" i="12" s="1"/>
  <c r="Q89" i="12"/>
  <c r="R89" i="12" s="1"/>
  <c r="Q95" i="12"/>
  <c r="R95" i="12" s="1"/>
  <c r="Q87" i="12"/>
  <c r="R87" i="12" s="1"/>
  <c r="Q80" i="12"/>
  <c r="R80" i="12" s="1"/>
  <c r="Q14" i="13"/>
  <c r="R14" i="13" s="1"/>
  <c r="Q11" i="13"/>
  <c r="R11" i="13" s="1"/>
  <c r="Q7" i="13"/>
  <c r="R7" i="13" s="1"/>
  <c r="Q5" i="13"/>
  <c r="R5" i="13" s="1"/>
  <c r="I8" i="13"/>
  <c r="C8" i="13" s="1"/>
  <c r="Q8" i="13"/>
  <c r="R8" i="13" s="1"/>
  <c r="Q4" i="13"/>
  <c r="R4" i="13" s="1"/>
  <c r="Q13" i="13"/>
  <c r="R13" i="13" s="1"/>
  <c r="Q20" i="13"/>
  <c r="R20" i="13" s="1"/>
  <c r="P17" i="13"/>
  <c r="I17" i="13" s="1"/>
  <c r="C17" i="13" s="1"/>
  <c r="Q10" i="13"/>
  <c r="R10" i="13" s="1"/>
  <c r="Q18" i="13"/>
  <c r="R18" i="13" s="1"/>
  <c r="Q16" i="13"/>
  <c r="R16" i="13" s="1"/>
  <c r="Q19" i="13"/>
  <c r="R19" i="13" s="1"/>
  <c r="Q6" i="13"/>
  <c r="R6" i="13" s="1"/>
  <c r="Q15" i="13"/>
  <c r="R15" i="13" s="1"/>
  <c r="Q23" i="13"/>
  <c r="R23" i="13" s="1"/>
  <c r="Q12" i="12"/>
  <c r="R12" i="12" s="1"/>
  <c r="Q56" i="12"/>
  <c r="R56" i="12" s="1"/>
  <c r="Q69" i="12"/>
  <c r="R69" i="12" s="1"/>
  <c r="Q70" i="12"/>
  <c r="R70" i="12" s="1"/>
  <c r="Q68" i="12"/>
  <c r="R68" i="12" s="1"/>
  <c r="Q59" i="12"/>
  <c r="R59" i="12" s="1"/>
  <c r="Q22" i="12"/>
  <c r="R22" i="12" s="1"/>
  <c r="Q49" i="12"/>
  <c r="R49" i="12" s="1"/>
  <c r="Q57" i="12"/>
  <c r="R57" i="12" s="1"/>
  <c r="Q73" i="12"/>
  <c r="R73" i="12" s="1"/>
  <c r="Q65" i="12"/>
  <c r="R65" i="12" s="1"/>
  <c r="Q53" i="12"/>
  <c r="R53" i="12" s="1"/>
  <c r="Q51" i="12"/>
  <c r="R51" i="12" s="1"/>
  <c r="Q50" i="12"/>
  <c r="R50" i="12" s="1"/>
  <c r="Q48" i="12"/>
  <c r="R48" i="12" s="1"/>
  <c r="Q47" i="12"/>
  <c r="R47" i="12" s="1"/>
  <c r="Q46" i="12"/>
  <c r="R46" i="12" s="1"/>
  <c r="Q45" i="12"/>
  <c r="R45" i="12" s="1"/>
  <c r="Q43" i="12"/>
  <c r="R43" i="12" s="1"/>
  <c r="Q42" i="12"/>
  <c r="R42" i="12" s="1"/>
  <c r="Q31" i="12"/>
  <c r="R31" i="12" s="1"/>
  <c r="Q52" i="12"/>
  <c r="R52" i="12" s="1"/>
  <c r="Q21" i="12"/>
  <c r="R21" i="12" s="1"/>
  <c r="Q76" i="12"/>
  <c r="R76" i="12" s="1"/>
  <c r="Q75" i="12"/>
  <c r="R75" i="12" s="1"/>
  <c r="Q74" i="12"/>
  <c r="R74" i="12" s="1"/>
  <c r="Q72" i="12"/>
  <c r="R72" i="12" s="1"/>
  <c r="Q67" i="12"/>
  <c r="R67" i="12" s="1"/>
  <c r="Q66" i="12"/>
  <c r="R66" i="12" s="1"/>
  <c r="Q71" i="12"/>
  <c r="R71" i="12" s="1"/>
  <c r="Q64" i="12"/>
  <c r="R64" i="12" s="1"/>
  <c r="Q60" i="12"/>
  <c r="R60" i="12" s="1"/>
  <c r="Q58" i="12"/>
  <c r="R58" i="12" s="1"/>
  <c r="Q9" i="12"/>
  <c r="R9" i="12" s="1"/>
  <c r="I9" i="12"/>
  <c r="C9" i="12" s="1"/>
  <c r="Q11" i="12"/>
  <c r="R11" i="12" s="1"/>
  <c r="I11" i="12"/>
  <c r="C11" i="12" s="1"/>
  <c r="Q7" i="12"/>
  <c r="R7" i="12" s="1"/>
  <c r="I8" i="12"/>
  <c r="C8" i="12" s="1"/>
  <c r="Q6" i="12"/>
  <c r="R6" i="12" s="1"/>
  <c r="P4" i="12"/>
  <c r="I4" i="12" s="1"/>
  <c r="C4" i="12" s="1"/>
  <c r="Q8" i="12"/>
  <c r="R8" i="12" s="1"/>
  <c r="R42" i="7"/>
  <c r="S42" i="7" s="1"/>
  <c r="T42" i="7" s="1"/>
  <c r="C42" i="7" s="1"/>
  <c r="R127" i="7"/>
  <c r="S127" i="7" s="1"/>
  <c r="T127" i="7" s="1"/>
  <c r="C127" i="7" s="1"/>
  <c r="R103" i="7"/>
  <c r="S103" i="7" s="1"/>
  <c r="T103" i="7" s="1"/>
  <c r="C103" i="7" s="1"/>
  <c r="C8" i="10"/>
  <c r="I36" i="1"/>
  <c r="C36" i="1" s="1"/>
  <c r="R156" i="7"/>
  <c r="S156" i="7" s="1"/>
  <c r="R26" i="7"/>
  <c r="S26" i="7" s="1"/>
  <c r="T26" i="7" s="1"/>
  <c r="C26" i="7" s="1"/>
  <c r="R84" i="7"/>
  <c r="S84" i="7" s="1"/>
  <c r="T84" i="7" s="1"/>
  <c r="C84" i="7" s="1"/>
  <c r="R139" i="7"/>
  <c r="S139" i="7" s="1"/>
  <c r="R149" i="7"/>
  <c r="S149" i="7" s="1"/>
  <c r="T149" i="7" s="1"/>
  <c r="C149" i="7" s="1"/>
  <c r="R124" i="7"/>
  <c r="S124" i="7" s="1"/>
  <c r="T124" i="7" s="1"/>
  <c r="C124" i="7" s="1"/>
  <c r="R101" i="7"/>
  <c r="S101" i="7" s="1"/>
  <c r="T101" i="7" s="1"/>
  <c r="C101" i="7" s="1"/>
  <c r="R36" i="7"/>
  <c r="S36" i="7" s="1"/>
  <c r="T36" i="7" s="1"/>
  <c r="C36" i="7" s="1"/>
  <c r="R54" i="7"/>
  <c r="S54" i="7" s="1"/>
  <c r="T54" i="7" s="1"/>
  <c r="C54" i="7" s="1"/>
  <c r="R33" i="7"/>
  <c r="S33" i="7" s="1"/>
  <c r="T33" i="7" s="1"/>
  <c r="C33" i="7" s="1"/>
  <c r="R137" i="7"/>
  <c r="S137" i="7" s="1"/>
  <c r="R93" i="7"/>
  <c r="S93" i="7" s="1"/>
  <c r="T93" i="7" s="1"/>
  <c r="C93" i="7" s="1"/>
  <c r="R105" i="7"/>
  <c r="S105" i="7" s="1"/>
  <c r="T105" i="7" s="1"/>
  <c r="C105" i="7" s="1"/>
  <c r="R35" i="7"/>
  <c r="S35" i="7" s="1"/>
  <c r="T35" i="7" s="1"/>
  <c r="C35" i="7" s="1"/>
  <c r="R37" i="7"/>
  <c r="S37" i="7" s="1"/>
  <c r="T37" i="7" s="1"/>
  <c r="C37" i="7" s="1"/>
  <c r="R31" i="7"/>
  <c r="S31" i="7" s="1"/>
  <c r="T31" i="7" s="1"/>
  <c r="C31" i="7" s="1"/>
  <c r="R154" i="7"/>
  <c r="S154" i="7" s="1"/>
  <c r="T154" i="7" s="1"/>
  <c r="C154" i="7" s="1"/>
  <c r="R16" i="7"/>
  <c r="S16" i="7" s="1"/>
  <c r="T16" i="7" s="1"/>
  <c r="C16" i="7" s="1"/>
  <c r="R146" i="7"/>
  <c r="S146" i="7" s="1"/>
  <c r="T146" i="7" s="1"/>
  <c r="C146" i="7" s="1"/>
  <c r="R107" i="7"/>
  <c r="S107" i="7" s="1"/>
  <c r="T107" i="7" s="1"/>
  <c r="C107" i="7" s="1"/>
  <c r="R155" i="7"/>
  <c r="S155" i="7" s="1"/>
  <c r="T155" i="7" s="1"/>
  <c r="C155" i="7" s="1"/>
  <c r="R30" i="7"/>
  <c r="S30" i="7" s="1"/>
  <c r="T30" i="7" s="1"/>
  <c r="C30" i="7" s="1"/>
  <c r="S144" i="7"/>
  <c r="T144" i="7" s="1"/>
  <c r="C144" i="7" s="1"/>
  <c r="R138" i="7"/>
  <c r="S138" i="7" s="1"/>
  <c r="T138" i="7" s="1"/>
  <c r="C138" i="7" s="1"/>
  <c r="R34" i="7"/>
  <c r="S34" i="7" s="1"/>
  <c r="R17" i="7"/>
  <c r="S17" i="7" s="1"/>
  <c r="T17" i="7" s="1"/>
  <c r="C17" i="7" s="1"/>
  <c r="R79" i="7"/>
  <c r="S79" i="7" s="1"/>
  <c r="T79" i="7" s="1"/>
  <c r="C79" i="7" s="1"/>
  <c r="R104" i="7"/>
  <c r="S104" i="7" s="1"/>
  <c r="T104" i="7" s="1"/>
  <c r="C104" i="7" s="1"/>
  <c r="R125" i="7"/>
  <c r="S125" i="7" s="1"/>
  <c r="T125" i="7" s="1"/>
  <c r="C125" i="7" s="1"/>
  <c r="R69" i="7"/>
  <c r="S69" i="7" s="1"/>
  <c r="T69" i="7" s="1"/>
  <c r="C69" i="7" s="1"/>
  <c r="R123" i="7"/>
  <c r="S123" i="7" s="1"/>
  <c r="T123" i="7" s="1"/>
  <c r="C123" i="7" s="1"/>
  <c r="R12" i="7"/>
  <c r="S12" i="7" s="1"/>
  <c r="T12" i="7" s="1"/>
  <c r="C12" i="7" s="1"/>
  <c r="R44" i="7"/>
  <c r="S44" i="7" s="1"/>
  <c r="T44" i="7" s="1"/>
  <c r="C44" i="7" s="1"/>
  <c r="R128" i="7"/>
  <c r="S128" i="7" s="1"/>
  <c r="T128" i="7" s="1"/>
  <c r="C128" i="7" s="1"/>
  <c r="R38" i="7"/>
  <c r="S38" i="7" s="1"/>
  <c r="T38" i="7" s="1"/>
  <c r="C38" i="7" s="1"/>
  <c r="R151" i="7"/>
  <c r="S151" i="7" s="1"/>
  <c r="T151" i="7" s="1"/>
  <c r="C151" i="7" s="1"/>
  <c r="R40" i="7"/>
  <c r="S40" i="7" s="1"/>
  <c r="T40" i="7" s="1"/>
  <c r="C40" i="7" s="1"/>
  <c r="R39" i="7"/>
  <c r="S39" i="7" s="1"/>
  <c r="T39" i="7" s="1"/>
  <c r="C39" i="7" s="1"/>
  <c r="R59" i="7"/>
  <c r="S59" i="7" s="1"/>
  <c r="T59" i="7" s="1"/>
  <c r="C59" i="7" s="1"/>
  <c r="R50" i="7"/>
  <c r="S50" i="7" s="1"/>
  <c r="T50" i="7" s="1"/>
  <c r="C50" i="7" s="1"/>
  <c r="R153" i="7"/>
  <c r="S153" i="7" s="1"/>
  <c r="T153" i="7" s="1"/>
  <c r="C153" i="7" s="1"/>
  <c r="R152" i="7"/>
  <c r="S152" i="7" s="1"/>
  <c r="T152" i="7" s="1"/>
  <c r="C152" i="7" s="1"/>
  <c r="T156" i="7"/>
  <c r="C156" i="7" s="1"/>
  <c r="R75" i="7"/>
  <c r="S75" i="7" s="1"/>
  <c r="T75" i="7" s="1"/>
  <c r="C75" i="7" s="1"/>
  <c r="R61" i="7"/>
  <c r="S61" i="7" s="1"/>
  <c r="T61" i="7" s="1"/>
  <c r="C61" i="7" s="1"/>
  <c r="R41" i="7"/>
  <c r="S41" i="7" s="1"/>
  <c r="T41" i="7" s="1"/>
  <c r="C41" i="7" s="1"/>
  <c r="R136" i="7"/>
  <c r="S136" i="7" s="1"/>
  <c r="T136" i="7" s="1"/>
  <c r="C136" i="7" s="1"/>
  <c r="R14" i="7"/>
  <c r="S14" i="7" s="1"/>
  <c r="T14" i="7" s="1"/>
  <c r="C14" i="7" s="1"/>
  <c r="R24" i="7"/>
  <c r="S24" i="7" s="1"/>
  <c r="T24" i="7" s="1"/>
  <c r="C24" i="7" s="1"/>
  <c r="R85" i="7"/>
  <c r="S85" i="7" s="1"/>
  <c r="T85" i="7" s="1"/>
  <c r="C85" i="7" s="1"/>
  <c r="R70" i="7"/>
  <c r="S70" i="7" s="1"/>
  <c r="T70" i="7" s="1"/>
  <c r="C70" i="7" s="1"/>
  <c r="T137" i="7"/>
  <c r="C137" i="7" s="1"/>
  <c r="R106" i="7"/>
  <c r="S106" i="7" s="1"/>
  <c r="T106" i="7" s="1"/>
  <c r="C106" i="7" s="1"/>
  <c r="R80" i="7"/>
  <c r="S80" i="7" s="1"/>
  <c r="T80" i="7" s="1"/>
  <c r="C80" i="7" s="1"/>
  <c r="T27" i="7"/>
  <c r="C27" i="7" s="1"/>
  <c r="R77" i="7"/>
  <c r="S77" i="7" s="1"/>
  <c r="T77" i="7" s="1"/>
  <c r="C77" i="7" s="1"/>
  <c r="R92" i="7"/>
  <c r="S92" i="7" s="1"/>
  <c r="T92" i="7" s="1"/>
  <c r="C92" i="7" s="1"/>
  <c r="R7" i="7"/>
  <c r="S7" i="7" s="1"/>
  <c r="T7" i="7" s="1"/>
  <c r="C7" i="7" s="1"/>
  <c r="R55" i="7"/>
  <c r="S55" i="7" s="1"/>
  <c r="T55" i="7" s="1"/>
  <c r="C55" i="7" s="1"/>
  <c r="R25" i="7"/>
  <c r="S25" i="7" s="1"/>
  <c r="T25" i="7" s="1"/>
  <c r="C25" i="7" s="1"/>
  <c r="R60" i="7"/>
  <c r="S60" i="7" s="1"/>
  <c r="T60" i="7" s="1"/>
  <c r="C60" i="7" s="1"/>
  <c r="R74" i="7"/>
  <c r="S74" i="7" s="1"/>
  <c r="T74" i="7" s="1"/>
  <c r="C74" i="7" s="1"/>
  <c r="R29" i="7"/>
  <c r="S29" i="7" s="1"/>
  <c r="T29" i="7" s="1"/>
  <c r="C29" i="7" s="1"/>
  <c r="R126" i="7"/>
  <c r="S126" i="7" s="1"/>
  <c r="T126" i="7" s="1"/>
  <c r="C126" i="7" s="1"/>
  <c r="T139" i="7"/>
  <c r="C139" i="7" s="1"/>
  <c r="R32" i="7"/>
  <c r="S32" i="7" s="1"/>
  <c r="T32" i="7" s="1"/>
  <c r="C32" i="7" s="1"/>
  <c r="R130" i="7"/>
  <c r="S130" i="7" s="1"/>
  <c r="T130" i="7" s="1"/>
  <c r="C130" i="7" s="1"/>
  <c r="R150" i="7"/>
  <c r="S150" i="7" s="1"/>
  <c r="T150" i="7" s="1"/>
  <c r="C150" i="7" s="1"/>
  <c r="R65" i="7"/>
  <c r="S65" i="7" s="1"/>
  <c r="T65" i="7" s="1"/>
  <c r="C65" i="7" s="1"/>
  <c r="R67" i="7"/>
  <c r="S67" i="7" s="1"/>
  <c r="T67" i="7" s="1"/>
  <c r="C67" i="7" s="1"/>
  <c r="R133" i="7"/>
  <c r="S133" i="7" s="1"/>
  <c r="T133" i="7" s="1"/>
  <c r="C133" i="7" s="1"/>
  <c r="R142" i="7"/>
  <c r="S142" i="7" s="1"/>
  <c r="T142" i="7" s="1"/>
  <c r="C142" i="7" s="1"/>
  <c r="R3" i="7"/>
  <c r="S3" i="7" s="1"/>
  <c r="T3" i="7" s="1"/>
  <c r="C3" i="7" s="1"/>
  <c r="R147" i="7"/>
  <c r="S147" i="7" s="1"/>
  <c r="T147" i="7" s="1"/>
  <c r="C147" i="7" s="1"/>
  <c r="R132" i="7"/>
  <c r="S132" i="7" s="1"/>
  <c r="T132" i="7" s="1"/>
  <c r="C132" i="7" s="1"/>
  <c r="R87" i="7"/>
  <c r="S87" i="7" s="1"/>
  <c r="T87" i="7" s="1"/>
  <c r="C87" i="7" s="1"/>
  <c r="R90" i="7"/>
  <c r="S90" i="7" s="1"/>
  <c r="T90" i="7" s="1"/>
  <c r="C90" i="7" s="1"/>
  <c r="R97" i="7"/>
  <c r="S97" i="7" s="1"/>
  <c r="T97" i="7" s="1"/>
  <c r="C97" i="7" s="1"/>
  <c r="R134" i="7"/>
  <c r="S134" i="7" s="1"/>
  <c r="T134" i="7" s="1"/>
  <c r="C134" i="7" s="1"/>
  <c r="R49" i="7"/>
  <c r="S49" i="7" s="1"/>
  <c r="T49" i="7" s="1"/>
  <c r="C49" i="7" s="1"/>
  <c r="R135" i="7"/>
  <c r="S135" i="7" s="1"/>
  <c r="T135" i="7" s="1"/>
  <c r="C135" i="7" s="1"/>
  <c r="R145" i="7"/>
  <c r="S145" i="7" s="1"/>
  <c r="T145" i="7" s="1"/>
  <c r="C145" i="7" s="1"/>
  <c r="R64" i="7"/>
  <c r="S64" i="7" s="1"/>
  <c r="T64" i="7" s="1"/>
  <c r="C64" i="7" s="1"/>
  <c r="R89" i="7"/>
  <c r="S89" i="7" s="1"/>
  <c r="T89" i="7" s="1"/>
  <c r="C89" i="7" s="1"/>
  <c r="T34" i="7"/>
  <c r="C34" i="7" s="1"/>
  <c r="R45" i="7"/>
  <c r="S45" i="7" s="1"/>
  <c r="T45" i="7" s="1"/>
  <c r="C45" i="7" s="1"/>
  <c r="R108" i="7"/>
  <c r="S108" i="7" s="1"/>
  <c r="T108" i="7" s="1"/>
  <c r="C108" i="7" s="1"/>
  <c r="O17" i="1"/>
  <c r="N17" i="1"/>
  <c r="M17" i="1"/>
  <c r="L17" i="1"/>
  <c r="K17" i="1"/>
  <c r="O11" i="1"/>
  <c r="N11" i="1"/>
  <c r="M11" i="1"/>
  <c r="L11" i="1"/>
  <c r="K11" i="1"/>
  <c r="O107" i="1"/>
  <c r="N107" i="1"/>
  <c r="M107" i="1"/>
  <c r="L107" i="1"/>
  <c r="K107" i="1"/>
  <c r="O105" i="1"/>
  <c r="N105" i="1"/>
  <c r="M105" i="1"/>
  <c r="L105" i="1"/>
  <c r="K105" i="1"/>
  <c r="O104" i="1"/>
  <c r="N104" i="1"/>
  <c r="M104" i="1"/>
  <c r="L104" i="1"/>
  <c r="K104" i="1"/>
  <c r="O106" i="1"/>
  <c r="N106" i="1"/>
  <c r="M106" i="1"/>
  <c r="L106" i="1"/>
  <c r="K106" i="1"/>
  <c r="O108" i="1"/>
  <c r="N108" i="1"/>
  <c r="M108" i="1"/>
  <c r="L108" i="1"/>
  <c r="K108" i="1"/>
  <c r="O113" i="1"/>
  <c r="N113" i="1"/>
  <c r="M113" i="1"/>
  <c r="L113" i="1"/>
  <c r="K113" i="1"/>
  <c r="O119" i="1"/>
  <c r="N119" i="1"/>
  <c r="M119" i="1"/>
  <c r="L119" i="1"/>
  <c r="K119" i="1"/>
  <c r="O115" i="1"/>
  <c r="N115" i="1"/>
  <c r="M115" i="1"/>
  <c r="L115" i="1"/>
  <c r="K115" i="1"/>
  <c r="U102" i="3"/>
  <c r="T102" i="3"/>
  <c r="S102" i="3"/>
  <c r="R102" i="3"/>
  <c r="Q102" i="3"/>
  <c r="V102" i="3" s="1"/>
  <c r="W102" i="3" s="1"/>
  <c r="N102" i="3" s="1"/>
  <c r="O102" i="3" s="1"/>
  <c r="W101" i="3"/>
  <c r="N101" i="3" s="1"/>
  <c r="O101" i="3" s="1"/>
  <c r="V101" i="3"/>
  <c r="U101" i="3"/>
  <c r="T101" i="3"/>
  <c r="S101" i="3"/>
  <c r="R101" i="3"/>
  <c r="Q101" i="3"/>
  <c r="V100" i="3"/>
  <c r="W100" i="3" s="1"/>
  <c r="N100" i="3" s="1"/>
  <c r="O100" i="3" s="1"/>
  <c r="U100" i="3"/>
  <c r="T100" i="3"/>
  <c r="S100" i="3"/>
  <c r="R100" i="3"/>
  <c r="Q100" i="3"/>
  <c r="V99" i="3"/>
  <c r="W99" i="3" s="1"/>
  <c r="N99" i="3" s="1"/>
  <c r="O99" i="3" s="1"/>
  <c r="U99" i="3"/>
  <c r="T99" i="3"/>
  <c r="S99" i="3"/>
  <c r="R99" i="3"/>
  <c r="Q99" i="3"/>
  <c r="U98" i="3"/>
  <c r="T98" i="3"/>
  <c r="S98" i="3"/>
  <c r="V98" i="3" s="1"/>
  <c r="W98" i="3" s="1"/>
  <c r="N98" i="3" s="1"/>
  <c r="O98" i="3" s="1"/>
  <c r="R98" i="3"/>
  <c r="Q98" i="3"/>
  <c r="U97" i="3"/>
  <c r="T97" i="3"/>
  <c r="S97" i="3"/>
  <c r="R97" i="3"/>
  <c r="V97" i="3" s="1"/>
  <c r="W97" i="3" s="1"/>
  <c r="N97" i="3" s="1"/>
  <c r="O97" i="3" s="1"/>
  <c r="Q97" i="3"/>
  <c r="U96" i="3"/>
  <c r="T96" i="3"/>
  <c r="S96" i="3"/>
  <c r="R96" i="3"/>
  <c r="Q96" i="3"/>
  <c r="V96" i="3" s="1"/>
  <c r="W96" i="3" s="1"/>
  <c r="N96" i="3" s="1"/>
  <c r="O96" i="3" s="1"/>
  <c r="U95" i="3"/>
  <c r="T95" i="3"/>
  <c r="S95" i="3"/>
  <c r="R95" i="3"/>
  <c r="Q95" i="3"/>
  <c r="V95" i="3" s="1"/>
  <c r="W95" i="3" s="1"/>
  <c r="N95" i="3" s="1"/>
  <c r="O95" i="3" s="1"/>
  <c r="W94" i="3"/>
  <c r="N94" i="3" s="1"/>
  <c r="O94" i="3" s="1"/>
  <c r="V94" i="3"/>
  <c r="U94" i="3"/>
  <c r="T94" i="3"/>
  <c r="S94" i="3"/>
  <c r="R94" i="3"/>
  <c r="Q94" i="3"/>
  <c r="U93" i="3"/>
  <c r="T93" i="3"/>
  <c r="S93" i="3"/>
  <c r="R93" i="3"/>
  <c r="Q93" i="3"/>
  <c r="V93" i="3" s="1"/>
  <c r="W93" i="3" s="1"/>
  <c r="N93" i="3" s="1"/>
  <c r="O93" i="3" s="1"/>
  <c r="U92" i="3"/>
  <c r="V92" i="3" s="1"/>
  <c r="W92" i="3" s="1"/>
  <c r="N92" i="3" s="1"/>
  <c r="O92" i="3" s="1"/>
  <c r="T92" i="3"/>
  <c r="S92" i="3"/>
  <c r="R92" i="3"/>
  <c r="Q92" i="3"/>
  <c r="W91" i="3"/>
  <c r="V91" i="3"/>
  <c r="U91" i="3"/>
  <c r="T91" i="3"/>
  <c r="S91" i="3"/>
  <c r="R91" i="3"/>
  <c r="Q91" i="3"/>
  <c r="N91" i="3"/>
  <c r="O91" i="3" s="1"/>
  <c r="W90" i="3"/>
  <c r="N90" i="3" s="1"/>
  <c r="O90" i="3" s="1"/>
  <c r="V90" i="3"/>
  <c r="U90" i="3"/>
  <c r="T90" i="3"/>
  <c r="S90" i="3"/>
  <c r="R90" i="3"/>
  <c r="Q90" i="3"/>
  <c r="U89" i="3"/>
  <c r="T89" i="3"/>
  <c r="V89" i="3" s="1"/>
  <c r="W89" i="3" s="1"/>
  <c r="N89" i="3" s="1"/>
  <c r="O89" i="3" s="1"/>
  <c r="S89" i="3"/>
  <c r="R89" i="3"/>
  <c r="Q89" i="3"/>
  <c r="U88" i="3"/>
  <c r="V88" i="3" s="1"/>
  <c r="W88" i="3" s="1"/>
  <c r="N88" i="3" s="1"/>
  <c r="O88" i="3" s="1"/>
  <c r="T88" i="3"/>
  <c r="S88" i="3"/>
  <c r="R88" i="3"/>
  <c r="Q88" i="3"/>
  <c r="U87" i="3"/>
  <c r="T87" i="3"/>
  <c r="S87" i="3"/>
  <c r="R87" i="3"/>
  <c r="V87" i="3" s="1"/>
  <c r="W87" i="3" s="1"/>
  <c r="N87" i="3" s="1"/>
  <c r="O87" i="3" s="1"/>
  <c r="Q87" i="3"/>
  <c r="U86" i="3"/>
  <c r="T86" i="3"/>
  <c r="S86" i="3"/>
  <c r="R86" i="3"/>
  <c r="Q86" i="3"/>
  <c r="V86" i="3" s="1"/>
  <c r="W86" i="3" s="1"/>
  <c r="N86" i="3" s="1"/>
  <c r="O86" i="3" s="1"/>
  <c r="U85" i="3"/>
  <c r="T85" i="3"/>
  <c r="S85" i="3"/>
  <c r="R85" i="3"/>
  <c r="Q85" i="3"/>
  <c r="V85" i="3" s="1"/>
  <c r="W85" i="3" s="1"/>
  <c r="N85" i="3" s="1"/>
  <c r="O85" i="3" s="1"/>
  <c r="U84" i="3"/>
  <c r="T84" i="3"/>
  <c r="S84" i="3"/>
  <c r="R84" i="3"/>
  <c r="Q84" i="3"/>
  <c r="V84" i="3" s="1"/>
  <c r="W84" i="3" s="1"/>
  <c r="N84" i="3" s="1"/>
  <c r="O84" i="3" s="1"/>
  <c r="V83" i="3"/>
  <c r="W83" i="3" s="1"/>
  <c r="N83" i="3" s="1"/>
  <c r="O83" i="3" s="1"/>
  <c r="U83" i="3"/>
  <c r="T83" i="3"/>
  <c r="S83" i="3"/>
  <c r="R83" i="3"/>
  <c r="Q83" i="3"/>
  <c r="U82" i="3"/>
  <c r="T82" i="3"/>
  <c r="S82" i="3"/>
  <c r="R82" i="3"/>
  <c r="Q82" i="3"/>
  <c r="V82" i="3" s="1"/>
  <c r="W82" i="3" s="1"/>
  <c r="N82" i="3" s="1"/>
  <c r="O82" i="3" s="1"/>
  <c r="U81" i="3"/>
  <c r="T81" i="3"/>
  <c r="V81" i="3" s="1"/>
  <c r="W81" i="3" s="1"/>
  <c r="N81" i="3" s="1"/>
  <c r="O81" i="3" s="1"/>
  <c r="S81" i="3"/>
  <c r="R81" i="3"/>
  <c r="Q81" i="3"/>
  <c r="V80" i="3"/>
  <c r="W80" i="3" s="1"/>
  <c r="N80" i="3" s="1"/>
  <c r="O80" i="3" s="1"/>
  <c r="U80" i="3"/>
  <c r="T80" i="3"/>
  <c r="S80" i="3"/>
  <c r="R80" i="3"/>
  <c r="Q80" i="3"/>
  <c r="V79" i="3"/>
  <c r="W79" i="3" s="1"/>
  <c r="N79" i="3" s="1"/>
  <c r="O79" i="3" s="1"/>
  <c r="U79" i="3"/>
  <c r="T79" i="3"/>
  <c r="S79" i="3"/>
  <c r="R79" i="3"/>
  <c r="Q79" i="3"/>
  <c r="U78" i="3"/>
  <c r="T78" i="3"/>
  <c r="S78" i="3"/>
  <c r="V78" i="3" s="1"/>
  <c r="W78" i="3" s="1"/>
  <c r="N78" i="3" s="1"/>
  <c r="O78" i="3" s="1"/>
  <c r="R78" i="3"/>
  <c r="Q78" i="3"/>
  <c r="U77" i="3"/>
  <c r="T77" i="3"/>
  <c r="S77" i="3"/>
  <c r="R77" i="3"/>
  <c r="V77" i="3" s="1"/>
  <c r="W77" i="3" s="1"/>
  <c r="N77" i="3" s="1"/>
  <c r="O77" i="3" s="1"/>
  <c r="Q77" i="3"/>
  <c r="U76" i="3"/>
  <c r="T76" i="3"/>
  <c r="S76" i="3"/>
  <c r="R76" i="3"/>
  <c r="Q76" i="3"/>
  <c r="V76" i="3" s="1"/>
  <c r="W76" i="3" s="1"/>
  <c r="N76" i="3" s="1"/>
  <c r="O76" i="3" s="1"/>
  <c r="U75" i="3"/>
  <c r="T75" i="3"/>
  <c r="S75" i="3"/>
  <c r="R75" i="3"/>
  <c r="Q75" i="3"/>
  <c r="V75" i="3" s="1"/>
  <c r="W75" i="3" s="1"/>
  <c r="N75" i="3" s="1"/>
  <c r="O75" i="3" s="1"/>
  <c r="U74" i="3"/>
  <c r="V74" i="3" s="1"/>
  <c r="W74" i="3" s="1"/>
  <c r="N74" i="3" s="1"/>
  <c r="O74" i="3" s="1"/>
  <c r="T74" i="3"/>
  <c r="S74" i="3"/>
  <c r="R74" i="3"/>
  <c r="Q74" i="3"/>
  <c r="U73" i="3"/>
  <c r="T73" i="3"/>
  <c r="S73" i="3"/>
  <c r="R73" i="3"/>
  <c r="Q73" i="3"/>
  <c r="V73" i="3" s="1"/>
  <c r="W73" i="3" s="1"/>
  <c r="N73" i="3" s="1"/>
  <c r="O73" i="3" s="1"/>
  <c r="U72" i="3"/>
  <c r="V72" i="3" s="1"/>
  <c r="W72" i="3" s="1"/>
  <c r="N72" i="3" s="1"/>
  <c r="O72" i="3" s="1"/>
  <c r="T72" i="3"/>
  <c r="S72" i="3"/>
  <c r="R72" i="3"/>
  <c r="Q72" i="3"/>
  <c r="W71" i="3"/>
  <c r="V71" i="3"/>
  <c r="U71" i="3"/>
  <c r="T71" i="3"/>
  <c r="S71" i="3"/>
  <c r="R71" i="3"/>
  <c r="Q71" i="3"/>
  <c r="N71" i="3"/>
  <c r="O71" i="3" s="1"/>
  <c r="W70" i="3"/>
  <c r="N70" i="3" s="1"/>
  <c r="O70" i="3" s="1"/>
  <c r="V70" i="3"/>
  <c r="U70" i="3"/>
  <c r="T70" i="3"/>
  <c r="S70" i="3"/>
  <c r="R70" i="3"/>
  <c r="Q70" i="3"/>
  <c r="U69" i="3"/>
  <c r="T69" i="3"/>
  <c r="V69" i="3" s="1"/>
  <c r="W69" i="3" s="1"/>
  <c r="N69" i="3" s="1"/>
  <c r="O69" i="3" s="1"/>
  <c r="S69" i="3"/>
  <c r="R69" i="3"/>
  <c r="Q69" i="3"/>
  <c r="U68" i="3"/>
  <c r="T68" i="3"/>
  <c r="V68" i="3" s="1"/>
  <c r="W68" i="3" s="1"/>
  <c r="N68" i="3" s="1"/>
  <c r="O68" i="3" s="1"/>
  <c r="S68" i="3"/>
  <c r="R68" i="3"/>
  <c r="Q68" i="3"/>
  <c r="U67" i="3"/>
  <c r="T67" i="3"/>
  <c r="S67" i="3"/>
  <c r="R67" i="3"/>
  <c r="V67" i="3" s="1"/>
  <c r="W67" i="3" s="1"/>
  <c r="N67" i="3" s="1"/>
  <c r="O67" i="3" s="1"/>
  <c r="Q67" i="3"/>
  <c r="U66" i="3"/>
  <c r="T66" i="3"/>
  <c r="S66" i="3"/>
  <c r="R66" i="3"/>
  <c r="Q66" i="3"/>
  <c r="V66" i="3" s="1"/>
  <c r="W66" i="3" s="1"/>
  <c r="N66" i="3" s="1"/>
  <c r="O66" i="3" s="1"/>
  <c r="U65" i="3"/>
  <c r="T65" i="3"/>
  <c r="S65" i="3"/>
  <c r="R65" i="3"/>
  <c r="Q65" i="3"/>
  <c r="V65" i="3" s="1"/>
  <c r="W65" i="3" s="1"/>
  <c r="N65" i="3" s="1"/>
  <c r="O65" i="3" s="1"/>
  <c r="U64" i="3"/>
  <c r="T64" i="3"/>
  <c r="S64" i="3"/>
  <c r="R64" i="3"/>
  <c r="Q64" i="3"/>
  <c r="V64" i="3" s="1"/>
  <c r="W64" i="3" s="1"/>
  <c r="N64" i="3" s="1"/>
  <c r="O64" i="3" s="1"/>
  <c r="V63" i="3"/>
  <c r="W63" i="3" s="1"/>
  <c r="N63" i="3" s="1"/>
  <c r="O63" i="3" s="1"/>
  <c r="U63" i="3"/>
  <c r="T63" i="3"/>
  <c r="S63" i="3"/>
  <c r="R63" i="3"/>
  <c r="Q63" i="3"/>
  <c r="U62" i="3"/>
  <c r="T62" i="3"/>
  <c r="S62" i="3"/>
  <c r="R62" i="3"/>
  <c r="Q62" i="3"/>
  <c r="V62" i="3" s="1"/>
  <c r="W62" i="3" s="1"/>
  <c r="N62" i="3" s="1"/>
  <c r="O62" i="3" s="1"/>
  <c r="U61" i="3"/>
  <c r="T61" i="3"/>
  <c r="V61" i="3" s="1"/>
  <c r="W61" i="3" s="1"/>
  <c r="N61" i="3" s="1"/>
  <c r="O61" i="3" s="1"/>
  <c r="S61" i="3"/>
  <c r="R61" i="3"/>
  <c r="Q61" i="3"/>
  <c r="V60" i="3"/>
  <c r="W60" i="3" s="1"/>
  <c r="N60" i="3" s="1"/>
  <c r="O60" i="3" s="1"/>
  <c r="U60" i="3"/>
  <c r="T60" i="3"/>
  <c r="S60" i="3"/>
  <c r="R60" i="3"/>
  <c r="Q60" i="3"/>
  <c r="V59" i="3"/>
  <c r="W59" i="3" s="1"/>
  <c r="N59" i="3" s="1"/>
  <c r="O59" i="3" s="1"/>
  <c r="U59" i="3"/>
  <c r="T59" i="3"/>
  <c r="S59" i="3"/>
  <c r="R59" i="3"/>
  <c r="Q59" i="3"/>
  <c r="U58" i="3"/>
  <c r="T58" i="3"/>
  <c r="S58" i="3"/>
  <c r="V58" i="3" s="1"/>
  <c r="W58" i="3" s="1"/>
  <c r="N58" i="3" s="1"/>
  <c r="O58" i="3" s="1"/>
  <c r="R58" i="3"/>
  <c r="Q58" i="3"/>
  <c r="U57" i="3"/>
  <c r="T57" i="3"/>
  <c r="S57" i="3"/>
  <c r="R57" i="3"/>
  <c r="Q57" i="3"/>
  <c r="V57" i="3" s="1"/>
  <c r="W57" i="3" s="1"/>
  <c r="N57" i="3" s="1"/>
  <c r="O57" i="3" s="1"/>
  <c r="U56" i="3"/>
  <c r="T56" i="3"/>
  <c r="S56" i="3"/>
  <c r="R56" i="3"/>
  <c r="Q56" i="3"/>
  <c r="V56" i="3" s="1"/>
  <c r="W56" i="3" s="1"/>
  <c r="N56" i="3" s="1"/>
  <c r="O56" i="3" s="1"/>
  <c r="U55" i="3"/>
  <c r="T55" i="3"/>
  <c r="S55" i="3"/>
  <c r="R55" i="3"/>
  <c r="Q55" i="3"/>
  <c r="V55" i="3" s="1"/>
  <c r="W55" i="3" s="1"/>
  <c r="N55" i="3" s="1"/>
  <c r="O55" i="3" s="1"/>
  <c r="U54" i="3"/>
  <c r="T54" i="3"/>
  <c r="S54" i="3"/>
  <c r="V54" i="3" s="1"/>
  <c r="W54" i="3" s="1"/>
  <c r="N54" i="3" s="1"/>
  <c r="O54" i="3" s="1"/>
  <c r="R54" i="3"/>
  <c r="Q54" i="3"/>
  <c r="U53" i="3"/>
  <c r="T53" i="3"/>
  <c r="S53" i="3"/>
  <c r="R53" i="3"/>
  <c r="Q53" i="3"/>
  <c r="V53" i="3" s="1"/>
  <c r="W53" i="3" s="1"/>
  <c r="N53" i="3" s="1"/>
  <c r="O53" i="3" s="1"/>
  <c r="U52" i="3"/>
  <c r="V52" i="3" s="1"/>
  <c r="W52" i="3" s="1"/>
  <c r="N52" i="3" s="1"/>
  <c r="O52" i="3" s="1"/>
  <c r="T52" i="3"/>
  <c r="S52" i="3"/>
  <c r="R52" i="3"/>
  <c r="Q52" i="3"/>
  <c r="W51" i="3"/>
  <c r="V51" i="3"/>
  <c r="U51" i="3"/>
  <c r="T51" i="3"/>
  <c r="S51" i="3"/>
  <c r="R51" i="3"/>
  <c r="Q51" i="3"/>
  <c r="N51" i="3"/>
  <c r="O51" i="3" s="1"/>
  <c r="W50" i="3"/>
  <c r="N50" i="3" s="1"/>
  <c r="O50" i="3" s="1"/>
  <c r="V50" i="3"/>
  <c r="U50" i="3"/>
  <c r="T50" i="3"/>
  <c r="S50" i="3"/>
  <c r="R50" i="3"/>
  <c r="Q50" i="3"/>
  <c r="U49" i="3"/>
  <c r="T49" i="3"/>
  <c r="V49" i="3" s="1"/>
  <c r="W49" i="3" s="1"/>
  <c r="N49" i="3" s="1"/>
  <c r="O49" i="3" s="1"/>
  <c r="S49" i="3"/>
  <c r="R49" i="3"/>
  <c r="Q49" i="3"/>
  <c r="U48" i="3"/>
  <c r="T48" i="3"/>
  <c r="S48" i="3"/>
  <c r="R48" i="3"/>
  <c r="Q48" i="3"/>
  <c r="V48" i="3" s="1"/>
  <c r="W48" i="3" s="1"/>
  <c r="N48" i="3" s="1"/>
  <c r="O48" i="3" s="1"/>
  <c r="U47" i="3"/>
  <c r="T47" i="3"/>
  <c r="S47" i="3"/>
  <c r="R47" i="3"/>
  <c r="V47" i="3" s="1"/>
  <c r="W47" i="3" s="1"/>
  <c r="N47" i="3" s="1"/>
  <c r="O47" i="3" s="1"/>
  <c r="Q47" i="3"/>
  <c r="U46" i="3"/>
  <c r="T46" i="3"/>
  <c r="S46" i="3"/>
  <c r="R46" i="3"/>
  <c r="Q46" i="3"/>
  <c r="V46" i="3" s="1"/>
  <c r="W46" i="3" s="1"/>
  <c r="N46" i="3" s="1"/>
  <c r="O46" i="3" s="1"/>
  <c r="U45" i="3"/>
  <c r="T45" i="3"/>
  <c r="S45" i="3"/>
  <c r="R45" i="3"/>
  <c r="Q45" i="3"/>
  <c r="V45" i="3" s="1"/>
  <c r="W45" i="3" s="1"/>
  <c r="N45" i="3" s="1"/>
  <c r="O45" i="3" s="1"/>
  <c r="U44" i="3"/>
  <c r="T44" i="3"/>
  <c r="S44" i="3"/>
  <c r="R44" i="3"/>
  <c r="Q44" i="3"/>
  <c r="V44" i="3" s="1"/>
  <c r="W44" i="3" s="1"/>
  <c r="O44" i="3"/>
  <c r="U43" i="3"/>
  <c r="V43" i="3" s="1"/>
  <c r="W43" i="3" s="1"/>
  <c r="N43" i="3" s="1"/>
  <c r="O43" i="3" s="1"/>
  <c r="T43" i="3"/>
  <c r="S43" i="3"/>
  <c r="R43" i="3"/>
  <c r="Q43" i="3"/>
  <c r="W42" i="3"/>
  <c r="N42" i="3" s="1"/>
  <c r="O42" i="3" s="1"/>
  <c r="V42" i="3"/>
  <c r="U42" i="3"/>
  <c r="T42" i="3"/>
  <c r="S42" i="3"/>
  <c r="R42" i="3"/>
  <c r="Q42" i="3"/>
  <c r="W41" i="3"/>
  <c r="N41" i="3" s="1"/>
  <c r="O41" i="3" s="1"/>
  <c r="V41" i="3"/>
  <c r="U41" i="3"/>
  <c r="T41" i="3"/>
  <c r="S41" i="3"/>
  <c r="R41" i="3"/>
  <c r="Q41" i="3"/>
  <c r="U40" i="3"/>
  <c r="T40" i="3"/>
  <c r="V40" i="3" s="1"/>
  <c r="W40" i="3" s="1"/>
  <c r="N40" i="3" s="1"/>
  <c r="O40" i="3" s="1"/>
  <c r="S40" i="3"/>
  <c r="R40" i="3"/>
  <c r="Q40" i="3"/>
  <c r="U39" i="3"/>
  <c r="T39" i="3"/>
  <c r="S39" i="3"/>
  <c r="R39" i="3"/>
  <c r="Q39" i="3"/>
  <c r="V39" i="3" s="1"/>
  <c r="W39" i="3" s="1"/>
  <c r="N39" i="3" s="1"/>
  <c r="O39" i="3" s="1"/>
  <c r="U38" i="3"/>
  <c r="T38" i="3"/>
  <c r="S38" i="3"/>
  <c r="R38" i="3"/>
  <c r="V38" i="3" s="1"/>
  <c r="W38" i="3" s="1"/>
  <c r="N38" i="3" s="1"/>
  <c r="O38" i="3" s="1"/>
  <c r="Q38" i="3"/>
  <c r="U37" i="3"/>
  <c r="T37" i="3"/>
  <c r="S37" i="3"/>
  <c r="R37" i="3"/>
  <c r="Q37" i="3"/>
  <c r="V37" i="3" s="1"/>
  <c r="W37" i="3" s="1"/>
  <c r="N37" i="3" s="1"/>
  <c r="O37" i="3" s="1"/>
  <c r="U36" i="3"/>
  <c r="T36" i="3"/>
  <c r="S36" i="3"/>
  <c r="R36" i="3"/>
  <c r="Q36" i="3"/>
  <c r="V36" i="3" s="1"/>
  <c r="W36" i="3" s="1"/>
  <c r="N36" i="3" s="1"/>
  <c r="O36" i="3" s="1"/>
  <c r="U35" i="3"/>
  <c r="T35" i="3"/>
  <c r="S35" i="3"/>
  <c r="R35" i="3"/>
  <c r="Q35" i="3"/>
  <c r="V35" i="3" s="1"/>
  <c r="W35" i="3" s="1"/>
  <c r="N35" i="3" s="1"/>
  <c r="O35" i="3" s="1"/>
  <c r="V34" i="3"/>
  <c r="W34" i="3" s="1"/>
  <c r="N34" i="3" s="1"/>
  <c r="O34" i="3" s="1"/>
  <c r="U34" i="3"/>
  <c r="T34" i="3"/>
  <c r="S34" i="3"/>
  <c r="R34" i="3"/>
  <c r="Q34" i="3"/>
  <c r="U33" i="3"/>
  <c r="T33" i="3"/>
  <c r="S33" i="3"/>
  <c r="R33" i="3"/>
  <c r="Q33" i="3"/>
  <c r="V33" i="3" s="1"/>
  <c r="W33" i="3" s="1"/>
  <c r="N33" i="3" s="1"/>
  <c r="O33" i="3" s="1"/>
  <c r="U32" i="3"/>
  <c r="T32" i="3"/>
  <c r="V32" i="3" s="1"/>
  <c r="W32" i="3" s="1"/>
  <c r="N32" i="3" s="1"/>
  <c r="O32" i="3" s="1"/>
  <c r="S32" i="3"/>
  <c r="R32" i="3"/>
  <c r="Q32" i="3"/>
  <c r="V31" i="3"/>
  <c r="W31" i="3" s="1"/>
  <c r="N31" i="3" s="1"/>
  <c r="O31" i="3" s="1"/>
  <c r="U31" i="3"/>
  <c r="T31" i="3"/>
  <c r="S31" i="3"/>
  <c r="R31" i="3"/>
  <c r="Q31" i="3"/>
  <c r="V30" i="3"/>
  <c r="W30" i="3" s="1"/>
  <c r="N30" i="3" s="1"/>
  <c r="O30" i="3" s="1"/>
  <c r="U30" i="3"/>
  <c r="T30" i="3"/>
  <c r="S30" i="3"/>
  <c r="R30" i="3"/>
  <c r="Q30" i="3"/>
  <c r="U29" i="3"/>
  <c r="T29" i="3"/>
  <c r="S29" i="3"/>
  <c r="V29" i="3" s="1"/>
  <c r="W29" i="3" s="1"/>
  <c r="N29" i="3" s="1"/>
  <c r="O29" i="3" s="1"/>
  <c r="R29" i="3"/>
  <c r="Q29" i="3"/>
  <c r="U28" i="3"/>
  <c r="T28" i="3"/>
  <c r="S28" i="3"/>
  <c r="R28" i="3"/>
  <c r="Q28" i="3"/>
  <c r="V28" i="3" s="1"/>
  <c r="W28" i="3" s="1"/>
  <c r="N28" i="3" s="1"/>
  <c r="O28" i="3" s="1"/>
  <c r="U27" i="3"/>
  <c r="T27" i="3"/>
  <c r="S27" i="3"/>
  <c r="R27" i="3"/>
  <c r="Q27" i="3"/>
  <c r="V27" i="3" s="1"/>
  <c r="W27" i="3" s="1"/>
  <c r="N27" i="3" s="1"/>
  <c r="O27" i="3" s="1"/>
  <c r="U26" i="3"/>
  <c r="T26" i="3"/>
  <c r="S26" i="3"/>
  <c r="R26" i="3"/>
  <c r="Q26" i="3"/>
  <c r="V26" i="3" s="1"/>
  <c r="W26" i="3" s="1"/>
  <c r="N26" i="3" s="1"/>
  <c r="O26" i="3" s="1"/>
  <c r="U25" i="3"/>
  <c r="T25" i="3"/>
  <c r="S25" i="3"/>
  <c r="V25" i="3" s="1"/>
  <c r="W25" i="3" s="1"/>
  <c r="N25" i="3" s="1"/>
  <c r="O25" i="3" s="1"/>
  <c r="R25" i="3"/>
  <c r="Q25" i="3"/>
  <c r="U24" i="3"/>
  <c r="T24" i="3"/>
  <c r="S24" i="3"/>
  <c r="R24" i="3"/>
  <c r="Q24" i="3"/>
  <c r="V24" i="3" s="1"/>
  <c r="W24" i="3" s="1"/>
  <c r="N24" i="3" s="1"/>
  <c r="O24" i="3" s="1"/>
  <c r="U23" i="3"/>
  <c r="V23" i="3" s="1"/>
  <c r="W23" i="3" s="1"/>
  <c r="N23" i="3" s="1"/>
  <c r="O23" i="3" s="1"/>
  <c r="T23" i="3"/>
  <c r="S23" i="3"/>
  <c r="R23" i="3"/>
  <c r="Q23" i="3"/>
  <c r="W22" i="3"/>
  <c r="V22" i="3"/>
  <c r="U22" i="3"/>
  <c r="T22" i="3"/>
  <c r="S22" i="3"/>
  <c r="R22" i="3"/>
  <c r="Q22" i="3"/>
  <c r="N22" i="3"/>
  <c r="O22" i="3" s="1"/>
  <c r="W21" i="3"/>
  <c r="N21" i="3" s="1"/>
  <c r="O21" i="3" s="1"/>
  <c r="V21" i="3"/>
  <c r="U21" i="3"/>
  <c r="T21" i="3"/>
  <c r="S21" i="3"/>
  <c r="R21" i="3"/>
  <c r="Q21" i="3"/>
  <c r="U20" i="3"/>
  <c r="T20" i="3"/>
  <c r="V20" i="3" s="1"/>
  <c r="W20" i="3" s="1"/>
  <c r="N20" i="3" s="1"/>
  <c r="O20" i="3" s="1"/>
  <c r="S20" i="3"/>
  <c r="R20" i="3"/>
  <c r="Q20" i="3"/>
  <c r="U19" i="3"/>
  <c r="T19" i="3"/>
  <c r="S19" i="3"/>
  <c r="R19" i="3"/>
  <c r="Q19" i="3"/>
  <c r="V19" i="3" s="1"/>
  <c r="W19" i="3" s="1"/>
  <c r="N19" i="3" s="1"/>
  <c r="O19" i="3" s="1"/>
  <c r="U18" i="3"/>
  <c r="T18" i="3"/>
  <c r="S18" i="3"/>
  <c r="R18" i="3"/>
  <c r="V18" i="3" s="1"/>
  <c r="W18" i="3" s="1"/>
  <c r="N18" i="3" s="1"/>
  <c r="O18" i="3" s="1"/>
  <c r="Q18" i="3"/>
  <c r="U17" i="3"/>
  <c r="T17" i="3"/>
  <c r="S17" i="3"/>
  <c r="R17" i="3"/>
  <c r="Q17" i="3"/>
  <c r="V17" i="3" s="1"/>
  <c r="W17" i="3" s="1"/>
  <c r="N17" i="3" s="1"/>
  <c r="O17" i="3" s="1"/>
  <c r="U16" i="3"/>
  <c r="T16" i="3"/>
  <c r="S16" i="3"/>
  <c r="R16" i="3"/>
  <c r="Q16" i="3"/>
  <c r="V16" i="3" s="1"/>
  <c r="W16" i="3" s="1"/>
  <c r="N16" i="3" s="1"/>
  <c r="O16" i="3" s="1"/>
  <c r="U15" i="3"/>
  <c r="T15" i="3"/>
  <c r="S15" i="3"/>
  <c r="R15" i="3"/>
  <c r="Q15" i="3"/>
  <c r="V15" i="3" s="1"/>
  <c r="W15" i="3" s="1"/>
  <c r="N15" i="3" s="1"/>
  <c r="O15" i="3" s="1"/>
  <c r="V14" i="3"/>
  <c r="W14" i="3" s="1"/>
  <c r="N14" i="3" s="1"/>
  <c r="O14" i="3" s="1"/>
  <c r="U14" i="3"/>
  <c r="T14" i="3"/>
  <c r="S14" i="3"/>
  <c r="R14" i="3"/>
  <c r="Q14" i="3"/>
  <c r="U13" i="3"/>
  <c r="T13" i="3"/>
  <c r="S13" i="3"/>
  <c r="R13" i="3"/>
  <c r="Q13" i="3"/>
  <c r="V13" i="3" s="1"/>
  <c r="W13" i="3" s="1"/>
  <c r="N13" i="3" s="1"/>
  <c r="O13" i="3" s="1"/>
  <c r="U12" i="3"/>
  <c r="T12" i="3"/>
  <c r="V12" i="3" s="1"/>
  <c r="W12" i="3" s="1"/>
  <c r="N12" i="3" s="1"/>
  <c r="O12" i="3" s="1"/>
  <c r="S12" i="3"/>
  <c r="R12" i="3"/>
  <c r="Q12" i="3"/>
  <c r="V11" i="3"/>
  <c r="W11" i="3" s="1"/>
  <c r="N11" i="3" s="1"/>
  <c r="O11" i="3" s="1"/>
  <c r="U11" i="3"/>
  <c r="T11" i="3"/>
  <c r="S11" i="3"/>
  <c r="R11" i="3"/>
  <c r="Q11" i="3"/>
  <c r="U10" i="3"/>
  <c r="V10" i="3" s="1"/>
  <c r="W10" i="3" s="1"/>
  <c r="N10" i="3" s="1"/>
  <c r="O10" i="3" s="1"/>
  <c r="T10" i="3"/>
  <c r="S10" i="3"/>
  <c r="R10" i="3"/>
  <c r="Q10" i="3"/>
  <c r="U9" i="3"/>
  <c r="T9" i="3"/>
  <c r="S9" i="3"/>
  <c r="V9" i="3" s="1"/>
  <c r="W9" i="3" s="1"/>
  <c r="N9" i="3" s="1"/>
  <c r="O9" i="3" s="1"/>
  <c r="R9" i="3"/>
  <c r="Q9" i="3"/>
  <c r="U8" i="3"/>
  <c r="T8" i="3"/>
  <c r="S8" i="3"/>
  <c r="R8" i="3"/>
  <c r="Q8" i="3"/>
  <c r="V8" i="3" s="1"/>
  <c r="W8" i="3" s="1"/>
  <c r="N8" i="3" s="1"/>
  <c r="O8" i="3" s="1"/>
  <c r="U7" i="3"/>
  <c r="T7" i="3"/>
  <c r="S7" i="3"/>
  <c r="R7" i="3"/>
  <c r="Q7" i="3"/>
  <c r="V7" i="3" s="1"/>
  <c r="W7" i="3" s="1"/>
  <c r="N7" i="3" s="1"/>
  <c r="O7" i="3" s="1"/>
  <c r="U6" i="3"/>
  <c r="T6" i="3"/>
  <c r="S6" i="3"/>
  <c r="R6" i="3"/>
  <c r="Q6" i="3"/>
  <c r="V6" i="3" s="1"/>
  <c r="W6" i="3" s="1"/>
  <c r="N6" i="3" s="1"/>
  <c r="O6" i="3" s="1"/>
  <c r="U5" i="3"/>
  <c r="T5" i="3"/>
  <c r="S5" i="3"/>
  <c r="V5" i="3" s="1"/>
  <c r="W5" i="3" s="1"/>
  <c r="R5" i="3"/>
  <c r="Q5" i="3"/>
  <c r="O5" i="3"/>
  <c r="U4" i="3"/>
  <c r="T4" i="3"/>
  <c r="S4" i="3"/>
  <c r="R4" i="3"/>
  <c r="Q4" i="3"/>
  <c r="V4" i="3" s="1"/>
  <c r="W4" i="3" s="1"/>
  <c r="N4" i="3" s="1"/>
  <c r="O4" i="3" s="1"/>
  <c r="U3" i="3"/>
  <c r="T3" i="3"/>
  <c r="V3" i="3" s="1"/>
  <c r="W3" i="3" s="1"/>
  <c r="N3" i="3" s="1"/>
  <c r="O3" i="3" s="1"/>
  <c r="S3" i="3"/>
  <c r="R3" i="3"/>
  <c r="Q3" i="3"/>
  <c r="O102" i="1"/>
  <c r="N102" i="1"/>
  <c r="M102" i="1"/>
  <c r="L102" i="1"/>
  <c r="K102" i="1"/>
  <c r="O100" i="1"/>
  <c r="N100" i="1"/>
  <c r="M100" i="1"/>
  <c r="L100" i="1"/>
  <c r="K100" i="1"/>
  <c r="O99" i="1"/>
  <c r="N99" i="1"/>
  <c r="M99" i="1"/>
  <c r="L99" i="1"/>
  <c r="K99" i="1"/>
  <c r="O98" i="1"/>
  <c r="N98" i="1"/>
  <c r="M98" i="1"/>
  <c r="L98" i="1"/>
  <c r="K98" i="1"/>
  <c r="O97" i="1"/>
  <c r="N97" i="1"/>
  <c r="M97" i="1"/>
  <c r="L97" i="1"/>
  <c r="K97" i="1"/>
  <c r="O96" i="1"/>
  <c r="N96" i="1"/>
  <c r="M96" i="1"/>
  <c r="L96" i="1"/>
  <c r="K96" i="1"/>
  <c r="O116" i="1"/>
  <c r="N116" i="1"/>
  <c r="M116" i="1"/>
  <c r="L116" i="1"/>
  <c r="K116" i="1"/>
  <c r="O94" i="1"/>
  <c r="N94" i="1"/>
  <c r="M94" i="1"/>
  <c r="L94" i="1"/>
  <c r="K94" i="1"/>
  <c r="O93" i="1"/>
  <c r="N93" i="1"/>
  <c r="M93" i="1"/>
  <c r="L93" i="1"/>
  <c r="K93" i="1"/>
  <c r="O92" i="1"/>
  <c r="N92" i="1"/>
  <c r="M92" i="1"/>
  <c r="L92" i="1"/>
  <c r="K92" i="1"/>
  <c r="O91" i="1"/>
  <c r="N91" i="1"/>
  <c r="M91" i="1"/>
  <c r="L91" i="1"/>
  <c r="K91" i="1"/>
  <c r="O82" i="1"/>
  <c r="N82" i="1"/>
  <c r="M82" i="1"/>
  <c r="L82" i="1"/>
  <c r="K82" i="1"/>
  <c r="O80" i="1"/>
  <c r="N80" i="1"/>
  <c r="M80" i="1"/>
  <c r="L80" i="1"/>
  <c r="K80" i="1"/>
  <c r="O79" i="1"/>
  <c r="N79" i="1"/>
  <c r="M79" i="1"/>
  <c r="L79" i="1"/>
  <c r="K79" i="1"/>
  <c r="O78" i="1"/>
  <c r="N78" i="1"/>
  <c r="M78" i="1"/>
  <c r="L78" i="1"/>
  <c r="K78" i="1"/>
  <c r="O85" i="1"/>
  <c r="N85" i="1"/>
  <c r="M85" i="1"/>
  <c r="L85" i="1"/>
  <c r="K85" i="1"/>
  <c r="O83" i="1"/>
  <c r="N83" i="1"/>
  <c r="M83" i="1"/>
  <c r="L83" i="1"/>
  <c r="K83" i="1"/>
  <c r="O86" i="1"/>
  <c r="N86" i="1"/>
  <c r="M86" i="1"/>
  <c r="L86" i="1"/>
  <c r="K86" i="1"/>
  <c r="O117" i="1"/>
  <c r="N117" i="1"/>
  <c r="M117" i="1"/>
  <c r="L117" i="1"/>
  <c r="K117" i="1"/>
  <c r="O87" i="1"/>
  <c r="N87" i="1"/>
  <c r="M87" i="1"/>
  <c r="L87" i="1"/>
  <c r="K87" i="1"/>
  <c r="O114" i="1"/>
  <c r="N114" i="1"/>
  <c r="M114" i="1"/>
  <c r="L114" i="1"/>
  <c r="K114" i="1"/>
  <c r="O27" i="1"/>
  <c r="N27" i="1"/>
  <c r="M27" i="1"/>
  <c r="L27" i="1"/>
  <c r="K27" i="1"/>
  <c r="O26" i="1"/>
  <c r="N26" i="1"/>
  <c r="M26" i="1"/>
  <c r="L26" i="1"/>
  <c r="K26" i="1"/>
  <c r="O25" i="1"/>
  <c r="N25" i="1"/>
  <c r="M25" i="1"/>
  <c r="L25" i="1"/>
  <c r="K25" i="1"/>
  <c r="O24" i="1"/>
  <c r="N24" i="1"/>
  <c r="M24" i="1"/>
  <c r="L24" i="1"/>
  <c r="K24" i="1"/>
  <c r="O23" i="1"/>
  <c r="N23" i="1"/>
  <c r="M23" i="1"/>
  <c r="L23" i="1"/>
  <c r="K23" i="1"/>
  <c r="O22" i="1"/>
  <c r="N22" i="1"/>
  <c r="M22" i="1"/>
  <c r="L22" i="1"/>
  <c r="K22" i="1"/>
  <c r="O21" i="1"/>
  <c r="N21" i="1"/>
  <c r="M21" i="1"/>
  <c r="L21" i="1"/>
  <c r="K21" i="1"/>
  <c r="O112" i="1"/>
  <c r="N112" i="1"/>
  <c r="M112" i="1"/>
  <c r="L112" i="1"/>
  <c r="K112" i="1"/>
  <c r="O32" i="1"/>
  <c r="N32" i="1"/>
  <c r="M32" i="1"/>
  <c r="L32" i="1"/>
  <c r="K32" i="1"/>
  <c r="O31" i="1"/>
  <c r="N31" i="1"/>
  <c r="M31" i="1"/>
  <c r="L31" i="1"/>
  <c r="K31" i="1"/>
  <c r="O29" i="1"/>
  <c r="N29" i="1"/>
  <c r="M29" i="1"/>
  <c r="L29" i="1"/>
  <c r="K29" i="1"/>
  <c r="O28" i="1"/>
  <c r="N28" i="1"/>
  <c r="M28" i="1"/>
  <c r="L28" i="1"/>
  <c r="K28" i="1"/>
  <c r="O37" i="1"/>
  <c r="N37" i="1"/>
  <c r="M37" i="1"/>
  <c r="L37" i="1"/>
  <c r="K37" i="1"/>
  <c r="O33" i="1"/>
  <c r="N33" i="1"/>
  <c r="M33" i="1"/>
  <c r="L33" i="1"/>
  <c r="K33" i="1"/>
  <c r="O38" i="1"/>
  <c r="N38" i="1"/>
  <c r="M38" i="1"/>
  <c r="L38" i="1"/>
  <c r="K38" i="1"/>
  <c r="O16" i="1"/>
  <c r="N16" i="1"/>
  <c r="M16" i="1"/>
  <c r="L16" i="1"/>
  <c r="K16" i="1"/>
  <c r="O18" i="1"/>
  <c r="N18" i="1"/>
  <c r="M18" i="1"/>
  <c r="L18" i="1"/>
  <c r="K18" i="1"/>
  <c r="O19" i="1"/>
  <c r="N19" i="1"/>
  <c r="M19" i="1"/>
  <c r="L19" i="1"/>
  <c r="K19" i="1"/>
  <c r="O59" i="1"/>
  <c r="N59" i="1"/>
  <c r="M59" i="1"/>
  <c r="L59" i="1"/>
  <c r="K59" i="1"/>
  <c r="O56" i="1"/>
  <c r="N56" i="1"/>
  <c r="M56" i="1"/>
  <c r="L56" i="1"/>
  <c r="K56" i="1"/>
  <c r="O55" i="1"/>
  <c r="N55" i="1"/>
  <c r="M55" i="1"/>
  <c r="L55" i="1"/>
  <c r="K55" i="1"/>
  <c r="O54" i="1"/>
  <c r="N54" i="1"/>
  <c r="M54" i="1"/>
  <c r="L54" i="1"/>
  <c r="K54" i="1"/>
  <c r="O53" i="1"/>
  <c r="N53" i="1"/>
  <c r="M53" i="1"/>
  <c r="L53" i="1"/>
  <c r="K53" i="1"/>
  <c r="O52" i="1"/>
  <c r="N52" i="1"/>
  <c r="M52" i="1"/>
  <c r="L52" i="1"/>
  <c r="K52" i="1"/>
  <c r="O51" i="1"/>
  <c r="N51" i="1"/>
  <c r="M51" i="1"/>
  <c r="L51" i="1"/>
  <c r="K51" i="1"/>
  <c r="O50" i="1"/>
  <c r="N50" i="1"/>
  <c r="M50" i="1"/>
  <c r="L50" i="1"/>
  <c r="K50" i="1"/>
  <c r="O49" i="1"/>
  <c r="N49" i="1"/>
  <c r="M49" i="1"/>
  <c r="L49" i="1"/>
  <c r="K49" i="1"/>
  <c r="O48" i="1"/>
  <c r="N48" i="1"/>
  <c r="M48" i="1"/>
  <c r="L48" i="1"/>
  <c r="K48" i="1"/>
  <c r="O47" i="1"/>
  <c r="N47" i="1"/>
  <c r="M47" i="1"/>
  <c r="L47" i="1"/>
  <c r="K47" i="1"/>
  <c r="O46" i="1"/>
  <c r="N46" i="1"/>
  <c r="M46" i="1"/>
  <c r="L46" i="1"/>
  <c r="K46" i="1"/>
  <c r="O45" i="1"/>
  <c r="N45" i="1"/>
  <c r="M45" i="1"/>
  <c r="L45" i="1"/>
  <c r="K45" i="1"/>
  <c r="O44" i="1"/>
  <c r="N44" i="1"/>
  <c r="M44" i="1"/>
  <c r="L44" i="1"/>
  <c r="K44" i="1"/>
  <c r="O42" i="1"/>
  <c r="N42" i="1"/>
  <c r="M42" i="1"/>
  <c r="L42" i="1"/>
  <c r="K42" i="1"/>
  <c r="O41" i="1"/>
  <c r="N41" i="1"/>
  <c r="M41" i="1"/>
  <c r="L41" i="1"/>
  <c r="K41" i="1"/>
  <c r="O40" i="1"/>
  <c r="N40" i="1"/>
  <c r="M40" i="1"/>
  <c r="L40" i="1"/>
  <c r="K40" i="1"/>
  <c r="O118" i="1"/>
  <c r="N118" i="1"/>
  <c r="M118" i="1"/>
  <c r="L118" i="1"/>
  <c r="O3" i="1"/>
  <c r="N3" i="1"/>
  <c r="M3" i="1"/>
  <c r="L3" i="1"/>
  <c r="K3" i="1"/>
  <c r="O4" i="1"/>
  <c r="N4" i="1"/>
  <c r="M4" i="1"/>
  <c r="L4" i="1"/>
  <c r="K4" i="1"/>
  <c r="O111" i="1"/>
  <c r="N111" i="1"/>
  <c r="M111" i="1"/>
  <c r="L111" i="1"/>
  <c r="K111" i="1"/>
  <c r="O15" i="1"/>
  <c r="N15" i="1"/>
  <c r="M15" i="1"/>
  <c r="L15" i="1"/>
  <c r="K15" i="1"/>
  <c r="O110" i="1"/>
  <c r="N110" i="1"/>
  <c r="M110" i="1"/>
  <c r="L110" i="1"/>
  <c r="K110" i="1"/>
  <c r="O10" i="1"/>
  <c r="N10" i="1"/>
  <c r="M10" i="1"/>
  <c r="L10" i="1"/>
  <c r="K10" i="1"/>
  <c r="O9" i="1"/>
  <c r="N9" i="1"/>
  <c r="M9" i="1"/>
  <c r="L9" i="1"/>
  <c r="K9" i="1"/>
  <c r="O14" i="1"/>
  <c r="N14" i="1"/>
  <c r="M14" i="1"/>
  <c r="L14" i="1"/>
  <c r="K14" i="1"/>
  <c r="O13" i="1"/>
  <c r="N13" i="1"/>
  <c r="M13" i="1"/>
  <c r="L13" i="1"/>
  <c r="K13" i="1"/>
  <c r="O8" i="1"/>
  <c r="N8" i="1"/>
  <c r="M8" i="1"/>
  <c r="L8" i="1"/>
  <c r="K8" i="1"/>
  <c r="O7" i="1"/>
  <c r="N7" i="1"/>
  <c r="M7" i="1"/>
  <c r="L7" i="1"/>
  <c r="K7" i="1"/>
  <c r="M5" i="1"/>
  <c r="O5" i="1"/>
  <c r="N5" i="1"/>
  <c r="L5" i="1"/>
  <c r="K5" i="1"/>
  <c r="O76" i="1"/>
  <c r="N76" i="1"/>
  <c r="M76" i="1"/>
  <c r="L76" i="1"/>
  <c r="K76" i="1"/>
  <c r="O75" i="1"/>
  <c r="N75" i="1"/>
  <c r="M75" i="1"/>
  <c r="L75" i="1"/>
  <c r="K75" i="1"/>
  <c r="O74" i="1"/>
  <c r="N74" i="1"/>
  <c r="M74" i="1"/>
  <c r="L74" i="1"/>
  <c r="K74" i="1"/>
  <c r="O73" i="1"/>
  <c r="N73" i="1"/>
  <c r="M73" i="1"/>
  <c r="L73" i="1"/>
  <c r="K73" i="1"/>
  <c r="O72" i="1"/>
  <c r="N72" i="1"/>
  <c r="M72" i="1"/>
  <c r="L72" i="1"/>
  <c r="K72" i="1"/>
  <c r="O71" i="1"/>
  <c r="N71" i="1"/>
  <c r="M71" i="1"/>
  <c r="L71" i="1"/>
  <c r="K71" i="1"/>
  <c r="O70" i="1"/>
  <c r="N70" i="1"/>
  <c r="M70" i="1"/>
  <c r="L70" i="1"/>
  <c r="K70" i="1"/>
  <c r="O69" i="1"/>
  <c r="N69" i="1"/>
  <c r="M69" i="1"/>
  <c r="L69" i="1"/>
  <c r="K69" i="1"/>
  <c r="O64" i="1"/>
  <c r="N64" i="1"/>
  <c r="M64" i="1"/>
  <c r="L64" i="1"/>
  <c r="K64" i="1"/>
  <c r="O63" i="1"/>
  <c r="N63" i="1"/>
  <c r="M63" i="1"/>
  <c r="L63" i="1"/>
  <c r="K63" i="1"/>
  <c r="O62" i="1"/>
  <c r="N62" i="1"/>
  <c r="M62" i="1"/>
  <c r="L62" i="1"/>
  <c r="K62" i="1"/>
  <c r="O61" i="1"/>
  <c r="N61" i="1"/>
  <c r="M61" i="1"/>
  <c r="L61" i="1"/>
  <c r="K61" i="1"/>
  <c r="O90" i="1"/>
  <c r="N90" i="1"/>
  <c r="M90" i="1"/>
  <c r="L90" i="1"/>
  <c r="K90" i="1"/>
  <c r="O89" i="1"/>
  <c r="N89" i="1"/>
  <c r="M89" i="1"/>
  <c r="L89" i="1"/>
  <c r="K89" i="1"/>
  <c r="O88" i="1"/>
  <c r="N88" i="1"/>
  <c r="M88" i="1"/>
  <c r="L88" i="1"/>
  <c r="K88" i="1"/>
  <c r="O67" i="1"/>
  <c r="N67" i="1"/>
  <c r="M67" i="1"/>
  <c r="L67" i="1"/>
  <c r="K67" i="1"/>
  <c r="O68" i="1"/>
  <c r="N68" i="1"/>
  <c r="M68" i="1"/>
  <c r="L68" i="1"/>
  <c r="K68" i="1"/>
  <c r="O65" i="1"/>
  <c r="N65" i="1"/>
  <c r="M65" i="1"/>
  <c r="L65" i="1"/>
  <c r="K65" i="1"/>
  <c r="O66" i="1"/>
  <c r="N66" i="1"/>
  <c r="M66" i="1"/>
  <c r="L66" i="1"/>
  <c r="K66" i="1"/>
  <c r="Q292" i="12" l="1"/>
  <c r="R292" i="12" s="1"/>
  <c r="Q55" i="12"/>
  <c r="R55" i="12" s="1"/>
  <c r="Q17" i="13"/>
  <c r="R17" i="13" s="1"/>
  <c r="Q4" i="12"/>
  <c r="R4" i="12" s="1"/>
  <c r="P17" i="1"/>
  <c r="Q17" i="1" s="1"/>
  <c r="I17" i="1" s="1"/>
  <c r="C17" i="1" s="1"/>
  <c r="P11" i="1"/>
  <c r="Q11" i="1" s="1"/>
  <c r="P107" i="1"/>
  <c r="Q107" i="1" s="1"/>
  <c r="I107" i="1" s="1"/>
  <c r="C107" i="1" s="1"/>
  <c r="P104" i="1"/>
  <c r="Q104" i="1" s="1"/>
  <c r="I104" i="1" s="1"/>
  <c r="C104" i="1" s="1"/>
  <c r="P105" i="1"/>
  <c r="Q105" i="1" s="1"/>
  <c r="I105" i="1" s="1"/>
  <c r="C105" i="1" s="1"/>
  <c r="P106" i="1"/>
  <c r="Q106" i="1" s="1"/>
  <c r="I106" i="1" s="1"/>
  <c r="C106" i="1" s="1"/>
  <c r="P108" i="1"/>
  <c r="Q108" i="1" s="1"/>
  <c r="I108" i="1" s="1"/>
  <c r="C108" i="1" s="1"/>
  <c r="P118" i="1"/>
  <c r="Q118" i="1" s="1"/>
  <c r="I118" i="1" s="1"/>
  <c r="C118" i="1" s="1"/>
  <c r="P115" i="1"/>
  <c r="Q115" i="1" s="1"/>
  <c r="I115" i="1" s="1"/>
  <c r="C115" i="1" s="1"/>
  <c r="P113" i="1"/>
  <c r="P119" i="1"/>
  <c r="Q119" i="1" s="1"/>
  <c r="I119" i="1" s="1"/>
  <c r="C119" i="1" s="1"/>
  <c r="P80" i="1"/>
  <c r="Q80" i="1" s="1"/>
  <c r="I80" i="1" s="1"/>
  <c r="C80" i="1" s="1"/>
  <c r="P82" i="1"/>
  <c r="Q82" i="1" s="1"/>
  <c r="I82" i="1" s="1"/>
  <c r="C82" i="1" s="1"/>
  <c r="P102" i="1"/>
  <c r="Q102" i="1" s="1"/>
  <c r="I102" i="1" s="1"/>
  <c r="C102" i="1" s="1"/>
  <c r="P100" i="1"/>
  <c r="Q100" i="1" s="1"/>
  <c r="I100" i="1" s="1"/>
  <c r="C100" i="1" s="1"/>
  <c r="P99" i="1"/>
  <c r="Q99" i="1" s="1"/>
  <c r="I99" i="1" s="1"/>
  <c r="C99" i="1" s="1"/>
  <c r="P98" i="1"/>
  <c r="Q98" i="1" s="1"/>
  <c r="I98" i="1" s="1"/>
  <c r="C98" i="1" s="1"/>
  <c r="P97" i="1"/>
  <c r="Q97" i="1" s="1"/>
  <c r="I97" i="1" s="1"/>
  <c r="C97" i="1" s="1"/>
  <c r="P96" i="1"/>
  <c r="Q96" i="1" s="1"/>
  <c r="I96" i="1" s="1"/>
  <c r="C96" i="1" s="1"/>
  <c r="P116" i="1"/>
  <c r="Q116" i="1" s="1"/>
  <c r="I116" i="1" s="1"/>
  <c r="C116" i="1" s="1"/>
  <c r="P94" i="1"/>
  <c r="Q94" i="1" s="1"/>
  <c r="I94" i="1" s="1"/>
  <c r="C94" i="1" s="1"/>
  <c r="P93" i="1"/>
  <c r="Q93" i="1" s="1"/>
  <c r="I93" i="1" s="1"/>
  <c r="C93" i="1" s="1"/>
  <c r="P92" i="1"/>
  <c r="Q92" i="1" s="1"/>
  <c r="I92" i="1" s="1"/>
  <c r="C92" i="1" s="1"/>
  <c r="P91" i="1"/>
  <c r="Q91" i="1" s="1"/>
  <c r="I91" i="1" s="1"/>
  <c r="C91" i="1" s="1"/>
  <c r="P79" i="1"/>
  <c r="Q79" i="1" s="1"/>
  <c r="I79" i="1" s="1"/>
  <c r="C79" i="1" s="1"/>
  <c r="P78" i="1"/>
  <c r="Q78" i="1" s="1"/>
  <c r="I78" i="1" s="1"/>
  <c r="C78" i="1" s="1"/>
  <c r="P117" i="1"/>
  <c r="Q117" i="1" s="1"/>
  <c r="I117" i="1" s="1"/>
  <c r="C117" i="1" s="1"/>
  <c r="P83" i="1"/>
  <c r="Q83" i="1" s="1"/>
  <c r="I83" i="1" s="1"/>
  <c r="C83" i="1" s="1"/>
  <c r="P87" i="1"/>
  <c r="Q87" i="1" s="1"/>
  <c r="I87" i="1" s="1"/>
  <c r="C87" i="1" s="1"/>
  <c r="P85" i="1"/>
  <c r="Q85" i="1" s="1"/>
  <c r="I85" i="1" s="1"/>
  <c r="C85" i="1" s="1"/>
  <c r="P86" i="1"/>
  <c r="Q86" i="1" s="1"/>
  <c r="I86" i="1" s="1"/>
  <c r="C86" i="1" s="1"/>
  <c r="P114" i="1"/>
  <c r="Q114" i="1" s="1"/>
  <c r="I114" i="1" s="1"/>
  <c r="C114" i="1" s="1"/>
  <c r="P29" i="1"/>
  <c r="Q29" i="1" s="1"/>
  <c r="I29" i="1" s="1"/>
  <c r="C29" i="1" s="1"/>
  <c r="P27" i="1"/>
  <c r="Q27" i="1" s="1"/>
  <c r="I27" i="1" s="1"/>
  <c r="C27" i="1" s="1"/>
  <c r="P26" i="1"/>
  <c r="Q26" i="1" s="1"/>
  <c r="I26" i="1" s="1"/>
  <c r="C26" i="1" s="1"/>
  <c r="P25" i="1"/>
  <c r="Q25" i="1" s="1"/>
  <c r="I25" i="1" s="1"/>
  <c r="C25" i="1" s="1"/>
  <c r="P22" i="1"/>
  <c r="Q22" i="1" s="1"/>
  <c r="I22" i="1" s="1"/>
  <c r="C22" i="1" s="1"/>
  <c r="P23" i="1"/>
  <c r="Q23" i="1" s="1"/>
  <c r="I23" i="1" s="1"/>
  <c r="C23" i="1" s="1"/>
  <c r="P24" i="1"/>
  <c r="Q24" i="1" s="1"/>
  <c r="I24" i="1" s="1"/>
  <c r="C24" i="1" s="1"/>
  <c r="P112" i="1"/>
  <c r="Q112" i="1" s="1"/>
  <c r="I112" i="1" s="1"/>
  <c r="C112" i="1" s="1"/>
  <c r="P21" i="1"/>
  <c r="Q21" i="1" s="1"/>
  <c r="I21" i="1" s="1"/>
  <c r="C21" i="1" s="1"/>
  <c r="P32" i="1"/>
  <c r="Q32" i="1" s="1"/>
  <c r="I32" i="1" s="1"/>
  <c r="C32" i="1" s="1"/>
  <c r="P28" i="1"/>
  <c r="Q28" i="1" s="1"/>
  <c r="I28" i="1" s="1"/>
  <c r="C28" i="1" s="1"/>
  <c r="P31" i="1"/>
  <c r="Q31" i="1" s="1"/>
  <c r="I31" i="1" s="1"/>
  <c r="C31" i="1" s="1"/>
  <c r="P33" i="1"/>
  <c r="Q33" i="1" s="1"/>
  <c r="I33" i="1" s="1"/>
  <c r="C33" i="1" s="1"/>
  <c r="P37" i="1"/>
  <c r="Q37" i="1" s="1"/>
  <c r="I37" i="1" s="1"/>
  <c r="C37" i="1" s="1"/>
  <c r="P38" i="1"/>
  <c r="Q38" i="1" s="1"/>
  <c r="I38" i="1" s="1"/>
  <c r="C38" i="1" s="1"/>
  <c r="P16" i="1"/>
  <c r="Q16" i="1" s="1"/>
  <c r="I16" i="1" s="1"/>
  <c r="C16" i="1" s="1"/>
  <c r="P18" i="1"/>
  <c r="Q18" i="1" s="1"/>
  <c r="I18" i="1" s="1"/>
  <c r="C18" i="1" s="1"/>
  <c r="P19" i="1"/>
  <c r="Q19" i="1" s="1"/>
  <c r="I19" i="1" s="1"/>
  <c r="C19" i="1" s="1"/>
  <c r="P59" i="1"/>
  <c r="Q59" i="1" s="1"/>
  <c r="I59" i="1" s="1"/>
  <c r="C59" i="1" s="1"/>
  <c r="P56" i="1"/>
  <c r="Q56" i="1" s="1"/>
  <c r="I56" i="1" s="1"/>
  <c r="C56" i="1" s="1"/>
  <c r="P55" i="1"/>
  <c r="Q55" i="1" s="1"/>
  <c r="I55" i="1" s="1"/>
  <c r="C55" i="1" s="1"/>
  <c r="P54" i="1"/>
  <c r="Q54" i="1" s="1"/>
  <c r="I54" i="1" s="1"/>
  <c r="C54" i="1" s="1"/>
  <c r="P52" i="1"/>
  <c r="Q52" i="1" s="1"/>
  <c r="I52" i="1" s="1"/>
  <c r="C52" i="1" s="1"/>
  <c r="P53" i="1"/>
  <c r="Q53" i="1" s="1"/>
  <c r="I53" i="1" s="1"/>
  <c r="C53" i="1" s="1"/>
  <c r="P51" i="1"/>
  <c r="Q51" i="1" s="1"/>
  <c r="I51" i="1" s="1"/>
  <c r="C51" i="1" s="1"/>
  <c r="P50" i="1"/>
  <c r="Q50" i="1" s="1"/>
  <c r="I50" i="1" s="1"/>
  <c r="C50" i="1" s="1"/>
  <c r="P47" i="1"/>
  <c r="Q47" i="1" s="1"/>
  <c r="I47" i="1" s="1"/>
  <c r="C47" i="1" s="1"/>
  <c r="P46" i="1"/>
  <c r="Q46" i="1" s="1"/>
  <c r="I46" i="1" s="1"/>
  <c r="C46" i="1" s="1"/>
  <c r="P49" i="1"/>
  <c r="Q49" i="1" s="1"/>
  <c r="I49" i="1" s="1"/>
  <c r="C49" i="1" s="1"/>
  <c r="P45" i="1"/>
  <c r="Q45" i="1" s="1"/>
  <c r="I45" i="1" s="1"/>
  <c r="C45" i="1" s="1"/>
  <c r="P44" i="1"/>
  <c r="Q44" i="1" s="1"/>
  <c r="I44" i="1" s="1"/>
  <c r="C44" i="1" s="1"/>
  <c r="P48" i="1"/>
  <c r="Q48" i="1" s="1"/>
  <c r="I48" i="1" s="1"/>
  <c r="C48" i="1" s="1"/>
  <c r="P42" i="1"/>
  <c r="Q42" i="1" s="1"/>
  <c r="I42" i="1" s="1"/>
  <c r="C42" i="1" s="1"/>
  <c r="P40" i="1"/>
  <c r="Q40" i="1" s="1"/>
  <c r="I40" i="1" s="1"/>
  <c r="C40" i="1" s="1"/>
  <c r="P41" i="1"/>
  <c r="Q41" i="1" s="1"/>
  <c r="I41" i="1" s="1"/>
  <c r="C41" i="1" s="1"/>
  <c r="P3" i="1"/>
  <c r="Q3" i="1" s="1"/>
  <c r="I3" i="1" s="1"/>
  <c r="C3" i="1" s="1"/>
  <c r="P4" i="1"/>
  <c r="Q4" i="1" s="1"/>
  <c r="I4" i="1" s="1"/>
  <c r="C4" i="1" s="1"/>
  <c r="P111" i="1"/>
  <c r="Q111" i="1" s="1"/>
  <c r="I111" i="1" s="1"/>
  <c r="C111" i="1" s="1"/>
  <c r="P15" i="1"/>
  <c r="Q15" i="1" s="1"/>
  <c r="I15" i="1" s="1"/>
  <c r="C15" i="1" s="1"/>
  <c r="P110" i="1"/>
  <c r="Q110" i="1" s="1"/>
  <c r="I110" i="1" s="1"/>
  <c r="C110" i="1" s="1"/>
  <c r="P10" i="1"/>
  <c r="Q10" i="1" s="1"/>
  <c r="I10" i="1" s="1"/>
  <c r="C10" i="1" s="1"/>
  <c r="P9" i="1"/>
  <c r="Q9" i="1" s="1"/>
  <c r="I9" i="1" s="1"/>
  <c r="C9" i="1" s="1"/>
  <c r="P14" i="1"/>
  <c r="Q14" i="1" s="1"/>
  <c r="I14" i="1" s="1"/>
  <c r="C14" i="1" s="1"/>
  <c r="P13" i="1"/>
  <c r="Q13" i="1" s="1"/>
  <c r="I13" i="1" s="1"/>
  <c r="C13" i="1" s="1"/>
  <c r="P8" i="1"/>
  <c r="Q8" i="1" s="1"/>
  <c r="P7" i="1"/>
  <c r="Q7" i="1" s="1"/>
  <c r="P62" i="1"/>
  <c r="Q62" i="1" s="1"/>
  <c r="I62" i="1" s="1"/>
  <c r="C62" i="1" s="1"/>
  <c r="P70" i="1"/>
  <c r="Q70" i="1" s="1"/>
  <c r="I70" i="1" s="1"/>
  <c r="C70" i="1" s="1"/>
  <c r="P5" i="1"/>
  <c r="Q5" i="1" s="1"/>
  <c r="C5" i="1" s="1"/>
  <c r="P89" i="1"/>
  <c r="Q89" i="1" s="1"/>
  <c r="I89" i="1" s="1"/>
  <c r="C89" i="1" s="1"/>
  <c r="P90" i="1"/>
  <c r="Q90" i="1" s="1"/>
  <c r="I90" i="1" s="1"/>
  <c r="C90" i="1" s="1"/>
  <c r="P67" i="1"/>
  <c r="Q67" i="1" s="1"/>
  <c r="I67" i="1" s="1"/>
  <c r="C67" i="1" s="1"/>
  <c r="P66" i="1"/>
  <c r="Q66" i="1" s="1"/>
  <c r="I66" i="1" s="1"/>
  <c r="C66" i="1" s="1"/>
  <c r="P88" i="1"/>
  <c r="Q88" i="1" s="1"/>
  <c r="I88" i="1" s="1"/>
  <c r="C88" i="1" s="1"/>
  <c r="P72" i="1"/>
  <c r="Q72" i="1" s="1"/>
  <c r="I72" i="1" s="1"/>
  <c r="C72" i="1" s="1"/>
  <c r="P76" i="1"/>
  <c r="Q76" i="1" s="1"/>
  <c r="I76" i="1" s="1"/>
  <c r="C76" i="1" s="1"/>
  <c r="P75" i="1"/>
  <c r="Q75" i="1" s="1"/>
  <c r="I75" i="1" s="1"/>
  <c r="C75" i="1" s="1"/>
  <c r="P74" i="1"/>
  <c r="Q74" i="1" s="1"/>
  <c r="I74" i="1" s="1"/>
  <c r="C74" i="1" s="1"/>
  <c r="P73" i="1"/>
  <c r="Q73" i="1" s="1"/>
  <c r="I73" i="1" s="1"/>
  <c r="C73" i="1" s="1"/>
  <c r="P71" i="1"/>
  <c r="Q71" i="1" s="1"/>
  <c r="I71" i="1" s="1"/>
  <c r="C71" i="1" s="1"/>
  <c r="P69" i="1"/>
  <c r="Q69" i="1" s="1"/>
  <c r="I69" i="1" s="1"/>
  <c r="C69" i="1" s="1"/>
  <c r="P64" i="1"/>
  <c r="Q64" i="1" s="1"/>
  <c r="I64" i="1" s="1"/>
  <c r="C64" i="1" s="1"/>
  <c r="P63" i="1"/>
  <c r="Q63" i="1" s="1"/>
  <c r="I63" i="1" s="1"/>
  <c r="C63" i="1" s="1"/>
  <c r="P61" i="1"/>
  <c r="Q61" i="1" s="1"/>
  <c r="I61" i="1" s="1"/>
  <c r="C61" i="1" s="1"/>
  <c r="P65" i="1"/>
  <c r="Q65" i="1" s="1"/>
  <c r="I65" i="1" s="1"/>
  <c r="C65" i="1" s="1"/>
  <c r="P68" i="1"/>
  <c r="Q68" i="1" s="1"/>
  <c r="I68" i="1" s="1"/>
  <c r="C68" i="1" s="1"/>
  <c r="I11" i="1" l="1"/>
  <c r="C11" i="1" s="1"/>
  <c r="Q113" i="1"/>
  <c r="I113" i="1" s="1"/>
  <c r="C113" i="1" s="1"/>
  <c r="I7" i="1"/>
  <c r="C7" i="1" s="1"/>
  <c r="I8" i="1"/>
  <c r="C8" i="1" s="1"/>
  <c r="I5" i="12"/>
  <c r="C5" i="12" l="1"/>
  <c r="Q5" i="12"/>
  <c r="R5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tc={F512886E-9FF3-4D51-9173-978DDCCDD484}</author>
  </authors>
  <commentList>
    <comment ref="B32" authorId="0" shapeId="0" xr:uid="{F512886E-9FF3-4D51-9173-978DDCCDD484}">
      <text>
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Sunny (SU-U0150150)의 경우 15-150 x10이기 때문에 100- 1000까지 사용
</t>
      </text>
    </comment>
  </commentList>
</comments>
</file>

<file path=xl/sharedStrings.xml><?xml version="1.0" encoding="utf-8"?>
<sst xmlns="http://schemas.openxmlformats.org/spreadsheetml/2006/main" count="7149" uniqueCount="1994">
  <si>
    <r>
      <rPr>
        <b/>
        <sz val="10"/>
        <rFont val="Arial"/>
        <family val="2"/>
      </rPr>
      <t>Name</t>
    </r>
  </si>
  <si>
    <r>
      <rPr>
        <b/>
        <sz val="10"/>
        <rFont val="Arial"/>
        <family val="2"/>
      </rPr>
      <t>Address</t>
    </r>
  </si>
  <si>
    <r>
      <rPr>
        <b/>
        <sz val="10"/>
        <rFont val="Arial"/>
        <family val="2"/>
      </rPr>
      <t>Data Range</t>
    </r>
  </si>
  <si>
    <r>
      <rPr>
        <b/>
        <sz val="10"/>
        <rFont val="Arial"/>
        <family val="2"/>
      </rPr>
      <t>Unit</t>
    </r>
  </si>
  <si>
    <r>
      <rPr>
        <b/>
        <sz val="10"/>
        <rFont val="Arial"/>
        <family val="2"/>
      </rPr>
      <t>Description</t>
    </r>
  </si>
  <si>
    <r>
      <rPr>
        <b/>
        <sz val="10"/>
        <rFont val="Arial"/>
        <family val="2"/>
      </rPr>
      <t>Default</t>
    </r>
  </si>
  <si>
    <r>
      <rPr>
        <b/>
        <sz val="10"/>
        <rFont val="Arial"/>
        <family val="2"/>
      </rPr>
      <t>Remarks</t>
    </r>
  </si>
  <si>
    <t>Command</t>
    <phoneticPr fontId="1" type="noConversion"/>
  </si>
  <si>
    <t>Rev.2024.02.05</t>
    <phoneticPr fontId="1" type="noConversion"/>
  </si>
  <si>
    <t>FF</t>
    <phoneticPr fontId="1" type="noConversion"/>
  </si>
  <si>
    <t>OSD</t>
    <phoneticPr fontId="1" type="noConversion"/>
  </si>
  <si>
    <t>Left</t>
    <phoneticPr fontId="1" type="noConversion"/>
  </si>
  <si>
    <t>Right</t>
    <phoneticPr fontId="1" type="noConversion"/>
  </si>
  <si>
    <t>Up</t>
    <phoneticPr fontId="1" type="noConversion"/>
  </si>
  <si>
    <t>Down</t>
    <phoneticPr fontId="1" type="noConversion"/>
  </si>
  <si>
    <t>E0</t>
    <phoneticPr fontId="1" type="noConversion"/>
  </si>
  <si>
    <t>00</t>
    <phoneticPr fontId="1" type="noConversion"/>
  </si>
  <si>
    <t>02</t>
    <phoneticPr fontId="1" type="noConversion"/>
  </si>
  <si>
    <t>21</t>
    <phoneticPr fontId="1" type="noConversion"/>
  </si>
  <si>
    <t>Flip On</t>
    <phoneticPr fontId="1" type="noConversion"/>
  </si>
  <si>
    <t>Flip Off</t>
    <phoneticPr fontId="1" type="noConversion"/>
  </si>
  <si>
    <t>Mirror On</t>
    <phoneticPr fontId="1" type="noConversion"/>
  </si>
  <si>
    <t>Mirror Off</t>
    <phoneticPr fontId="1" type="noConversion"/>
  </si>
  <si>
    <t>A0</t>
    <phoneticPr fontId="1" type="noConversion"/>
  </si>
  <si>
    <t>01</t>
    <phoneticPr fontId="1" type="noConversion"/>
  </si>
  <si>
    <t>Gray</t>
    <phoneticPr fontId="1" type="noConversion"/>
  </si>
  <si>
    <t>Jet</t>
    <phoneticPr fontId="1" type="noConversion"/>
  </si>
  <si>
    <t>Plasma</t>
    <phoneticPr fontId="1" type="noConversion"/>
  </si>
  <si>
    <t>AF</t>
    <phoneticPr fontId="1" type="noConversion"/>
  </si>
  <si>
    <t>B2</t>
    <phoneticPr fontId="1" type="noConversion"/>
  </si>
  <si>
    <t>Zoom In</t>
    <phoneticPr fontId="1" type="noConversion"/>
  </si>
  <si>
    <t>Zoom Out</t>
    <phoneticPr fontId="1" type="noConversion"/>
  </si>
  <si>
    <t>B1</t>
    <phoneticPr fontId="1" type="noConversion"/>
  </si>
  <si>
    <t>B2</t>
  </si>
  <si>
    <t>B3</t>
  </si>
  <si>
    <t>B4</t>
  </si>
  <si>
    <t>B5</t>
  </si>
  <si>
    <t>B6</t>
  </si>
  <si>
    <t>B7(CHK)</t>
    <phoneticPr fontId="1" type="noConversion"/>
  </si>
  <si>
    <t>B7(CHK) 
DEC</t>
    <phoneticPr fontId="1" type="noConversion"/>
  </si>
  <si>
    <t>B7(CHK) 
HEX</t>
    <phoneticPr fontId="1" type="noConversion"/>
  </si>
  <si>
    <t>All Stop</t>
    <phoneticPr fontId="1" type="noConversion"/>
  </si>
  <si>
    <t>Far</t>
    <phoneticPr fontId="1" type="noConversion"/>
  </si>
  <si>
    <t>80</t>
    <phoneticPr fontId="1" type="noConversion"/>
  </si>
  <si>
    <t>Near</t>
    <phoneticPr fontId="1" type="noConversion"/>
  </si>
  <si>
    <t>DIS Off</t>
    <phoneticPr fontId="1" type="noConversion"/>
  </si>
  <si>
    <t>DIS On</t>
    <phoneticPr fontId="1" type="noConversion"/>
  </si>
  <si>
    <t>DNR On</t>
    <phoneticPr fontId="1" type="noConversion"/>
  </si>
  <si>
    <t>DNR Off</t>
    <phoneticPr fontId="1" type="noConversion"/>
  </si>
  <si>
    <t>22</t>
    <phoneticPr fontId="1" type="noConversion"/>
  </si>
  <si>
    <t>Freeze Off</t>
    <phoneticPr fontId="1" type="noConversion"/>
  </si>
  <si>
    <t>25</t>
    <phoneticPr fontId="1" type="noConversion"/>
  </si>
  <si>
    <t>Freeze On</t>
    <phoneticPr fontId="1" type="noConversion"/>
  </si>
  <si>
    <t>Dzoom Off</t>
    <phoneticPr fontId="1" type="noConversion"/>
  </si>
  <si>
    <t>Dzoom On</t>
    <phoneticPr fontId="1" type="noConversion"/>
  </si>
  <si>
    <t>26</t>
    <phoneticPr fontId="1" type="noConversion"/>
  </si>
  <si>
    <t>Dzoom 1x</t>
    <phoneticPr fontId="1" type="noConversion"/>
  </si>
  <si>
    <t>Dzoom 2x</t>
    <phoneticPr fontId="1" type="noConversion"/>
  </si>
  <si>
    <t>Dzoom 3x</t>
    <phoneticPr fontId="1" type="noConversion"/>
  </si>
  <si>
    <t>Dzoom 4x</t>
    <phoneticPr fontId="1" type="noConversion"/>
  </si>
  <si>
    <t>27</t>
    <phoneticPr fontId="1" type="noConversion"/>
  </si>
  <si>
    <t>0A</t>
    <phoneticPr fontId="1" type="noConversion"/>
  </si>
  <si>
    <t>14</t>
    <phoneticPr fontId="1" type="noConversion"/>
  </si>
  <si>
    <t>1E</t>
    <phoneticPr fontId="1" type="noConversion"/>
  </si>
  <si>
    <t>ScreenShot</t>
    <phoneticPr fontId="1" type="noConversion"/>
  </si>
  <si>
    <t>Zoom SPD x0</t>
    <phoneticPr fontId="1" type="noConversion"/>
  </si>
  <si>
    <t>Zoom SPD x4</t>
    <phoneticPr fontId="1" type="noConversion"/>
  </si>
  <si>
    <t>04</t>
    <phoneticPr fontId="1" type="noConversion"/>
  </si>
  <si>
    <t>Focus SPD x0</t>
    <phoneticPr fontId="1" type="noConversion"/>
  </si>
  <si>
    <t>Focus SPD x4</t>
    <phoneticPr fontId="1" type="noConversion"/>
  </si>
  <si>
    <t>4F</t>
    <phoneticPr fontId="1" type="noConversion"/>
  </si>
  <si>
    <t>Zoom Pos 0</t>
    <phoneticPr fontId="1" type="noConversion"/>
  </si>
  <si>
    <t>Zoom Pos 65535</t>
    <phoneticPr fontId="1" type="noConversion"/>
  </si>
  <si>
    <t>Zoom Query</t>
    <phoneticPr fontId="1" type="noConversion"/>
  </si>
  <si>
    <t>55</t>
    <phoneticPr fontId="1" type="noConversion"/>
  </si>
  <si>
    <t>Focus Query</t>
    <phoneticPr fontId="1" type="noConversion"/>
  </si>
  <si>
    <t>Reboot</t>
    <phoneticPr fontId="1" type="noConversion"/>
  </si>
  <si>
    <t>Reset Default</t>
    <phoneticPr fontId="1" type="noConversion"/>
  </si>
  <si>
    <t>0F</t>
    <phoneticPr fontId="1" type="noConversion"/>
  </si>
  <si>
    <t>29</t>
    <phoneticPr fontId="1" type="noConversion"/>
  </si>
  <si>
    <t>A1</t>
    <phoneticPr fontId="1" type="noConversion"/>
  </si>
  <si>
    <t>Mode RS-232</t>
    <phoneticPr fontId="1" type="noConversion"/>
  </si>
  <si>
    <t>Mode RS-485</t>
    <phoneticPr fontId="1" type="noConversion"/>
  </si>
  <si>
    <t>Address Pelco-D</t>
    <phoneticPr fontId="1" type="noConversion"/>
  </si>
  <si>
    <t>Address Pelco-P</t>
    <phoneticPr fontId="1" type="noConversion"/>
  </si>
  <si>
    <t>Baud-Rate 4800</t>
    <phoneticPr fontId="1" type="noConversion"/>
  </si>
  <si>
    <t>Baud-Rate 9600</t>
    <phoneticPr fontId="1" type="noConversion"/>
  </si>
  <si>
    <t>Baud-Rate 19200</t>
    <phoneticPr fontId="1" type="noConversion"/>
  </si>
  <si>
    <t>Baud-Rate 38400</t>
    <phoneticPr fontId="1" type="noConversion"/>
  </si>
  <si>
    <t>Baud-Rate 57600</t>
    <phoneticPr fontId="1" type="noConversion"/>
  </si>
  <si>
    <t>Baud-Rate 115200</t>
    <phoneticPr fontId="1" type="noConversion"/>
  </si>
  <si>
    <t>03</t>
    <phoneticPr fontId="1" type="noConversion"/>
  </si>
  <si>
    <t>05</t>
    <phoneticPr fontId="1" type="noConversion"/>
  </si>
  <si>
    <t>Word Length 8</t>
    <phoneticPr fontId="1" type="noConversion"/>
  </si>
  <si>
    <t>Word Length 9</t>
    <phoneticPr fontId="1" type="noConversion"/>
  </si>
  <si>
    <t>Stop Bits 1</t>
    <phoneticPr fontId="1" type="noConversion"/>
  </si>
  <si>
    <t>Stop Bits 2</t>
    <phoneticPr fontId="1" type="noConversion"/>
  </si>
  <si>
    <t>Parity None</t>
    <phoneticPr fontId="1" type="noConversion"/>
  </si>
  <si>
    <t>Parity Even</t>
    <phoneticPr fontId="1" type="noConversion"/>
  </si>
  <si>
    <t>Parity Odd</t>
    <phoneticPr fontId="1" type="noConversion"/>
  </si>
  <si>
    <t>06</t>
    <phoneticPr fontId="1" type="noConversion"/>
  </si>
  <si>
    <t>07</t>
    <phoneticPr fontId="1" type="noConversion"/>
  </si>
  <si>
    <t>AF On</t>
    <phoneticPr fontId="1" type="noConversion"/>
  </si>
  <si>
    <t>AF Off</t>
    <phoneticPr fontId="1" type="noConversion"/>
  </si>
  <si>
    <t>2B</t>
    <phoneticPr fontId="1" type="noConversion"/>
  </si>
  <si>
    <t>Focus Position 0</t>
    <phoneticPr fontId="1" type="noConversion"/>
  </si>
  <si>
    <t>Focus Position 65535</t>
    <phoneticPr fontId="1" type="noConversion"/>
  </si>
  <si>
    <t>Need Protocol</t>
    <phoneticPr fontId="1" type="noConversion"/>
  </si>
  <si>
    <t>Lens Query</t>
    <phoneticPr fontId="1" type="noConversion"/>
  </si>
  <si>
    <t>10</t>
    <phoneticPr fontId="1" type="noConversion"/>
  </si>
  <si>
    <t>11</t>
    <phoneticPr fontId="1" type="noConversion"/>
  </si>
  <si>
    <t>12</t>
    <phoneticPr fontId="1" type="noConversion"/>
  </si>
  <si>
    <t>Zoom SPD x0 (Lens)</t>
    <phoneticPr fontId="1" type="noConversion"/>
  </si>
  <si>
    <t>Zoom SPD x4 (Lens)</t>
    <phoneticPr fontId="1" type="noConversion"/>
  </si>
  <si>
    <t>Focus SPD x0(Lens)</t>
    <phoneticPr fontId="1" type="noConversion"/>
  </si>
  <si>
    <t>Focus SPD x4(Lens)</t>
    <phoneticPr fontId="1" type="noConversion"/>
  </si>
  <si>
    <t>13</t>
    <phoneticPr fontId="1" type="noConversion"/>
  </si>
  <si>
    <t>AF Trigger</t>
    <phoneticPr fontId="1" type="noConversion"/>
  </si>
  <si>
    <t>AF Mode Z-Trigger</t>
    <phoneticPr fontId="1" type="noConversion"/>
  </si>
  <si>
    <t>AF Mode Manual</t>
    <phoneticPr fontId="1" type="noConversion"/>
  </si>
  <si>
    <t>AF Mode Interval</t>
    <phoneticPr fontId="1" type="noConversion"/>
  </si>
  <si>
    <t>AF Interval 1</t>
    <phoneticPr fontId="1" type="noConversion"/>
  </si>
  <si>
    <t>AF Interval 180</t>
    <phoneticPr fontId="1" type="noConversion"/>
  </si>
  <si>
    <t>15</t>
    <phoneticPr fontId="1" type="noConversion"/>
  </si>
  <si>
    <t>B4</t>
    <phoneticPr fontId="1" type="noConversion"/>
  </si>
  <si>
    <t>FOV Pos 100</t>
    <phoneticPr fontId="1" type="noConversion"/>
  </si>
  <si>
    <t>FOV Pos 65535</t>
    <phoneticPr fontId="1" type="noConversion"/>
  </si>
  <si>
    <t>16</t>
    <phoneticPr fontId="1" type="noConversion"/>
  </si>
  <si>
    <t>64</t>
    <phoneticPr fontId="1" type="noConversion"/>
  </si>
  <si>
    <t>Query Mode Off</t>
    <phoneticPr fontId="1" type="noConversion"/>
  </si>
  <si>
    <t>Query Mode On</t>
    <phoneticPr fontId="1" type="noConversion"/>
  </si>
  <si>
    <t>17</t>
    <phoneticPr fontId="1" type="noConversion"/>
  </si>
  <si>
    <t>Iamge Query</t>
    <phoneticPr fontId="1" type="noConversion"/>
  </si>
  <si>
    <t>20</t>
    <phoneticPr fontId="1" type="noConversion"/>
  </si>
  <si>
    <t>Comm Query</t>
    <phoneticPr fontId="1" type="noConversion"/>
  </si>
  <si>
    <t>Sensor Query</t>
    <phoneticPr fontId="1" type="noConversion"/>
  </si>
  <si>
    <t>Histogram EQ His</t>
    <phoneticPr fontId="1" type="noConversion"/>
  </si>
  <si>
    <t>Histogram EQ Liner</t>
    <phoneticPr fontId="1" type="noConversion"/>
  </si>
  <si>
    <t>Brightness 0</t>
    <phoneticPr fontId="1" type="noConversion"/>
  </si>
  <si>
    <t>Brightness 40</t>
    <phoneticPr fontId="1" type="noConversion"/>
  </si>
  <si>
    <t>28</t>
    <phoneticPr fontId="1" type="noConversion"/>
  </si>
  <si>
    <t>Constrast 0</t>
    <phoneticPr fontId="1" type="noConversion"/>
  </si>
  <si>
    <t>Constrast 40</t>
    <phoneticPr fontId="1" type="noConversion"/>
  </si>
  <si>
    <t>White Hot</t>
    <phoneticPr fontId="1" type="noConversion"/>
  </si>
  <si>
    <t>Black Hot</t>
    <phoneticPr fontId="1" type="noConversion"/>
  </si>
  <si>
    <t>Edge Off</t>
    <phoneticPr fontId="1" type="noConversion"/>
  </si>
  <si>
    <t>Edge Op-1</t>
    <phoneticPr fontId="1" type="noConversion"/>
  </si>
  <si>
    <t>Edge Op-2</t>
    <phoneticPr fontId="1" type="noConversion"/>
  </si>
  <si>
    <t>Edge Op-3</t>
    <phoneticPr fontId="1" type="noConversion"/>
  </si>
  <si>
    <t>Cali. Quiery</t>
    <phoneticPr fontId="1" type="noConversion"/>
  </si>
  <si>
    <t>Cali. Trigger</t>
    <phoneticPr fontId="1" type="noConversion"/>
  </si>
  <si>
    <t>Cali. Auto</t>
    <phoneticPr fontId="1" type="noConversion"/>
  </si>
  <si>
    <t>Cali. Manual</t>
    <phoneticPr fontId="1" type="noConversion"/>
  </si>
  <si>
    <t>Cali. Interval</t>
    <phoneticPr fontId="1" type="noConversion"/>
  </si>
  <si>
    <t>Cali. Interval 1</t>
    <phoneticPr fontId="1" type="noConversion"/>
  </si>
  <si>
    <t>Cali. Interval 180</t>
    <phoneticPr fontId="1" type="noConversion"/>
  </si>
  <si>
    <t>Image Query</t>
    <phoneticPr fontId="1" type="noConversion"/>
  </si>
  <si>
    <t>Cali. Query</t>
    <phoneticPr fontId="1" type="noConversion"/>
  </si>
  <si>
    <t>ETC Query</t>
    <phoneticPr fontId="1" type="noConversion"/>
  </si>
  <si>
    <t>Status Query</t>
    <phoneticPr fontId="1" type="noConversion"/>
  </si>
  <si>
    <t>Version Query</t>
    <phoneticPr fontId="1" type="noConversion"/>
  </si>
  <si>
    <t>E1</t>
    <phoneticPr fontId="1" type="noConversion"/>
  </si>
  <si>
    <t>50</t>
    <phoneticPr fontId="1" type="noConversion"/>
  </si>
  <si>
    <t>Save</t>
    <phoneticPr fontId="1" type="noConversion"/>
  </si>
  <si>
    <t>CVBS NTSC</t>
    <phoneticPr fontId="1" type="noConversion"/>
  </si>
  <si>
    <t>CVBS PAL</t>
    <phoneticPr fontId="1" type="noConversion"/>
  </si>
  <si>
    <t>51</t>
    <phoneticPr fontId="1" type="noConversion"/>
  </si>
  <si>
    <t>52</t>
    <phoneticPr fontId="1" type="noConversion"/>
  </si>
  <si>
    <t>53</t>
    <phoneticPr fontId="1" type="noConversion"/>
  </si>
  <si>
    <t>Display Info Off</t>
    <phoneticPr fontId="1" type="noConversion"/>
  </si>
  <si>
    <t>Display Info On</t>
    <phoneticPr fontId="1" type="noConversion"/>
  </si>
  <si>
    <t>Encoder Query</t>
    <phoneticPr fontId="1" type="noConversion"/>
  </si>
  <si>
    <t>30</t>
    <phoneticPr fontId="1" type="noConversion"/>
  </si>
  <si>
    <t>FF01E1000000E2</t>
    <phoneticPr fontId="1" type="noConversion"/>
  </si>
  <si>
    <t>2A</t>
    <phoneticPr fontId="1" type="noConversion"/>
  </si>
  <si>
    <t>Zoom Position 10900</t>
    <phoneticPr fontId="1" type="noConversion"/>
  </si>
  <si>
    <t>94</t>
    <phoneticPr fontId="1" type="noConversion"/>
  </si>
  <si>
    <t>FF01004F000050</t>
  </si>
  <si>
    <t>FF01014FFFFF4F</t>
  </si>
  <si>
    <t>FF01014F2A30AB</t>
  </si>
  <si>
    <t>Command</t>
  </si>
  <si>
    <t>FF01000F000010</t>
  </si>
  <si>
    <t>FF01002900002A</t>
  </si>
  <si>
    <t>FF010000000000</t>
  </si>
  <si>
    <t>FF010025000026</t>
  </si>
  <si>
    <t>FF01002500042A</t>
  </si>
  <si>
    <t>FF01004FFFFF4E</t>
  </si>
  <si>
    <t>FF01004F2A940E</t>
  </si>
  <si>
    <t>FF010055000056</t>
  </si>
  <si>
    <t>FF010027000028</t>
  </si>
  <si>
    <t>FF01002700042C</t>
  </si>
  <si>
    <t>FF01014F000051</t>
  </si>
  <si>
    <t>FF010155000057</t>
  </si>
  <si>
    <t>FF01002B00002C</t>
  </si>
  <si>
    <t>FF01002B00012D</t>
  </si>
  <si>
    <t>FF01A1100000B2</t>
  </si>
  <si>
    <t>FF01A0110000B2</t>
  </si>
  <si>
    <t>FF01A0120000B3</t>
  </si>
  <si>
    <t>FF01A0120004B7</t>
  </si>
  <si>
    <t>FF01A0130000B4</t>
  </si>
  <si>
    <t>FF01A0130004B8</t>
  </si>
  <si>
    <t>FF01A0140000B5</t>
  </si>
  <si>
    <t>FF01A0140001B6</t>
  </si>
  <si>
    <t>FF01A0140002B7</t>
  </si>
  <si>
    <t>FF01A0150001B7</t>
  </si>
  <si>
    <t>FF01A01500B46A</t>
  </si>
  <si>
    <t>FF01A01600641B</t>
  </si>
  <si>
    <t>FF01A016FFFFB5</t>
  </si>
  <si>
    <t>FF01A0170000B8</t>
  </si>
  <si>
    <t>FF01A0170001B9</t>
  </si>
  <si>
    <t>FF01A1000000A2</t>
  </si>
  <si>
    <t>FF01A0010000A2</t>
  </si>
  <si>
    <t>FF01A0010001A3</t>
  </si>
  <si>
    <t>FF01A0020000A3</t>
  </si>
  <si>
    <t>FF01A0020001A4</t>
  </si>
  <si>
    <t>FF01A0030000A4</t>
  </si>
  <si>
    <t>FF01A0030001A5</t>
  </si>
  <si>
    <t>FF01A0030002A6</t>
  </si>
  <si>
    <t>FF01A0030003A7</t>
  </si>
  <si>
    <t>FF01A0030004A8</t>
  </si>
  <si>
    <t>FF01A0030005A9</t>
  </si>
  <si>
    <t>FF01A0040000A5</t>
  </si>
  <si>
    <t>FF01A0040001A6</t>
  </si>
  <si>
    <t>FF01A0050000A6</t>
  </si>
  <si>
    <t>FF01A0050001A7</t>
  </si>
  <si>
    <t>FF01A0060000A7</t>
  </si>
  <si>
    <t>FF01A0060001A8</t>
  </si>
  <si>
    <t>FF01A0060002A9</t>
  </si>
  <si>
    <t>FF01A0070004AC</t>
  </si>
  <si>
    <t>FF01A1200000C2</t>
  </si>
  <si>
    <t>FF01A0210000C2</t>
  </si>
  <si>
    <t>FF01A0210001C3</t>
  </si>
  <si>
    <t>FF01A0220000C3</t>
  </si>
  <si>
    <t>FF01A0220001C4</t>
  </si>
  <si>
    <t>FF01A0230001C5</t>
  </si>
  <si>
    <t>FF01A0230000C4</t>
  </si>
  <si>
    <t>FF01A0240001C6</t>
  </si>
  <si>
    <t>FF01A0240000C5</t>
  </si>
  <si>
    <t>FF01A0250000C6</t>
  </si>
  <si>
    <t>FF01A0250001C7</t>
  </si>
  <si>
    <t>FF01A0260000C7</t>
  </si>
  <si>
    <t>FF01A0260001C8</t>
  </si>
  <si>
    <t>FF01A0270000C8</t>
  </si>
  <si>
    <t>FF01A027000AD2</t>
  </si>
  <si>
    <t>FF01A0270014DC</t>
  </si>
  <si>
    <t>FF01A027001EE6</t>
  </si>
  <si>
    <t>FF01A1300000D2</t>
  </si>
  <si>
    <t>FF01A0310000D2</t>
  </si>
  <si>
    <t>FF01A0310001D3</t>
  </si>
  <si>
    <t>FF01A0320000D3</t>
  </si>
  <si>
    <t>FF01A0320028FB</t>
  </si>
  <si>
    <t>FF01A0330000D4</t>
  </si>
  <si>
    <t>FF01A0330028FC</t>
  </si>
  <si>
    <t>FF01A0340000D5</t>
  </si>
  <si>
    <t>FF01A0340001D6</t>
  </si>
  <si>
    <t>FF01A0350000D6</t>
  </si>
  <si>
    <t>FF01A0350001D7</t>
  </si>
  <si>
    <t>FF01A0350002D8</t>
  </si>
  <si>
    <t>FF01A0360000D7</t>
  </si>
  <si>
    <t>FF01A0360001D8</t>
  </si>
  <si>
    <t>FF01A0360002D9</t>
  </si>
  <si>
    <t>FF01A0360003DA</t>
  </si>
  <si>
    <t>FF01A1400000E2</t>
  </si>
  <si>
    <t>FF01A0410000E2</t>
  </si>
  <si>
    <t>FF01A0420000E3</t>
  </si>
  <si>
    <t>FF01A0420001E4</t>
  </si>
  <si>
    <t>FF01A0420002E5</t>
  </si>
  <si>
    <t>FF01A0430001E5</t>
  </si>
  <si>
    <t>FF01A04300B498</t>
  </si>
  <si>
    <t>FF01A1500000F2</t>
  </si>
  <si>
    <t>FF01A0510000F2</t>
  </si>
  <si>
    <t>FF01A0520000F3</t>
  </si>
  <si>
    <t>FF01A0520001F4</t>
  </si>
  <si>
    <t>FF01A0530000F4</t>
  </si>
  <si>
    <t>FF01A0530001F5</t>
  </si>
  <si>
    <t>FF01E1100000F2</t>
  </si>
  <si>
    <t>FF01E130000012</t>
  </si>
  <si>
    <t>NYX.GET#netw_name</t>
    <phoneticPr fontId="1" type="noConversion"/>
  </si>
  <si>
    <t>Rev.2024.07.19</t>
    <phoneticPr fontId="1" type="noConversion"/>
  </si>
  <si>
    <t>NYX.GET#netw_tcpp</t>
    <phoneticPr fontId="1" type="noConversion"/>
  </si>
  <si>
    <t>NYX.GET#netw_udpp</t>
    <phoneticPr fontId="1" type="noConversion"/>
  </si>
  <si>
    <t>NYX.GET#netw_http</t>
    <phoneticPr fontId="1" type="noConversion"/>
  </si>
  <si>
    <t>NYX.GET#netw_gyrp</t>
    <phoneticPr fontId="1" type="noConversion"/>
  </si>
  <si>
    <t>NYX.GET#netw_rtsp</t>
    <phoneticPr fontId="1" type="noConversion"/>
  </si>
  <si>
    <t>NYX.GET#boot_perc</t>
    <phoneticPr fontId="1" type="noConversion"/>
  </si>
  <si>
    <t>NYX.GET#cool_type</t>
    <phoneticPr fontId="1" type="noConversion"/>
  </si>
  <si>
    <t>NYX.GET#cool_time</t>
    <phoneticPr fontId="1" type="noConversion"/>
  </si>
  <si>
    <t>NYX.GET#modl_type</t>
    <phoneticPr fontId="1" type="noConversion"/>
  </si>
  <si>
    <t>NYX.GET#syst_vers</t>
    <phoneticPr fontId="1" type="noConversion"/>
  </si>
  <si>
    <t>NYX.GET#syst_stat</t>
    <phoneticPr fontId="1" type="noConversion"/>
  </si>
  <si>
    <t>NYX.GET#syst_temp</t>
    <phoneticPr fontId="1" type="noConversion"/>
  </si>
  <si>
    <t>NYX.GET#fan0_stat</t>
    <phoneticPr fontId="1" type="noConversion"/>
  </si>
  <si>
    <t>NYX.GET#alm0_opcl</t>
    <phoneticPr fontId="1" type="noConversion"/>
  </si>
  <si>
    <t>NYX.GET#lens_type</t>
    <phoneticPr fontId="1" type="noConversion"/>
  </si>
  <si>
    <t>NYX.GET#lens_stat</t>
    <phoneticPr fontId="1" type="noConversion"/>
  </si>
  <si>
    <t>NYX.GET#lens_temp</t>
    <phoneticPr fontId="1" type="noConversion"/>
  </si>
  <si>
    <t>NYX.GET#lens_fnum</t>
    <phoneticPr fontId="1" type="noConversion"/>
  </si>
  <si>
    <t>NYX.GET#lens_wnmm</t>
    <phoneticPr fontId="1" type="noConversion"/>
  </si>
  <si>
    <t>NYX.GET#lens_wnen</t>
    <phoneticPr fontId="1" type="noConversion"/>
  </si>
  <si>
    <t>NYX.GET#lens_fnen</t>
    <phoneticPr fontId="1" type="noConversion"/>
  </si>
  <si>
    <t>NYX.GET#lens_afov</t>
    <phoneticPr fontId="1" type="noConversion"/>
  </si>
  <si>
    <t>NYX.GET#lens_zpos</t>
    <phoneticPr fontId="1" type="noConversion"/>
  </si>
  <si>
    <t>NYX.GET#lens_fpos</t>
    <phoneticPr fontId="1" type="noConversion"/>
  </si>
  <si>
    <t>NYX.GET#lens_cfov</t>
    <phoneticPr fontId="1" type="noConversion"/>
  </si>
  <si>
    <t>NYX.GET#infr_stat</t>
    <phoneticPr fontId="1" type="noConversion"/>
  </si>
  <si>
    <t>NYX.GET#infr_fnum</t>
    <phoneticPr fontId="1" type="noConversion"/>
  </si>
  <si>
    <t>NYX.GET#infr_time</t>
    <phoneticPr fontId="1" type="noConversion"/>
  </si>
  <si>
    <t>NYX.GET#infr_size</t>
    <phoneticPr fontId="1" type="noConversion"/>
  </si>
  <si>
    <t>NYX.GET#infr_fpak</t>
    <phoneticPr fontId="1" type="noConversion"/>
  </si>
  <si>
    <t>NYX.GET#isp0_vers</t>
    <phoneticPr fontId="1" type="noConversion"/>
  </si>
  <si>
    <t>NYX.GET#isp0_stat</t>
    <phoneticPr fontId="1" type="noConversion"/>
  </si>
  <si>
    <t>Type</t>
    <phoneticPr fontId="1" type="noConversion"/>
  </si>
  <si>
    <t>Get</t>
    <phoneticPr fontId="1" type="noConversion"/>
  </si>
  <si>
    <t>R Type</t>
    <phoneticPr fontId="1" type="noConversion"/>
  </si>
  <si>
    <t>NYX.SET#syst_exec=initialize</t>
    <phoneticPr fontId="1" type="noConversion"/>
  </si>
  <si>
    <t>NYX.SET#isp0_cosp=gray</t>
    <phoneticPr fontId="1" type="noConversion"/>
  </si>
  <si>
    <t>NYX.SET#isp0_cosp=iron</t>
    <phoneticPr fontId="1" type="noConversion"/>
  </si>
  <si>
    <t>Post</t>
    <phoneticPr fontId="1" type="noConversion"/>
  </si>
  <si>
    <t>X</t>
  </si>
  <si>
    <t>Factory, Initialization과 관계 없이 해당 값을 유지한다.</t>
  </si>
  <si>
    <t>Init, Factory</t>
  </si>
  <si>
    <t>Factory, Initialization 시 해당 값이 기본 값으로 변경된다.</t>
  </si>
  <si>
    <t>Factory</t>
  </si>
  <si>
    <t>Factory Default 시에만 해당 값이 기본 값으로 변경된다.</t>
  </si>
  <si>
    <t>Remark</t>
    <phoneticPr fontId="1" type="noConversion"/>
  </si>
  <si>
    <t>NYX.SET#syst_upgr=execute</t>
    <phoneticPr fontId="1" type="noConversion"/>
  </si>
  <si>
    <t>NYX.SET#syst_exec=factory</t>
    <phoneticPr fontId="1" type="noConversion"/>
  </si>
  <si>
    <t>NYX.SET#syst_exec=save</t>
    <phoneticPr fontId="1" type="noConversion"/>
  </si>
  <si>
    <t>NYX.SET#syst_exec=reboot</t>
    <phoneticPr fontId="1" type="noConversion"/>
  </si>
  <si>
    <t>NYX.SET#extc_baud=9600</t>
    <phoneticPr fontId="1" type="noConversion"/>
  </si>
  <si>
    <t>NYX.SET#extc_baud=19200</t>
    <phoneticPr fontId="1" type="noConversion"/>
  </si>
  <si>
    <t>NYX.SET#extc_baud=38400</t>
    <phoneticPr fontId="1" type="noConversion"/>
  </si>
  <si>
    <t>NYX.SET#extc_baud=57600</t>
    <phoneticPr fontId="1" type="noConversion"/>
  </si>
  <si>
    <t>NYX.SET#extc_baud=115200</t>
    <phoneticPr fontId="1" type="noConversion"/>
  </si>
  <si>
    <t>NYX.SET#alm0_nonc=open</t>
    <phoneticPr fontId="1" type="noConversion"/>
  </si>
  <si>
    <t>NYX.SET#alm0_nonc=close</t>
    <phoneticPr fontId="1" type="noConversion"/>
  </si>
  <si>
    <t>NYX.SET#aux0_nonc=open</t>
    <phoneticPr fontId="1" type="noConversion"/>
  </si>
  <si>
    <t>NYX.SET#aux0_nonc=close</t>
    <phoneticPr fontId="1" type="noConversion"/>
  </si>
  <si>
    <t>NYX.SET#aux0_opcl=open</t>
    <phoneticPr fontId="1" type="noConversion"/>
  </si>
  <si>
    <t>NYX.SET#aux0_opcl=close</t>
    <phoneticPr fontId="1" type="noConversion"/>
  </si>
  <si>
    <t>NYX.SET#lens_zspd=1</t>
    <phoneticPr fontId="1" type="noConversion"/>
  </si>
  <si>
    <t>NYX.SET#lens_zspd=2</t>
    <phoneticPr fontId="1" type="noConversion"/>
  </si>
  <si>
    <t>NYX.SET#lens_zspd=3</t>
    <phoneticPr fontId="1" type="noConversion"/>
  </si>
  <si>
    <t>NYX.SET#lens_zspd=4</t>
    <phoneticPr fontId="1" type="noConversion"/>
  </si>
  <si>
    <t>NYX.SET#lens_zspd=5</t>
    <phoneticPr fontId="1" type="noConversion"/>
  </si>
  <si>
    <t>NYX.SET#lens_fspd=1</t>
    <phoneticPr fontId="1" type="noConversion"/>
  </si>
  <si>
    <t>NYX.SET#lens_fspd=2</t>
    <phoneticPr fontId="1" type="noConversion"/>
  </si>
  <si>
    <t>NYX.SET#lens_fspd=3</t>
    <phoneticPr fontId="1" type="noConversion"/>
  </si>
  <si>
    <t>NYX.SET#lens_fspd=4</t>
    <phoneticPr fontId="1" type="noConversion"/>
  </si>
  <si>
    <t>NYX.SET#lens_fspd=5</t>
    <phoneticPr fontId="1" type="noConversion"/>
  </si>
  <si>
    <t>NYX.SET#lens_zctl=stop</t>
    <phoneticPr fontId="1" type="noConversion"/>
  </si>
  <si>
    <t>NYX.SET#lens_zctl=wide</t>
    <phoneticPr fontId="1" type="noConversion"/>
  </si>
  <si>
    <t>NYX.SET#lens_zctl=narrow</t>
    <phoneticPr fontId="1" type="noConversion"/>
  </si>
  <si>
    <t>NYX.SET#lens_zdir=24853</t>
    <phoneticPr fontId="1" type="noConversion"/>
  </si>
  <si>
    <t>NYX.SET#lens_fctl=stop</t>
    <phoneticPr fontId="1" type="noConversion"/>
  </si>
  <si>
    <t>NYX.SET#lens_fctl=far</t>
    <phoneticPr fontId="1" type="noConversion"/>
  </si>
  <si>
    <t>NYX.SET#lens_fctl=near</t>
    <phoneticPr fontId="1" type="noConversion"/>
  </si>
  <si>
    <t>NYX.SET#lens_fdir=-17000</t>
    <phoneticPr fontId="1" type="noConversion"/>
  </si>
  <si>
    <t>NYX.SET#lens_afex=stop</t>
    <phoneticPr fontId="1" type="noConversion"/>
  </si>
  <si>
    <t>NYX.SET#lens_afex=execute</t>
    <phoneticPr fontId="1" type="noConversion"/>
  </si>
  <si>
    <t>NYX.SET#lens_afro=full</t>
    <phoneticPr fontId="1" type="noConversion"/>
  </si>
  <si>
    <t>NYX.SET#lens_afro=3/4</t>
    <phoneticPr fontId="1" type="noConversion"/>
  </si>
  <si>
    <t>NYX.SET#lens_afro=2/4</t>
    <phoneticPr fontId="1" type="noConversion"/>
  </si>
  <si>
    <t>NYX.SET#lens_afro=1/4</t>
    <phoneticPr fontId="1" type="noConversion"/>
  </si>
  <si>
    <t>NYX.SET#lens_afmd=manual</t>
    <phoneticPr fontId="1" type="noConversion"/>
  </si>
  <si>
    <t>NYX.SET#lens_afmd=interval</t>
    <phoneticPr fontId="1" type="noConversion"/>
  </si>
  <si>
    <t>NYX.SET#lens_afmd=zoom-trigger</t>
    <phoneticPr fontId="1" type="noConversion"/>
  </si>
  <si>
    <t>NYX.SET#lens_afit=1</t>
    <phoneticPr fontId="1" type="noConversion"/>
  </si>
  <si>
    <t>NYX.SET#lens_afit=36</t>
    <phoneticPr fontId="1" type="noConversion"/>
  </si>
  <si>
    <t>NYX.SET#infr_outm=nuc</t>
    <phoneticPr fontId="1" type="noConversion"/>
  </si>
  <si>
    <t>NYX.SET#infr_outm=raw</t>
    <phoneticPr fontId="1" type="noConversion"/>
  </si>
  <si>
    <t>NYX.SET#infr_ofps=30</t>
    <phoneticPr fontId="1" type="noConversion"/>
  </si>
  <si>
    <t>NYX.SET#infr_cale=stop</t>
    <phoneticPr fontId="1" type="noConversion"/>
  </si>
  <si>
    <t>NYX.SET#infr_cale=execute</t>
    <phoneticPr fontId="1" type="noConversion"/>
  </si>
  <si>
    <t>NYX.SET#infr_calm=manual</t>
    <phoneticPr fontId="1" type="noConversion"/>
  </si>
  <si>
    <t>NYX.SET#infr_calm=interval</t>
    <phoneticPr fontId="1" type="noConversion"/>
  </si>
  <si>
    <t>NYX.SET#infr_cali=1</t>
    <phoneticPr fontId="1" type="noConversion"/>
  </si>
  <si>
    <t>NYX.SET#infr_cali=18</t>
    <phoneticPr fontId="1" type="noConversion"/>
  </si>
  <si>
    <t>NYX.SET#infr_cali=36</t>
    <phoneticPr fontId="1" type="noConversion"/>
  </si>
  <si>
    <t>NYX.SET#infr_bprs=set</t>
    <phoneticPr fontId="1" type="noConversion"/>
  </si>
  <si>
    <t>NYX.SET#infr_bprs=update</t>
    <phoneticPr fontId="1" type="noConversion"/>
  </si>
  <si>
    <t>NYX.SET#infr_bprp=</t>
    <phoneticPr fontId="1" type="noConversion"/>
  </si>
  <si>
    <t>NYX.SET#infr_nucs=low_gain</t>
    <phoneticPr fontId="1" type="noConversion"/>
  </si>
  <si>
    <t>NYX.SET#infr_nucs=high_gain</t>
    <phoneticPr fontId="1" type="noConversion"/>
  </si>
  <si>
    <t>NYX.SET#infr_nucs=calc_gain</t>
    <phoneticPr fontId="1" type="noConversion"/>
  </si>
  <si>
    <t>NYX.SET#infr_nucs=low_offset</t>
    <phoneticPr fontId="1" type="noConversion"/>
  </si>
  <si>
    <t>NYX.SET#infr_nucs=high_offset</t>
    <phoneticPr fontId="1" type="noConversion"/>
  </si>
  <si>
    <t>NYX.SET#infr_nucs=calc_offset</t>
    <phoneticPr fontId="1" type="noConversion"/>
  </si>
  <si>
    <t>NYX.SET#infr_nucs=update</t>
    <phoneticPr fontId="1" type="noConversion"/>
  </si>
  <si>
    <t>NYX.SET#infr_intt=3000</t>
    <phoneticPr fontId="1" type="noConversion"/>
  </si>
  <si>
    <t>NYX.SET#infr_intt=6000</t>
    <phoneticPr fontId="1" type="noConversion"/>
  </si>
  <si>
    <t>NYX.SET#infr_intt=9000</t>
    <phoneticPr fontId="1" type="noConversion"/>
  </si>
  <si>
    <t>NYX.SET#infr_intt=12000</t>
    <phoneticPr fontId="1" type="noConversion"/>
  </si>
  <si>
    <t>NYX.SET#infr_intt=15000</t>
    <phoneticPr fontId="1" type="noConversion"/>
  </si>
  <si>
    <t>NYX.SET#infr_intt=20000</t>
    <phoneticPr fontId="1" type="noConversion"/>
  </si>
  <si>
    <t>NYX.SET#isp0_guie=off</t>
    <phoneticPr fontId="1" type="noConversion"/>
  </si>
  <si>
    <t>NYX.SET#isp0_guie=on</t>
    <phoneticPr fontId="1" type="noConversion"/>
  </si>
  <si>
    <t>NYX.SET#isp0_guic=set</t>
    <phoneticPr fontId="1" type="noConversion"/>
  </si>
  <si>
    <t>NYX.SET#isp0_guic=up</t>
    <phoneticPr fontId="1" type="noConversion"/>
  </si>
  <si>
    <t>NYX.SET#isp0_guic=down</t>
    <phoneticPr fontId="1" type="noConversion"/>
  </si>
  <si>
    <t>NYX.SET#isp0_guic=left</t>
    <phoneticPr fontId="1" type="noConversion"/>
  </si>
  <si>
    <t>NYX.SET#isp0_guic=right</t>
    <phoneticPr fontId="1" type="noConversion"/>
  </si>
  <si>
    <t>NYX.SET#isp0_vres=720x576</t>
    <phoneticPr fontId="1" type="noConversion"/>
  </si>
  <si>
    <t>NYX.SET#isp0_vres=1280x720</t>
    <phoneticPr fontId="1" type="noConversion"/>
  </si>
  <si>
    <t>NYX.SET#isp0_vres=1280x1024</t>
    <phoneticPr fontId="1" type="noConversion"/>
  </si>
  <si>
    <t>NYX.SET#isp0_vres=1920x1080</t>
    <phoneticPr fontId="1" type="noConversion"/>
  </si>
  <si>
    <t>NYX.SET#isp0_vmod=window_box</t>
    <phoneticPr fontId="1" type="noConversion"/>
  </si>
  <si>
    <t>NYX.SET#isp0_vmod=window_box_lefttop</t>
    <phoneticPr fontId="1" type="noConversion"/>
  </si>
  <si>
    <t>NYX.SET#isp0_vmod=pillar_box</t>
    <phoneticPr fontId="1" type="noConversion"/>
  </si>
  <si>
    <t>NYX.SET#isp0_vmod=scale</t>
    <phoneticPr fontId="1" type="noConversion"/>
  </si>
  <si>
    <t>NYX.SET#isp0_vmod=crop</t>
    <phoneticPr fontId="1" type="noConversion"/>
  </si>
  <si>
    <t>NYX.SET#isp0_osdi=on</t>
    <phoneticPr fontId="1" type="noConversion"/>
  </si>
  <si>
    <t>NYX.SET#isp0_osdi=off</t>
    <phoneticPr fontId="1" type="noConversion"/>
  </si>
  <si>
    <t>NYX.SET#isp0_cenm=off</t>
    <phoneticPr fontId="1" type="noConversion"/>
  </si>
  <si>
    <t>NYX.SET#isp0_cenm=cross</t>
    <phoneticPr fontId="1" type="noConversion"/>
  </si>
  <si>
    <t>NYX.SET#isp0_cenm=circle_cross</t>
    <phoneticPr fontId="1" type="noConversion"/>
  </si>
  <si>
    <t>NYX.SET#isp0_cenm=grid_4x4</t>
    <phoneticPr fontId="1" type="noConversion"/>
  </si>
  <si>
    <t>NYX.SET#isp0_cenc=red</t>
    <phoneticPr fontId="1" type="noConversion"/>
  </si>
  <si>
    <t>NYX.SET#isp0_cenc=green</t>
    <phoneticPr fontId="1" type="noConversion"/>
  </si>
  <si>
    <t>NYX.SET#isp0_cenc=blue</t>
    <phoneticPr fontId="1" type="noConversion"/>
  </si>
  <si>
    <t>NYX.SET#isp0_cenc=yellow</t>
    <phoneticPr fontId="1" type="noConversion"/>
  </si>
  <si>
    <t>NYX.SET#isp0_3dnr=0</t>
    <phoneticPr fontId="1" type="noConversion"/>
  </si>
  <si>
    <t>NYX.SET#isp0_3dnr=50</t>
    <phoneticPr fontId="1" type="noConversion"/>
  </si>
  <si>
    <t>NYX.SET#isp0_dnrl=0</t>
    <phoneticPr fontId="1" type="noConversion"/>
  </si>
  <si>
    <t>NYX.SET#isp0_dnrl=5</t>
    <phoneticPr fontId="1" type="noConversion"/>
  </si>
  <si>
    <t>NYX.SET#isp0_dnrl=10</t>
    <phoneticPr fontId="1" type="noConversion"/>
  </si>
  <si>
    <t>NYX.SET#isp0_ddel=0</t>
    <phoneticPr fontId="1" type="noConversion"/>
  </si>
  <si>
    <t>NYX.SET#isp0_ddel=5</t>
    <phoneticPr fontId="1" type="noConversion"/>
  </si>
  <si>
    <t>NYX.SET#isp0_ddel=10</t>
    <phoneticPr fontId="1" type="noConversion"/>
  </si>
  <si>
    <t>NYX.SET#isp0_shrp=0</t>
    <phoneticPr fontId="1" type="noConversion"/>
  </si>
  <si>
    <t>NYX.SET#isp0_shrp=10</t>
    <phoneticPr fontId="1" type="noConversion"/>
  </si>
  <si>
    <t>NYX.SET#isp0_liwe=0</t>
    <phoneticPr fontId="1" type="noConversion"/>
  </si>
  <si>
    <t>NYX.SET#isp0_liwe=10</t>
    <phoneticPr fontId="1" type="noConversion"/>
  </si>
  <si>
    <t>NYX.SET#isp0_heqc=on</t>
    <phoneticPr fontId="1" type="noConversion"/>
  </si>
  <si>
    <t>NYX.SET#isp0_heqc=off</t>
    <phoneticPr fontId="1" type="noConversion"/>
  </si>
  <si>
    <t>NYX.SET#isp0_heql=0</t>
    <phoneticPr fontId="1" type="noConversion"/>
  </si>
  <si>
    <t>NYX.SET#isp0_laee=on</t>
    <phoneticPr fontId="1" type="noConversion"/>
  </si>
  <si>
    <t>NYX.SET#isp0_laee=off</t>
    <phoneticPr fontId="1" type="noConversion"/>
  </si>
  <si>
    <t>NYX.SET#isp0_gamm=0</t>
    <phoneticPr fontId="1" type="noConversion"/>
  </si>
  <si>
    <t>NYX.SET#isp0_gamm=5</t>
    <phoneticPr fontId="1" type="noConversion"/>
  </si>
  <si>
    <t>NYX.SET#isp0_gamm=10</t>
    <phoneticPr fontId="1" type="noConversion"/>
  </si>
  <si>
    <t>NYX.SET#isp0_damp=0</t>
    <phoneticPr fontId="1" type="noConversion"/>
  </si>
  <si>
    <t>NYX.SET#isp0_damp=10</t>
    <phoneticPr fontId="1" type="noConversion"/>
  </si>
  <si>
    <t>NYX.SET#isp0_cosp=plazma</t>
    <phoneticPr fontId="1" type="noConversion"/>
  </si>
  <si>
    <t>NYX.SET#isp0_cosp=rainbow</t>
    <phoneticPr fontId="1" type="noConversion"/>
  </si>
  <si>
    <t>NYX.SET#isp0_cosp=twilight</t>
    <phoneticPr fontId="1" type="noConversion"/>
  </si>
  <si>
    <t>NYX.SET#isp0_cosp=turbo</t>
    <phoneticPr fontId="1" type="noConversion"/>
  </si>
  <si>
    <t>NYX.SET#isp0_coiv=white_hot</t>
    <phoneticPr fontId="1" type="noConversion"/>
  </si>
  <si>
    <t>NYX.SET#isp0_coiv=black_hot</t>
    <phoneticPr fontId="1" type="noConversion"/>
  </si>
  <si>
    <t>NYX.SET#isp0_mirr=on</t>
    <phoneticPr fontId="1" type="noConversion"/>
  </si>
  <si>
    <t>NYX.SET#isp0_mirr=off</t>
    <phoneticPr fontId="1" type="noConversion"/>
  </si>
  <si>
    <t>NYX.SET#isp0_flip=on</t>
    <phoneticPr fontId="1" type="noConversion"/>
  </si>
  <si>
    <t>NYX.SET#isp0_flip=off</t>
    <phoneticPr fontId="1" type="noConversion"/>
  </si>
  <si>
    <t>NYX.SET#isp0_dzen=on</t>
    <phoneticPr fontId="1" type="noConversion"/>
  </si>
  <si>
    <t>NYX.SET#isp0_dzen=off</t>
    <phoneticPr fontId="1" type="noConversion"/>
  </si>
  <si>
    <t>NYX.SET#isp0_dzra=1</t>
    <phoneticPr fontId="1" type="noConversion"/>
  </si>
  <si>
    <t>NYX.SET#isp0_dzra=2</t>
    <phoneticPr fontId="1" type="noConversion"/>
  </si>
  <si>
    <t>NYX.SET#isp0_dzra=2.5</t>
    <phoneticPr fontId="1" type="noConversion"/>
  </si>
  <si>
    <t>NYX.SET#isp0_dzra=4</t>
    <phoneticPr fontId="1" type="noConversion"/>
  </si>
  <si>
    <t>NYX.SET#isp0_frob=on</t>
    <phoneticPr fontId="1" type="noConversion"/>
  </si>
  <si>
    <t>NYX.SET#isp0_frob=off</t>
    <phoneticPr fontId="1" type="noConversion"/>
  </si>
  <si>
    <t>NYX.SET#isp0_from=off</t>
    <phoneticPr fontId="1" type="noConversion"/>
  </si>
  <si>
    <t>NYX.SET#isp0_from=left</t>
    <phoneticPr fontId="1" type="noConversion"/>
  </si>
  <si>
    <t>NYX.SET#isp0_from=right</t>
    <phoneticPr fontId="1" type="noConversion"/>
  </si>
  <si>
    <t>NYX.SET#isp0_from=up</t>
    <phoneticPr fontId="1" type="noConversion"/>
  </si>
  <si>
    <t>NYX.SET#isp0_from=down</t>
    <phoneticPr fontId="1" type="noConversion"/>
  </si>
  <si>
    <t>NYX.SET#isp0_from=custom</t>
    <phoneticPr fontId="1" type="noConversion"/>
  </si>
  <si>
    <t>NYX.SET#isp0_frox=0</t>
    <phoneticPr fontId="1" type="noConversion"/>
  </si>
  <si>
    <t>NYX.SET#isp0_froy=0</t>
    <phoneticPr fontId="1" type="noConversion"/>
  </si>
  <si>
    <t>NYX.SET#isp0_frsx=1</t>
    <phoneticPr fontId="1" type="noConversion"/>
  </si>
  <si>
    <t>NYX.SET#isp0_frsx=10</t>
    <phoneticPr fontId="1" type="noConversion"/>
  </si>
  <si>
    <t>NYX.SET#isp0_frsy=1</t>
    <phoneticPr fontId="1" type="noConversion"/>
  </si>
  <si>
    <t>NYX.SET#isp0_frsy=16</t>
    <phoneticPr fontId="1" type="noConversion"/>
  </si>
  <si>
    <t>NYX.SET#isp0_frsy=32</t>
    <phoneticPr fontId="1" type="noConversion"/>
  </si>
  <si>
    <t>NYX.SET#isp0_hstd=on</t>
    <phoneticPr fontId="1" type="noConversion"/>
  </si>
  <si>
    <t>NYX.SET#isp0_hstd=off</t>
    <phoneticPr fontId="1" type="noConversion"/>
  </si>
  <si>
    <t>NYX.SET#isp0_aint=on</t>
    <phoneticPr fontId="1" type="noConversion"/>
  </si>
  <si>
    <t>NYX.SET#isp0_aint=off</t>
    <phoneticPr fontId="1" type="noConversion"/>
  </si>
  <si>
    <t>NYX.SET#isp0_aheq=off</t>
    <phoneticPr fontId="1" type="noConversion"/>
  </si>
  <si>
    <t>NYX.SET#isp0_aheq=mode1</t>
    <phoneticPr fontId="1" type="noConversion"/>
  </si>
  <si>
    <t>NYX.SET#isp0_aheq=mode2</t>
    <phoneticPr fontId="1" type="noConversion"/>
  </si>
  <si>
    <t>NYX.SET#isp0_agcm=default</t>
    <phoneticPr fontId="1" type="noConversion"/>
  </si>
  <si>
    <t>NYX.SET#isp0_agcm=non_linear_agc</t>
    <phoneticPr fontId="1" type="noConversion"/>
  </si>
  <si>
    <t>NYX.SET#isp0_agcm=linear_agc</t>
    <phoneticPr fontId="1" type="noConversion"/>
  </si>
  <si>
    <t>NYX.SET#isp0_agcm=custom_agc</t>
    <phoneticPr fontId="1" type="noConversion"/>
  </si>
  <si>
    <t>NYX.SET#isp0_agcm=legacy_agc</t>
    <phoneticPr fontId="1" type="noConversion"/>
  </si>
  <si>
    <t>NYX.SET#isp0_agcl=1</t>
    <phoneticPr fontId="1" type="noConversion"/>
  </si>
  <si>
    <t>NYX.SET#isp0_agcl=15</t>
    <phoneticPr fontId="1" type="noConversion"/>
  </si>
  <si>
    <t>NYX.SET#isp0_agcl=30</t>
    <phoneticPr fontId="1" type="noConversion"/>
  </si>
  <si>
    <t>NYX.SET#isp0_fgui=on</t>
    <phoneticPr fontId="1" type="noConversion"/>
  </si>
  <si>
    <t>NYX.SET#isp0_fgui=off</t>
    <phoneticPr fontId="1" type="noConversion"/>
  </si>
  <si>
    <t>NYX.SET#isp0_bprh=on</t>
    <phoneticPr fontId="1" type="noConversion"/>
  </si>
  <si>
    <t>NYX.SET#isp0_bprh=off</t>
    <phoneticPr fontId="1" type="noConversion"/>
  </si>
  <si>
    <t>NYX.SET#isp0_nucs=on</t>
    <phoneticPr fontId="1" type="noConversion"/>
  </si>
  <si>
    <t>NYX.SET#isp0_nucs=off</t>
    <phoneticPr fontId="1" type="noConversion"/>
  </si>
  <si>
    <t>NYX.SET#isp0_bprt=1</t>
    <phoneticPr fontId="1" type="noConversion"/>
  </si>
  <si>
    <t>NYX.SET#isp0_bprt=50</t>
    <phoneticPr fontId="1" type="noConversion"/>
  </si>
  <si>
    <t>NYX.SET#isp0_bprc=1</t>
    <phoneticPr fontId="1" type="noConversion"/>
  </si>
  <si>
    <t>NYX.SET#isp0_bprc=20</t>
    <phoneticPr fontId="1" type="noConversion"/>
  </si>
  <si>
    <t>NYX.SET#infr_inta=100</t>
    <phoneticPr fontId="1" type="noConversion"/>
  </si>
  <si>
    <t>OSD Off</t>
    <phoneticPr fontId="1" type="noConversion"/>
  </si>
  <si>
    <t>OSD On</t>
    <phoneticPr fontId="1" type="noConversion"/>
  </si>
  <si>
    <t>AGC -&gt; Liner Weight</t>
    <phoneticPr fontId="1" type="noConversion"/>
  </si>
  <si>
    <t>AGC -&gt; Custom -&gt; HEQ Compress</t>
    <phoneticPr fontId="1" type="noConversion"/>
  </si>
  <si>
    <t>AGC -&gt; Custom -&gt; HEQ Limit</t>
    <phoneticPr fontId="1" type="noConversion"/>
  </si>
  <si>
    <t>AGC -&gt; Custom -&gt; LAE</t>
    <phoneticPr fontId="1" type="noConversion"/>
  </si>
  <si>
    <t>AGC -&gt; Custom -&gt; Gamma</t>
    <phoneticPr fontId="1" type="noConversion"/>
  </si>
  <si>
    <t>AGC -&gt; Custom -&gt; Damping</t>
    <phoneticPr fontId="1" type="noConversion"/>
  </si>
  <si>
    <t>D-Zoom Ratio</t>
    <phoneticPr fontId="1" type="noConversion"/>
  </si>
  <si>
    <t>Image -&gt; FIlter ROI Draw</t>
    <phoneticPr fontId="1" type="noConversion"/>
  </si>
  <si>
    <t>Image -&gt; FIlter ROI</t>
    <phoneticPr fontId="1" type="noConversion"/>
  </si>
  <si>
    <t>Filter ROI Offset x</t>
    <phoneticPr fontId="1" type="noConversion"/>
  </si>
  <si>
    <t>Setting -&gt; Histogram Draw</t>
    <phoneticPr fontId="1" type="noConversion"/>
  </si>
  <si>
    <t>Setting -&gt; Auto Int Time</t>
    <phoneticPr fontId="1" type="noConversion"/>
  </si>
  <si>
    <t>AGC -&gt; Custom -&gt; Adaptive HEQ</t>
    <phoneticPr fontId="1" type="noConversion"/>
  </si>
  <si>
    <t>AGC -&gt; AGC Mode</t>
    <phoneticPr fontId="1" type="noConversion"/>
  </si>
  <si>
    <t>AGC -&gt; Legacy -&gt; Legacy Limit</t>
    <phoneticPr fontId="1" type="noConversion"/>
  </si>
  <si>
    <t>Factory Menu</t>
    <phoneticPr fontId="1" type="noConversion"/>
  </si>
  <si>
    <t>BPR -&gt; Show Bad Pixel</t>
    <phoneticPr fontId="1" type="noConversion"/>
  </si>
  <si>
    <t>NUC -&gt; NUC Cut Enable</t>
    <phoneticPr fontId="1" type="noConversion"/>
  </si>
  <si>
    <t>BPR -&gt; BPR Threshold</t>
    <phoneticPr fontId="1" type="noConversion"/>
  </si>
  <si>
    <t>BPR -&gt; BPR Count</t>
    <phoneticPr fontId="1" type="noConversion"/>
  </si>
  <si>
    <t>NUC -&gt; Integral Time</t>
    <phoneticPr fontId="1" type="noConversion"/>
  </si>
  <si>
    <t>alm0_opcl</t>
    <phoneticPr fontId="1" type="noConversion"/>
  </si>
  <si>
    <t>alm0_nonc=open</t>
    <phoneticPr fontId="1" type="noConversion"/>
  </si>
  <si>
    <t>alm0_nonc=close</t>
    <phoneticPr fontId="1" type="noConversion"/>
  </si>
  <si>
    <t>aux0_nonc=open</t>
    <phoneticPr fontId="1" type="noConversion"/>
  </si>
  <si>
    <t>aux0_nonc=close</t>
    <phoneticPr fontId="1" type="noConversion"/>
  </si>
  <si>
    <t>aux0_opcl=open</t>
    <phoneticPr fontId="1" type="noConversion"/>
  </si>
  <si>
    <t>aux0_opcl=close</t>
    <phoneticPr fontId="1" type="noConversion"/>
  </si>
  <si>
    <t>infr_nucs=low_gain</t>
    <phoneticPr fontId="1" type="noConversion"/>
  </si>
  <si>
    <t>infr_nucs=high_gain</t>
    <phoneticPr fontId="1" type="noConversion"/>
  </si>
  <si>
    <t>infr_nucs=calc_gain</t>
    <phoneticPr fontId="1" type="noConversion"/>
  </si>
  <si>
    <t>infr_nucs=low_offset</t>
    <phoneticPr fontId="1" type="noConversion"/>
  </si>
  <si>
    <t>infr_nucs=high_offset</t>
    <phoneticPr fontId="1" type="noConversion"/>
  </si>
  <si>
    <t>infr_nucs=calc_offset</t>
    <phoneticPr fontId="1" type="noConversion"/>
  </si>
  <si>
    <t>infr_nucs=update</t>
    <phoneticPr fontId="1" type="noConversion"/>
  </si>
  <si>
    <t>NYX.SET#isp0_cosp=twilight_shifted</t>
    <phoneticPr fontId="1" type="noConversion"/>
  </si>
  <si>
    <t>NYX.SET#isp0_dzra=8</t>
    <phoneticPr fontId="1" type="noConversion"/>
  </si>
  <si>
    <t>Rev.2024.02.05</t>
  </si>
  <si>
    <t>FF01E021000002</t>
  </si>
  <si>
    <t>FF01E022000003</t>
  </si>
  <si>
    <t>FF01E023000004</t>
  </si>
  <si>
    <t>FF01E024000005</t>
  </si>
  <si>
    <t>FF01E025000006</t>
  </si>
  <si>
    <t>FF010000000001</t>
  </si>
  <si>
    <t>FF010040000041</t>
  </si>
  <si>
    <t>FF010020000021</t>
  </si>
  <si>
    <t>FF010080000081</t>
  </si>
  <si>
    <t>FF010100000002</t>
  </si>
  <si>
    <t>FF01015500045B</t>
  </si>
  <si>
    <t>FF01A100000000</t>
  </si>
  <si>
    <t>name</t>
    <phoneticPr fontId="1" type="noConversion"/>
  </si>
  <si>
    <t>udp port</t>
    <phoneticPr fontId="1" type="noConversion"/>
  </si>
  <si>
    <t>tcp port</t>
    <phoneticPr fontId="1" type="noConversion"/>
  </si>
  <si>
    <t>gyro port</t>
    <phoneticPr fontId="1" type="noConversion"/>
  </si>
  <si>
    <t>rtsp add</t>
    <phoneticPr fontId="1" type="noConversion"/>
  </si>
  <si>
    <t>boot percent</t>
    <phoneticPr fontId="1" type="noConversion"/>
  </si>
  <si>
    <t>detect type</t>
    <phoneticPr fontId="1" type="noConversion"/>
  </si>
  <si>
    <t>cool run time</t>
    <phoneticPr fontId="1" type="noConversion"/>
  </si>
  <si>
    <t>response is minute</t>
    <phoneticPr fontId="1" type="noConversion"/>
  </si>
  <si>
    <t>model type</t>
    <phoneticPr fontId="1" type="noConversion"/>
  </si>
  <si>
    <t>system version</t>
    <phoneticPr fontId="1" type="noConversion"/>
  </si>
  <si>
    <t>system status</t>
    <phoneticPr fontId="1" type="noConversion"/>
  </si>
  <si>
    <t>system temperature</t>
    <phoneticPr fontId="1" type="noConversion"/>
  </si>
  <si>
    <t>fan0 status</t>
    <phoneticPr fontId="1" type="noConversion"/>
  </si>
  <si>
    <t>initialize</t>
    <phoneticPr fontId="1" type="noConversion"/>
  </si>
  <si>
    <t>factory</t>
    <phoneticPr fontId="1" type="noConversion"/>
  </si>
  <si>
    <t>save</t>
    <phoneticPr fontId="1" type="noConversion"/>
  </si>
  <si>
    <t>reboot</t>
    <phoneticPr fontId="1" type="noConversion"/>
  </si>
  <si>
    <t>fan1 status</t>
    <phoneticPr fontId="1" type="noConversion"/>
  </si>
  <si>
    <t>NYX.GET#fan1_stat</t>
    <phoneticPr fontId="1" type="noConversion"/>
  </si>
  <si>
    <t>baud=9600</t>
    <phoneticPr fontId="1" type="noConversion"/>
  </si>
  <si>
    <t>baud=19200</t>
    <phoneticPr fontId="1" type="noConversion"/>
  </si>
  <si>
    <t>baud=38400</t>
    <phoneticPr fontId="1" type="noConversion"/>
  </si>
  <si>
    <t>baud=57600</t>
    <phoneticPr fontId="1" type="noConversion"/>
  </si>
  <si>
    <t>baud=115200</t>
    <phoneticPr fontId="1" type="noConversion"/>
  </si>
  <si>
    <t>Default</t>
    <phoneticPr fontId="1" type="noConversion"/>
  </si>
  <si>
    <t>lens type</t>
    <phoneticPr fontId="1" type="noConversion"/>
  </si>
  <si>
    <t>Bad/Ready</t>
    <phoneticPr fontId="1" type="noConversion"/>
  </si>
  <si>
    <t>lens temperature</t>
    <phoneticPr fontId="1" type="noConversion"/>
  </si>
  <si>
    <t>lens status</t>
    <phoneticPr fontId="1" type="noConversion"/>
  </si>
  <si>
    <t>lens fnum</t>
    <phoneticPr fontId="1" type="noConversion"/>
  </si>
  <si>
    <t>lens wide/tele mm</t>
    <phoneticPr fontId="1" type="noConversion"/>
  </si>
  <si>
    <t>lens wide/tele encoder</t>
    <phoneticPr fontId="1" type="noConversion"/>
  </si>
  <si>
    <t>lens fov</t>
    <phoneticPr fontId="1" type="noConversion"/>
  </si>
  <si>
    <t>lens current fov</t>
    <phoneticPr fontId="1" type="noConversion"/>
  </si>
  <si>
    <t>infr stat</t>
    <phoneticPr fontId="1" type="noConversion"/>
  </si>
  <si>
    <t>infr f number</t>
    <phoneticPr fontId="1" type="noConversion"/>
  </si>
  <si>
    <t>infr run time</t>
    <phoneticPr fontId="1" type="noConversion"/>
  </si>
  <si>
    <t>infr array size</t>
    <phoneticPr fontId="1" type="noConversion"/>
  </si>
  <si>
    <t>640/512</t>
    <phoneticPr fontId="1" type="noConversion"/>
  </si>
  <si>
    <t>infr temperature K</t>
    <phoneticPr fontId="1" type="noConversion"/>
  </si>
  <si>
    <t>NYX.SET#infr_ofps=25</t>
    <phoneticPr fontId="1" type="noConversion"/>
  </si>
  <si>
    <t>NYX.SET#infr_bprm=off</t>
    <phoneticPr fontId="1" type="noConversion"/>
  </si>
  <si>
    <t>NYX.SET#infr_bprm=on</t>
    <phoneticPr fontId="1" type="noConversion"/>
  </si>
  <si>
    <t>NYX.SET#infr_bprf=set</t>
    <phoneticPr fontId="1" type="noConversion"/>
  </si>
  <si>
    <t>NYX.SET#infr_bprf=clear</t>
    <phoneticPr fontId="1" type="noConversion"/>
  </si>
  <si>
    <t>non iCP Detector</t>
    <phoneticPr fontId="1" type="noConversion"/>
  </si>
  <si>
    <t>NYX.SET#infr_bprf=update</t>
    <phoneticPr fontId="1" type="noConversion"/>
  </si>
  <si>
    <t>NYX.SET#infr_bprf=clear all</t>
    <phoneticPr fontId="1" type="noConversion"/>
  </si>
  <si>
    <t>NYX.SET#infr_bprf=auto1</t>
    <phoneticPr fontId="1" type="noConversion"/>
  </si>
  <si>
    <t>NYX.SET#infr_bprf=auto2</t>
    <phoneticPr fontId="1" type="noConversion"/>
  </si>
  <si>
    <t xml:space="preserve">bad pixel position x, y </t>
    <phoneticPr fontId="1" type="noConversion"/>
  </si>
  <si>
    <t>NYX.GET#infr_nucm=mode1</t>
    <phoneticPr fontId="1" type="noConversion"/>
  </si>
  <si>
    <t>NYX.GET#infr_nucm=mode2</t>
  </si>
  <si>
    <t>NYX.GET#infr_nucm=mode3</t>
  </si>
  <si>
    <t>NYX.GET#infr_nucm=mode4</t>
  </si>
  <si>
    <t>NYX.SET#infr_inta=6000</t>
    <phoneticPr fontId="1" type="noConversion"/>
  </si>
  <si>
    <t>NYX.SET#infr_inta=25000</t>
    <phoneticPr fontId="1" type="noConversion"/>
  </si>
  <si>
    <t>isp0 version</t>
    <phoneticPr fontId="1" type="noConversion"/>
  </si>
  <si>
    <t>isp0 Status</t>
    <phoneticPr fontId="1" type="noConversion"/>
  </si>
  <si>
    <t>osd off</t>
    <phoneticPr fontId="1" type="noConversion"/>
  </si>
  <si>
    <t>osd on</t>
    <phoneticPr fontId="1" type="noConversion"/>
  </si>
  <si>
    <t>osd set</t>
    <phoneticPr fontId="1" type="noConversion"/>
  </si>
  <si>
    <t>osd up</t>
    <phoneticPr fontId="1" type="noConversion"/>
  </si>
  <si>
    <t>osd down</t>
    <phoneticPr fontId="1" type="noConversion"/>
  </si>
  <si>
    <t>osd left</t>
    <phoneticPr fontId="1" type="noConversion"/>
  </si>
  <si>
    <t>osd right</t>
    <phoneticPr fontId="1" type="noConversion"/>
  </si>
  <si>
    <t>osd information on</t>
    <phoneticPr fontId="1" type="noConversion"/>
  </si>
  <si>
    <t>osd information off</t>
    <phoneticPr fontId="1" type="noConversion"/>
  </si>
  <si>
    <t>center mark off</t>
    <phoneticPr fontId="1" type="noConversion"/>
  </si>
  <si>
    <t>center mark cross</t>
    <phoneticPr fontId="1" type="noConversion"/>
  </si>
  <si>
    <t>center mark circle cross</t>
    <phoneticPr fontId="1" type="noConversion"/>
  </si>
  <si>
    <t>center mark grid_4x4</t>
    <phoneticPr fontId="1" type="noConversion"/>
  </si>
  <si>
    <t>center mark color red</t>
    <phoneticPr fontId="1" type="noConversion"/>
  </si>
  <si>
    <t>center mark color green</t>
    <phoneticPr fontId="1" type="noConversion"/>
  </si>
  <si>
    <t>center mark color blue</t>
    <phoneticPr fontId="1" type="noConversion"/>
  </si>
  <si>
    <t>center mark color yellow</t>
    <phoneticPr fontId="1" type="noConversion"/>
  </si>
  <si>
    <t>3dnr 0</t>
    <phoneticPr fontId="1" type="noConversion"/>
  </si>
  <si>
    <t>3dnr 5</t>
    <phoneticPr fontId="1" type="noConversion"/>
  </si>
  <si>
    <t>3dnr 50</t>
    <phoneticPr fontId="1" type="noConversion"/>
  </si>
  <si>
    <t>NYX.SET#isp0_3dnr=5</t>
    <phoneticPr fontId="1" type="noConversion"/>
  </si>
  <si>
    <t>dnr 0</t>
    <phoneticPr fontId="1" type="noConversion"/>
  </si>
  <si>
    <t>dnr 5</t>
    <phoneticPr fontId="1" type="noConversion"/>
  </si>
  <si>
    <t>dnr 10</t>
    <phoneticPr fontId="1" type="noConversion"/>
  </si>
  <si>
    <t>dde 0</t>
    <phoneticPr fontId="1" type="noConversion"/>
  </si>
  <si>
    <t>dde 5</t>
    <phoneticPr fontId="1" type="noConversion"/>
  </si>
  <si>
    <t>dde 10</t>
    <phoneticPr fontId="1" type="noConversion"/>
  </si>
  <si>
    <t>sharpness 0</t>
    <phoneticPr fontId="1" type="noConversion"/>
  </si>
  <si>
    <t>sharpness 10</t>
    <phoneticPr fontId="1" type="noConversion"/>
  </si>
  <si>
    <t>sharpness 3</t>
    <phoneticPr fontId="1" type="noConversion"/>
  </si>
  <si>
    <t>NYX.SET#isp0_shrp=3</t>
    <phoneticPr fontId="1" type="noConversion"/>
  </si>
  <si>
    <t>NYX.SET#isp0_liwe=2</t>
    <phoneticPr fontId="1" type="noConversion"/>
  </si>
  <si>
    <t>NYX.SET#isp0_heql=25</t>
    <phoneticPr fontId="1" type="noConversion"/>
  </si>
  <si>
    <t>NYX.SET#isp0_heql=45</t>
    <phoneticPr fontId="1" type="noConversion"/>
  </si>
  <si>
    <t>NYX.SET#isp0_damp=2</t>
    <phoneticPr fontId="1" type="noConversion"/>
  </si>
  <si>
    <t>Image -&gt; Color Space
Default</t>
    <phoneticPr fontId="1" type="noConversion"/>
  </si>
  <si>
    <t>mirror on</t>
    <phoneticPr fontId="1" type="noConversion"/>
  </si>
  <si>
    <t>mirror off</t>
    <phoneticPr fontId="1" type="noConversion"/>
  </si>
  <si>
    <t>flip on</t>
    <phoneticPr fontId="1" type="noConversion"/>
  </si>
  <si>
    <t>flip off</t>
    <phoneticPr fontId="1" type="noConversion"/>
  </si>
  <si>
    <t>d-zoom on</t>
    <phoneticPr fontId="1" type="noConversion"/>
  </si>
  <si>
    <t>d-zoom off</t>
    <phoneticPr fontId="1" type="noConversion"/>
  </si>
  <si>
    <t>d-zoom x1</t>
    <phoneticPr fontId="1" type="noConversion"/>
  </si>
  <si>
    <t>d-zoom x2</t>
    <phoneticPr fontId="1" type="noConversion"/>
  </si>
  <si>
    <t>d-zoom x2.5</t>
    <phoneticPr fontId="1" type="noConversion"/>
  </si>
  <si>
    <t>d-zoom x4</t>
    <phoneticPr fontId="1" type="noConversion"/>
  </si>
  <si>
    <t>d-zoom x8</t>
    <phoneticPr fontId="1" type="noConversion"/>
  </si>
  <si>
    <t>D-Zoom on/off</t>
    <phoneticPr fontId="1" type="noConversion"/>
  </si>
  <si>
    <t>NYX.SET#isp0_frox=1</t>
    <phoneticPr fontId="1" type="noConversion"/>
  </si>
  <si>
    <t>NYX.SET#isp0_frox=20</t>
    <phoneticPr fontId="1" type="noConversion"/>
  </si>
  <si>
    <t>NYX.SET#isp0_frox=10</t>
    <phoneticPr fontId="1" type="noConversion"/>
  </si>
  <si>
    <t>1280 only</t>
    <phoneticPr fontId="1" type="noConversion"/>
  </si>
  <si>
    <t>NYX.SET#isp0_froy=8</t>
    <phoneticPr fontId="1" type="noConversion"/>
  </si>
  <si>
    <t>NYX.SET#isp0_froy=32</t>
    <phoneticPr fontId="1" type="noConversion"/>
  </si>
  <si>
    <t>NYX.SET#isp0_froy=64</t>
    <phoneticPr fontId="1" type="noConversion"/>
  </si>
  <si>
    <t>NYX.SET#isp0_frsx=8</t>
    <phoneticPr fontId="1" type="noConversion"/>
  </si>
  <si>
    <t>histogram draw on</t>
    <phoneticPr fontId="1" type="noConversion"/>
  </si>
  <si>
    <t>histogram draw off</t>
    <phoneticPr fontId="1" type="noConversion"/>
  </si>
  <si>
    <t>NYX.SET#isp0_logo=on</t>
    <phoneticPr fontId="1" type="noConversion"/>
  </si>
  <si>
    <t>NYX.SET#isp0_logo=off</t>
    <phoneticPr fontId="1" type="noConversion"/>
  </si>
  <si>
    <t>logo on</t>
    <phoneticPr fontId="1" type="noConversion"/>
  </si>
  <si>
    <t>logo off</t>
    <phoneticPr fontId="1" type="noConversion"/>
  </si>
  <si>
    <t>auto integral time off</t>
    <phoneticPr fontId="1" type="noConversion"/>
  </si>
  <si>
    <t>adaptive HEQ mode mode1</t>
    <phoneticPr fontId="1" type="noConversion"/>
  </si>
  <si>
    <t>adaptive HEQ mode mode2</t>
    <phoneticPr fontId="1" type="noConversion"/>
  </si>
  <si>
    <t>agc mode non_linear_agc</t>
    <phoneticPr fontId="1" type="noConversion"/>
  </si>
  <si>
    <t>agc mode linear_agc</t>
    <phoneticPr fontId="1" type="noConversion"/>
  </si>
  <si>
    <t>agc mode custom_agc</t>
    <phoneticPr fontId="1" type="noConversion"/>
  </si>
  <si>
    <t>agc mode legacy_agc</t>
    <phoneticPr fontId="1" type="noConversion"/>
  </si>
  <si>
    <t>agc legacy limit 15</t>
    <phoneticPr fontId="1" type="noConversion"/>
  </si>
  <si>
    <t>agc legacy limit 30</t>
    <phoneticPr fontId="1" type="noConversion"/>
  </si>
  <si>
    <t>factory menu on</t>
    <phoneticPr fontId="1" type="noConversion"/>
  </si>
  <si>
    <t>factory menu off</t>
    <phoneticPr fontId="1" type="noConversion"/>
  </si>
  <si>
    <t>bad pixel highlight off</t>
    <phoneticPr fontId="1" type="noConversion"/>
  </si>
  <si>
    <t>auto bad pixel threshold 30</t>
    <phoneticPr fontId="1" type="noConversion"/>
  </si>
  <si>
    <t>auto bad pixel threshold 50</t>
    <phoneticPr fontId="1" type="noConversion"/>
  </si>
  <si>
    <t>NYX.SET#isp0_bprt=30</t>
    <phoneticPr fontId="1" type="noConversion"/>
  </si>
  <si>
    <t>auto bad pixel same count 5</t>
    <phoneticPr fontId="1" type="noConversion"/>
  </si>
  <si>
    <t>auto bad pixel same count 20</t>
    <phoneticPr fontId="1" type="noConversion"/>
  </si>
  <si>
    <t>NYX.SET#isp0_bprc=5</t>
    <phoneticPr fontId="1" type="noConversion"/>
  </si>
  <si>
    <t>nuc saturation cut off</t>
    <phoneticPr fontId="1" type="noConversion"/>
  </si>
  <si>
    <t>lens zoom position</t>
    <phoneticPr fontId="1" type="noConversion"/>
  </si>
  <si>
    <t>lens focus position</t>
    <phoneticPr fontId="1" type="noConversion"/>
  </si>
  <si>
    <t>system upgrade</t>
    <phoneticPr fontId="1" type="noConversion"/>
  </si>
  <si>
    <t>not use</t>
    <phoneticPr fontId="1" type="noConversion"/>
  </si>
  <si>
    <t>NYX.SET#lens_zdir=17703</t>
    <phoneticPr fontId="1" type="noConversion"/>
  </si>
  <si>
    <t>NYX.SET#lens_zdir=33190</t>
    <phoneticPr fontId="1" type="noConversion"/>
  </si>
  <si>
    <t>NYX.SET#lens_zdir=16003</t>
    <phoneticPr fontId="1" type="noConversion"/>
  </si>
  <si>
    <t>NYX.SET#lens_zdir=33704</t>
    <phoneticPr fontId="1" type="noConversion"/>
  </si>
  <si>
    <t>C-OPF50200275SD</t>
    <phoneticPr fontId="1" type="noConversion"/>
  </si>
  <si>
    <t>NYX.SET#lens_zdir=19691</t>
    <phoneticPr fontId="1" type="noConversion"/>
  </si>
  <si>
    <t>C-OPF50300385SD</t>
    <phoneticPr fontId="1" type="noConversion"/>
  </si>
  <si>
    <t>0~639, 0~511</t>
    <phoneticPr fontId="1" type="noConversion"/>
  </si>
  <si>
    <t>Name</t>
  </si>
  <si>
    <t>http port</t>
    <phoneticPr fontId="1" type="noConversion"/>
  </si>
  <si>
    <t>lens focus encoder</t>
    <phoneticPr fontId="1" type="noConversion"/>
  </si>
  <si>
    <t>Get/Post</t>
    <phoneticPr fontId="1" type="noConversion"/>
  </si>
  <si>
    <t>zoom spd=1</t>
    <phoneticPr fontId="1" type="noConversion"/>
  </si>
  <si>
    <t>zoom spd=2</t>
    <phoneticPr fontId="1" type="noConversion"/>
  </si>
  <si>
    <t xml:space="preserve"> zoom spd=3</t>
  </si>
  <si>
    <t xml:space="preserve"> zoom spd=4</t>
  </si>
  <si>
    <t xml:space="preserve"> zoom spd=5</t>
  </si>
  <si>
    <t xml:space="preserve"> focus spd=1</t>
  </si>
  <si>
    <t xml:space="preserve"> focus spd=2</t>
  </si>
  <si>
    <t xml:space="preserve"> focus spd=3</t>
  </si>
  <si>
    <t xml:space="preserve"> focus spd=4</t>
  </si>
  <si>
    <t xml:space="preserve"> focus spd=5</t>
  </si>
  <si>
    <t xml:space="preserve"> focus far</t>
  </si>
  <si>
    <t xml:space="preserve"> focus near</t>
  </si>
  <si>
    <t xml:space="preserve"> af stop</t>
  </si>
  <si>
    <t xml:space="preserve"> af execute</t>
  </si>
  <si>
    <t xml:space="preserve"> af roi full</t>
  </si>
  <si>
    <t xml:space="preserve"> af roi 3/4</t>
  </si>
  <si>
    <t xml:space="preserve"> af roi 2/4</t>
  </si>
  <si>
    <t xml:space="preserve"> af roi 1/4</t>
  </si>
  <si>
    <t xml:space="preserve"> af interval 10 m</t>
  </si>
  <si>
    <t xml:space="preserve"> af interval 360 m</t>
  </si>
  <si>
    <t xml:space="preserve"> output mode nuc</t>
  </si>
  <si>
    <t xml:space="preserve"> output mode raw</t>
  </si>
  <si>
    <t xml:space="preserve"> calibration stop</t>
  </si>
  <si>
    <t xml:space="preserve"> calibration exe</t>
  </si>
  <si>
    <t xml:space="preserve"> integral time 3000</t>
  </si>
  <si>
    <t xml:space="preserve"> integral time 6000</t>
  </si>
  <si>
    <t xml:space="preserve"> integral time 9000</t>
  </si>
  <si>
    <t xml:space="preserve"> integral time 12000</t>
  </si>
  <si>
    <t xml:space="preserve"> integral time 15000</t>
  </si>
  <si>
    <t xml:space="preserve"> integral time 20000</t>
  </si>
  <si>
    <t xml:space="preserve"> integral time fine control 6000</t>
  </si>
  <si>
    <t xml:space="preserve"> integral time fine control 25000</t>
  </si>
  <si>
    <t xml:space="preserve"> 720x576</t>
  </si>
  <si>
    <t xml:space="preserve"> 1280x720</t>
  </si>
  <si>
    <t xml:space="preserve"> 1280x1024</t>
  </si>
  <si>
    <t xml:space="preserve"> 1920x1080</t>
  </si>
  <si>
    <t xml:space="preserve"> window_box</t>
  </si>
  <si>
    <t xml:space="preserve"> window_box_lefttop</t>
  </si>
  <si>
    <t xml:space="preserve"> pillar_box</t>
  </si>
  <si>
    <t xml:space="preserve"> scale</t>
  </si>
  <si>
    <t xml:space="preserve"> crop</t>
  </si>
  <si>
    <t xml:space="preserve"> linear percent 0</t>
  </si>
  <si>
    <t xml:space="preserve"> linear percent 2</t>
  </si>
  <si>
    <t xml:space="preserve"> linear percent 10</t>
  </si>
  <si>
    <t xml:space="preserve"> heq compress on</t>
  </si>
  <si>
    <t xml:space="preserve"> heq compress off</t>
  </si>
  <si>
    <t xml:space="preserve"> heq limit percent 0</t>
  </si>
  <si>
    <t xml:space="preserve"> heq limit percent 25</t>
  </si>
  <si>
    <t xml:space="preserve"> heq limit percent 45</t>
  </si>
  <si>
    <t>gamma 0</t>
    <phoneticPr fontId="1" type="noConversion"/>
  </si>
  <si>
    <t>gamma 5</t>
    <phoneticPr fontId="1" type="noConversion"/>
  </si>
  <si>
    <t>gamma 10</t>
    <phoneticPr fontId="1" type="noConversion"/>
  </si>
  <si>
    <t>damping 0</t>
    <phoneticPr fontId="1" type="noConversion"/>
  </si>
  <si>
    <t>damping 2</t>
    <phoneticPr fontId="1" type="noConversion"/>
  </si>
  <si>
    <t>damping 10</t>
    <phoneticPr fontId="1" type="noConversion"/>
  </si>
  <si>
    <t>gray</t>
  </si>
  <si>
    <t>iron</t>
  </si>
  <si>
    <t>plazma</t>
  </si>
  <si>
    <t>rainbow</t>
  </si>
  <si>
    <t>twilight</t>
  </si>
  <si>
    <t>turbo</t>
  </si>
  <si>
    <t>white hot</t>
    <phoneticPr fontId="1" type="noConversion"/>
  </si>
  <si>
    <t>black hot</t>
    <phoneticPr fontId="1" type="noConversion"/>
  </si>
  <si>
    <t>roi box on</t>
  </si>
  <si>
    <t>roi box off</t>
  </si>
  <si>
    <t>roi mode off</t>
  </si>
  <si>
    <t>roi mode left</t>
  </si>
  <si>
    <t>roi mode right</t>
  </si>
  <si>
    <t>roi mode up</t>
  </si>
  <si>
    <t>roi mode down</t>
  </si>
  <si>
    <t>roi mode custom</t>
  </si>
  <si>
    <t>roi custom mode x 0</t>
  </si>
  <si>
    <t>roi custom mode x 1</t>
  </si>
  <si>
    <t>roi custom mode x 10</t>
  </si>
  <si>
    <t>roi custom mode x 20</t>
  </si>
  <si>
    <t>roi custom mode y 0</t>
  </si>
  <si>
    <t>roi custom mode y 8</t>
  </si>
  <si>
    <t>roi custom mode y 32</t>
  </si>
  <si>
    <t>roi custom mode y 64</t>
  </si>
  <si>
    <t>roi custom mode x size1</t>
  </si>
  <si>
    <t>roi custom mode x size8</t>
  </si>
  <si>
    <t>roi custom mode x size10</t>
  </si>
  <si>
    <t>roi custom mode x size20</t>
  </si>
  <si>
    <t>roi custom mode y size1</t>
  </si>
  <si>
    <t>roi custom mode y size16</t>
  </si>
  <si>
    <t>roi custom mode y size 32</t>
  </si>
  <si>
    <t>roi custom mode y size 64</t>
  </si>
  <si>
    <t>auto integral time on</t>
    <phoneticPr fontId="1" type="noConversion"/>
  </si>
  <si>
    <t>adaptive HEQ mode off</t>
    <phoneticPr fontId="1" type="noConversion"/>
  </si>
  <si>
    <t>agc mode default</t>
    <phoneticPr fontId="1" type="noConversion"/>
  </si>
  <si>
    <t>agc legacy limit 1</t>
    <phoneticPr fontId="1" type="noConversion"/>
  </si>
  <si>
    <t>bad pixel highlight on</t>
    <phoneticPr fontId="1" type="noConversion"/>
  </si>
  <si>
    <t>auto bad pixel threshold 1</t>
    <phoneticPr fontId="1" type="noConversion"/>
  </si>
  <si>
    <t>auto bad pixel same count 1</t>
    <phoneticPr fontId="1" type="noConversion"/>
  </si>
  <si>
    <t>nuc saturation cut on</t>
    <phoneticPr fontId="1" type="noConversion"/>
  </si>
  <si>
    <t>lae on</t>
    <phoneticPr fontId="1" type="noConversion"/>
  </si>
  <si>
    <t>lae off</t>
    <phoneticPr fontId="1" type="noConversion"/>
  </si>
  <si>
    <t>twilight shifted</t>
    <phoneticPr fontId="1" type="noConversion"/>
  </si>
  <si>
    <t xml:space="preserve"> integral time fine control 100</t>
    <phoneticPr fontId="1" type="noConversion"/>
  </si>
  <si>
    <t>nuc mode 1</t>
    <phoneticPr fontId="1" type="noConversion"/>
  </si>
  <si>
    <t>nuc mode 2</t>
    <phoneticPr fontId="1" type="noConversion"/>
  </si>
  <si>
    <t>nuc mode 3</t>
    <phoneticPr fontId="1" type="noConversion"/>
  </si>
  <si>
    <t>nuc mode 4</t>
    <phoneticPr fontId="1" type="noConversion"/>
  </si>
  <si>
    <t>bpr set</t>
    <phoneticPr fontId="1" type="noConversion"/>
  </si>
  <si>
    <t>bpr update</t>
    <phoneticPr fontId="1" type="noConversion"/>
  </si>
  <si>
    <t>bpr factory set</t>
    <phoneticPr fontId="1" type="noConversion"/>
  </si>
  <si>
    <t>bpr factory clear</t>
    <phoneticPr fontId="1" type="noConversion"/>
  </si>
  <si>
    <t>bpr factory update</t>
    <phoneticPr fontId="1" type="noConversion"/>
  </si>
  <si>
    <t>bpr factory clear all</t>
    <phoneticPr fontId="1" type="noConversion"/>
  </si>
  <si>
    <t>bpr factory auto 1</t>
    <phoneticPr fontId="1" type="noConversion"/>
  </si>
  <si>
    <t>bpr factory auto 2</t>
    <phoneticPr fontId="1" type="noConversion"/>
  </si>
  <si>
    <t xml:space="preserve"> cali. manual</t>
    <phoneticPr fontId="1" type="noConversion"/>
  </si>
  <si>
    <t xml:space="preserve"> cali. interval</t>
    <phoneticPr fontId="1" type="noConversion"/>
  </si>
  <si>
    <t xml:space="preserve"> cali. interval 10</t>
    <phoneticPr fontId="1" type="noConversion"/>
  </si>
  <si>
    <t xml:space="preserve"> cali. interval 180</t>
    <phoneticPr fontId="1" type="noConversion"/>
  </si>
  <si>
    <t xml:space="preserve"> cali. interval 360</t>
    <phoneticPr fontId="1" type="noConversion"/>
  </si>
  <si>
    <t>bpr mode off</t>
    <phoneticPr fontId="1" type="noConversion"/>
  </si>
  <si>
    <t>bpr mode on</t>
    <phoneticPr fontId="1" type="noConversion"/>
  </si>
  <si>
    <t>fps 30</t>
    <phoneticPr fontId="1" type="noConversion"/>
  </si>
  <si>
    <t>fps 25</t>
    <phoneticPr fontId="1" type="noConversion"/>
  </si>
  <si>
    <t xml:space="preserve"> af manual</t>
    <phoneticPr fontId="1" type="noConversion"/>
  </si>
  <si>
    <t xml:space="preserve"> af interval</t>
    <phoneticPr fontId="1" type="noConversion"/>
  </si>
  <si>
    <t xml:space="preserve"> af zoom-trigger</t>
    <phoneticPr fontId="1" type="noConversion"/>
  </si>
  <si>
    <t>zoom narrow</t>
    <phoneticPr fontId="1" type="noConversion"/>
  </si>
  <si>
    <t>zoom wide</t>
    <phoneticPr fontId="1" type="noConversion"/>
  </si>
  <si>
    <t>zoom stop</t>
    <phoneticPr fontId="1" type="noConversion"/>
  </si>
  <si>
    <t>zoom dir=16003</t>
    <phoneticPr fontId="1" type="noConversion"/>
  </si>
  <si>
    <t>zoom dir=33704</t>
    <phoneticPr fontId="1" type="noConversion"/>
  </si>
  <si>
    <t>zoom dir=17703</t>
    <phoneticPr fontId="1" type="noConversion"/>
  </si>
  <si>
    <t>zoom dir=24853</t>
    <phoneticPr fontId="1" type="noConversion"/>
  </si>
  <si>
    <t>zoom dir=33190</t>
    <phoneticPr fontId="1" type="noConversion"/>
  </si>
  <si>
    <t>zoom dir=19691</t>
    <phoneticPr fontId="1" type="noConversion"/>
  </si>
  <si>
    <t>zoom dir=35178</t>
    <phoneticPr fontId="1" type="noConversion"/>
  </si>
  <si>
    <t>focus stop</t>
    <phoneticPr fontId="1" type="noConversion"/>
  </si>
  <si>
    <t>FF01000F000010</t>
    <phoneticPr fontId="1" type="noConversion"/>
  </si>
  <si>
    <t>Address</t>
  </si>
  <si>
    <t>Data Range</t>
  </si>
  <si>
    <t>Unit</t>
  </si>
  <si>
    <t>Description</t>
  </si>
  <si>
    <t>Default</t>
  </si>
  <si>
    <t>Remarks</t>
  </si>
  <si>
    <t>Header+Add</t>
    <phoneticPr fontId="1" type="noConversion"/>
  </si>
  <si>
    <t>Delete 0x</t>
    <phoneticPr fontId="1" type="noConversion"/>
  </si>
  <si>
    <t>MSB</t>
    <phoneticPr fontId="1" type="noConversion"/>
  </si>
  <si>
    <t>LSB</t>
    <phoneticPr fontId="1" type="noConversion"/>
  </si>
  <si>
    <t>Decimal</t>
    <phoneticPr fontId="1" type="noConversion"/>
  </si>
  <si>
    <t>Option</t>
    <phoneticPr fontId="1" type="noConversion"/>
  </si>
  <si>
    <t>Op MSB</t>
    <phoneticPr fontId="1" type="noConversion"/>
  </si>
  <si>
    <t>Op LSB</t>
    <phoneticPr fontId="1" type="noConversion"/>
  </si>
  <si>
    <t>CHK</t>
    <phoneticPr fontId="1" type="noConversion"/>
  </si>
  <si>
    <t>Normal</t>
    <phoneticPr fontId="1" type="noConversion"/>
  </si>
  <si>
    <t>0x2012</t>
    <phoneticPr fontId="11" type="noConversion"/>
  </si>
  <si>
    <t>0~1</t>
    <phoneticPr fontId="11" type="noConversion"/>
  </si>
  <si>
    <t>-</t>
  </si>
  <si>
    <t>0x0:Normal, 0x1:High</t>
  </si>
  <si>
    <t>High mode Optional</t>
  </si>
  <si>
    <t>FF00</t>
    <phoneticPr fontId="1" type="noConversion"/>
  </si>
  <si>
    <t>0000</t>
    <phoneticPr fontId="1" type="noConversion"/>
  </si>
  <si>
    <t>High</t>
    <phoneticPr fontId="1" type="noConversion"/>
  </si>
  <si>
    <t>0001</t>
    <phoneticPr fontId="1" type="noConversion"/>
  </si>
  <si>
    <t xml:space="preserve"> Mirror Off</t>
  </si>
  <si>
    <t>0x2022</t>
  </si>
  <si>
    <t>0~1</t>
  </si>
  <si>
    <t>0x0:Disable, 0x1:Enable</t>
  </si>
  <si>
    <t xml:space="preserve"> Mirror On</t>
  </si>
  <si>
    <t xml:space="preserve"> Flip Off</t>
  </si>
  <si>
    <t>0x2023</t>
  </si>
  <si>
    <r>
      <rPr>
        <sz val="10"/>
        <color rgb="FF0D0D0D"/>
        <rFont val="맑은 고딕"/>
        <family val="3"/>
        <charset val="129"/>
        <scheme val="minor"/>
      </rPr>
      <t>Only SL- 640CA</t>
    </r>
  </si>
  <si>
    <t xml:space="preserve"> Flip On</t>
  </si>
  <si>
    <t xml:space="preserve"> Invert Off</t>
  </si>
  <si>
    <t>0x2024</t>
  </si>
  <si>
    <t xml:space="preserve"> Invert On</t>
  </si>
  <si>
    <t>Cali Execute Shutter</t>
  </si>
  <si>
    <r>
      <rPr>
        <sz val="10"/>
        <color rgb="FF0D0D0D"/>
        <rFont val="맑은 고딕"/>
        <family val="3"/>
        <charset val="129"/>
        <scheme val="minor"/>
      </rPr>
      <t>0x2030</t>
    </r>
  </si>
  <si>
    <r>
      <rPr>
        <sz val="10"/>
        <color rgb="FF0D0D0D"/>
        <rFont val="맑은 고딕"/>
        <family val="3"/>
        <charset val="129"/>
        <scheme val="minor"/>
      </rPr>
      <t>0~1</t>
    </r>
  </si>
  <si>
    <r>
      <rPr>
        <sz val="10"/>
        <color rgb="FF0D0D0D"/>
        <rFont val="맑은 고딕"/>
        <family val="3"/>
        <charset val="129"/>
        <scheme val="minor"/>
      </rPr>
      <t>-</t>
    </r>
  </si>
  <si>
    <r>
      <rPr>
        <sz val="10"/>
        <color rgb="FF0D0D0D"/>
        <rFont val="맑은 고딕"/>
        <family val="3"/>
        <charset val="129"/>
        <scheme val="minor"/>
      </rPr>
      <t>0:Shutter, 1:OutScene</t>
    </r>
  </si>
  <si>
    <t>Cali Execute OutScene</t>
  </si>
  <si>
    <t>Cali Manual</t>
  </si>
  <si>
    <t>0x2031</t>
    <phoneticPr fontId="1" type="noConversion"/>
  </si>
  <si>
    <t>0~3</t>
  </si>
  <si>
    <t>0:Manual, 1:Auto, 2:Interval</t>
    <phoneticPr fontId="1" type="noConversion"/>
  </si>
  <si>
    <t>Cali Auto</t>
  </si>
  <si>
    <t>Cali Interval</t>
  </si>
  <si>
    <t>0002</t>
    <phoneticPr fontId="1" type="noConversion"/>
  </si>
  <si>
    <t>Cali Interval 10</t>
  </si>
  <si>
    <t>0x2032</t>
    <phoneticPr fontId="1" type="noConversion"/>
  </si>
  <si>
    <t>Cali Interval 600</t>
  </si>
  <si>
    <t>Param Save None</t>
  </si>
  <si>
    <t>0x21B0</t>
  </si>
  <si>
    <t>0~2</t>
  </si>
  <si>
    <t>0x0:None, 0x1:Init, 0x2:Update</t>
  </si>
  <si>
    <t>Param Save Init</t>
  </si>
  <si>
    <t>Param Save Update</t>
  </si>
  <si>
    <t>AGC MGC</t>
    <phoneticPr fontId="1" type="noConversion"/>
  </si>
  <si>
    <t>0x2100</t>
  </si>
  <si>
    <t>0x0:MGC Mode, 0x1:AGC#1(Low Range), 0x2:AGC#2(Middle Range), 0x3:AGC#3(High Range)</t>
  </si>
  <si>
    <t>AGC Low</t>
    <phoneticPr fontId="1" type="noConversion"/>
  </si>
  <si>
    <t>AGC Mid</t>
    <phoneticPr fontId="1" type="noConversion"/>
  </si>
  <si>
    <t>AGC High</t>
    <phoneticPr fontId="1" type="noConversion"/>
  </si>
  <si>
    <t>0003</t>
    <phoneticPr fontId="1" type="noConversion"/>
  </si>
  <si>
    <t>AGC Frame 5</t>
    <phoneticPr fontId="1" type="noConversion"/>
  </si>
  <si>
    <t>0x2101</t>
    <phoneticPr fontId="1" type="noConversion"/>
  </si>
  <si>
    <t>5-60</t>
    <phoneticPr fontId="1" type="noConversion"/>
  </si>
  <si>
    <t>0005</t>
    <phoneticPr fontId="1" type="noConversion"/>
  </si>
  <si>
    <t>AGC Frame 60</t>
    <phoneticPr fontId="1" type="noConversion"/>
  </si>
  <si>
    <t>AGC Min Temp -32767</t>
    <phoneticPr fontId="1" type="noConversion"/>
  </si>
  <si>
    <t>0x2102</t>
    <phoneticPr fontId="1" type="noConversion"/>
  </si>
  <si>
    <t>AGC Min Temp 32767</t>
    <phoneticPr fontId="1" type="noConversion"/>
  </si>
  <si>
    <t>AGC Max Temp -32767</t>
    <phoneticPr fontId="1" type="noConversion"/>
  </si>
  <si>
    <t>0x2103</t>
    <phoneticPr fontId="1" type="noConversion"/>
  </si>
  <si>
    <t>AGC Max Temp 32767</t>
    <phoneticPr fontId="1" type="noConversion"/>
  </si>
  <si>
    <t>AGC Contrast Lvl -50</t>
    <phoneticPr fontId="1" type="noConversion"/>
  </si>
  <si>
    <t>0x2104</t>
    <phoneticPr fontId="1" type="noConversion"/>
  </si>
  <si>
    <t>AGC Contrast Lvl 50</t>
    <phoneticPr fontId="1" type="noConversion"/>
  </si>
  <si>
    <t>IDE 0</t>
    <phoneticPr fontId="1" type="noConversion"/>
  </si>
  <si>
    <t>0x2110</t>
    <phoneticPr fontId="1" type="noConversion"/>
  </si>
  <si>
    <t>IDE 30</t>
    <phoneticPr fontId="1" type="noConversion"/>
  </si>
  <si>
    <t>Gamma Filter 0</t>
    <phoneticPr fontId="1" type="noConversion"/>
  </si>
  <si>
    <t>0x2112</t>
    <phoneticPr fontId="1" type="noConversion"/>
  </si>
  <si>
    <t>Gamma Filter 7</t>
    <phoneticPr fontId="1" type="noConversion"/>
  </si>
  <si>
    <t>0007</t>
    <phoneticPr fontId="1" type="noConversion"/>
  </si>
  <si>
    <t>Gray</t>
  </si>
  <si>
    <t>0x2113</t>
  </si>
  <si>
    <t>0~10</t>
  </si>
  <si>
    <t>0x0:Gray, 0x1:Rainbow, 0x2:Iron, 0x3:Jet, 0x4:Thermal, 0x5:BlueOrangeICB, 0x6:Smart, 0x7:Cool, 0x8:Gray+Rainbow, 0x9:Gray+Jet, 0xA:Gray+Iron</t>
    <phoneticPr fontId="1" type="noConversion"/>
  </si>
  <si>
    <t>Rainbow</t>
  </si>
  <si>
    <t>0001</t>
  </si>
  <si>
    <t>Iron</t>
  </si>
  <si>
    <t>0002</t>
  </si>
  <si>
    <t>Jet</t>
  </si>
  <si>
    <t>0003</t>
  </si>
  <si>
    <t>Thermal</t>
  </si>
  <si>
    <t>0004</t>
  </si>
  <si>
    <t>0005</t>
  </si>
  <si>
    <t>Smart</t>
  </si>
  <si>
    <t>0006</t>
  </si>
  <si>
    <t>Cool</t>
  </si>
  <si>
    <t>0007</t>
  </si>
  <si>
    <t>Gray+Rain</t>
  </si>
  <si>
    <t>0008</t>
  </si>
  <si>
    <t>Gr+Jet</t>
  </si>
  <si>
    <t>0009</t>
  </si>
  <si>
    <t>Gr+Ir</t>
  </si>
  <si>
    <t>Cali Mark Off</t>
    <phoneticPr fontId="1" type="noConversion"/>
  </si>
  <si>
    <t>0x2117</t>
    <phoneticPr fontId="1" type="noConversion"/>
  </si>
  <si>
    <t>Cali Mark On</t>
    <phoneticPr fontId="1" type="noConversion"/>
  </si>
  <si>
    <t>Histogram ROI 90%</t>
    <phoneticPr fontId="1" type="noConversion"/>
  </si>
  <si>
    <t>0x211A</t>
    <phoneticPr fontId="1" type="noConversion"/>
  </si>
  <si>
    <t>Histogram ROI 39%</t>
    <phoneticPr fontId="1" type="noConversion"/>
  </si>
  <si>
    <t>0006</t>
    <phoneticPr fontId="1" type="noConversion"/>
  </si>
  <si>
    <t>Edge Enhancement 0</t>
    <phoneticPr fontId="1" type="noConversion"/>
  </si>
  <si>
    <t>0x211B</t>
    <phoneticPr fontId="1" type="noConversion"/>
  </si>
  <si>
    <t>Edge Enhancement 5</t>
    <phoneticPr fontId="1" type="noConversion"/>
  </si>
  <si>
    <t>D-Zoom x1</t>
    <phoneticPr fontId="1" type="noConversion"/>
  </si>
  <si>
    <t>0x2120</t>
    <phoneticPr fontId="1" type="noConversion"/>
  </si>
  <si>
    <t>D-Zoom x2</t>
    <phoneticPr fontId="1" type="noConversion"/>
  </si>
  <si>
    <t>D-Zoom x4</t>
    <phoneticPr fontId="1" type="noConversion"/>
  </si>
  <si>
    <t>0004</t>
    <phoneticPr fontId="1" type="noConversion"/>
  </si>
  <si>
    <t>YCbCr</t>
    <phoneticPr fontId="1" type="noConversion"/>
  </si>
  <si>
    <t>0x216C</t>
    <phoneticPr fontId="1" type="noConversion"/>
  </si>
  <si>
    <t>YCbCrY</t>
    <phoneticPr fontId="1" type="noConversion"/>
  </si>
  <si>
    <t>Lens Min Set</t>
    <phoneticPr fontId="1" type="noConversion"/>
  </si>
  <si>
    <t>0x2172</t>
    <phoneticPr fontId="1" type="noConversion"/>
  </si>
  <si>
    <t>확인 필요</t>
    <phoneticPr fontId="1" type="noConversion"/>
  </si>
  <si>
    <t>AF Focus Step</t>
    <phoneticPr fontId="1" type="noConversion"/>
  </si>
  <si>
    <t>0x2175</t>
    <phoneticPr fontId="1" type="noConversion"/>
  </si>
  <si>
    <t xml:space="preserve">A/F Full Range </t>
    <phoneticPr fontId="1" type="noConversion"/>
  </si>
  <si>
    <t>0x2180</t>
    <phoneticPr fontId="1" type="noConversion"/>
  </si>
  <si>
    <t xml:space="preserve">A/F Focus Min Value </t>
    <phoneticPr fontId="1" type="noConversion"/>
  </si>
  <si>
    <t>0x2181</t>
  </si>
  <si>
    <t>-</t>
    <phoneticPr fontId="1" type="noConversion"/>
  </si>
  <si>
    <t>A/F Focus Max Value</t>
    <phoneticPr fontId="1" type="noConversion"/>
  </si>
  <si>
    <t>0x2182</t>
  </si>
  <si>
    <t xml:space="preserve">A/F Full Range Init </t>
    <phoneticPr fontId="1" type="noConversion"/>
  </si>
  <si>
    <t>0x2183</t>
  </si>
  <si>
    <t>Zoom No Change</t>
    <phoneticPr fontId="1" type="noConversion"/>
  </si>
  <si>
    <t>0x2200</t>
    <phoneticPr fontId="1" type="noConversion"/>
  </si>
  <si>
    <t>Zoom FOV None</t>
    <phoneticPr fontId="1" type="noConversion"/>
  </si>
  <si>
    <t>0x2201</t>
    <phoneticPr fontId="1" type="noConversion"/>
  </si>
  <si>
    <t>Zoom WFOV</t>
    <phoneticPr fontId="1" type="noConversion"/>
  </si>
  <si>
    <t>Zoom MFOV</t>
    <phoneticPr fontId="1" type="noConversion"/>
  </si>
  <si>
    <t>Zoom NFOV</t>
    <phoneticPr fontId="1" type="noConversion"/>
  </si>
  <si>
    <t>0x2203</t>
    <phoneticPr fontId="1" type="noConversion"/>
  </si>
  <si>
    <t>Zoom Stop</t>
    <phoneticPr fontId="1" type="noConversion"/>
  </si>
  <si>
    <t>0x2205</t>
    <phoneticPr fontId="1" type="noConversion"/>
  </si>
  <si>
    <t>Focus Far/Near None</t>
    <phoneticPr fontId="1" type="noConversion"/>
  </si>
  <si>
    <t>0x2210</t>
    <phoneticPr fontId="1" type="noConversion"/>
  </si>
  <si>
    <t>0x2212</t>
    <phoneticPr fontId="1" type="noConversion"/>
  </si>
  <si>
    <t>Focus Stop</t>
    <phoneticPr fontId="1" type="noConversion"/>
  </si>
  <si>
    <t>0x2213</t>
    <phoneticPr fontId="1" type="noConversion"/>
  </si>
  <si>
    <t>0x2220</t>
    <phoneticPr fontId="1" type="noConversion"/>
  </si>
  <si>
    <t>AF Offset -32767</t>
    <phoneticPr fontId="1" type="noConversion"/>
  </si>
  <si>
    <t>0x2221</t>
    <phoneticPr fontId="1" type="noConversion"/>
  </si>
  <si>
    <t>AF Offset 32767</t>
    <phoneticPr fontId="1" type="noConversion"/>
  </si>
  <si>
    <t>AF Init Pos</t>
    <phoneticPr fontId="1" type="noConversion"/>
  </si>
  <si>
    <t>0x2222</t>
    <phoneticPr fontId="1" type="noConversion"/>
  </si>
  <si>
    <t>Temp Info Off</t>
    <phoneticPr fontId="1" type="noConversion"/>
  </si>
  <si>
    <t>0x2300</t>
    <phoneticPr fontId="1" type="noConversion"/>
  </si>
  <si>
    <t>Temp Info On</t>
    <phoneticPr fontId="1" type="noConversion"/>
  </si>
  <si>
    <t>Colorbar Off, Other On</t>
    <phoneticPr fontId="1" type="noConversion"/>
  </si>
  <si>
    <t>Colorbar On</t>
    <phoneticPr fontId="1" type="noConversion"/>
  </si>
  <si>
    <t>0010</t>
    <phoneticPr fontId="1" type="noConversion"/>
  </si>
  <si>
    <t>Center Off, Other On</t>
    <phoneticPr fontId="1" type="noConversion"/>
  </si>
  <si>
    <t>Center Mark On</t>
    <phoneticPr fontId="1" type="noConversion"/>
  </si>
  <si>
    <t>Min/Max Off, Other On</t>
    <phoneticPr fontId="1" type="noConversion"/>
  </si>
  <si>
    <t>Min/Max On</t>
    <phoneticPr fontId="1" type="noConversion"/>
  </si>
  <si>
    <t>Temp User Offset Min</t>
    <phoneticPr fontId="1" type="noConversion"/>
  </si>
  <si>
    <t>0x2301</t>
    <phoneticPr fontId="1" type="noConversion"/>
  </si>
  <si>
    <t>Temp User Offset Max</t>
    <phoneticPr fontId="1" type="noConversion"/>
  </si>
  <si>
    <t>Emissivity 10</t>
    <phoneticPr fontId="1" type="noConversion"/>
  </si>
  <si>
    <t>0x2302</t>
    <phoneticPr fontId="1" type="noConversion"/>
  </si>
  <si>
    <t>Emissivity 100</t>
    <phoneticPr fontId="1" type="noConversion"/>
  </si>
  <si>
    <t>Data Tx Mode None</t>
    <phoneticPr fontId="1" type="noConversion"/>
  </si>
  <si>
    <t>0x2304</t>
    <phoneticPr fontId="1" type="noConversion"/>
  </si>
  <si>
    <t>0x0:None, 0x1:Enable
**0x10:Area0 Position, 0x11:Area1 Position,…
0x19:Area9 Position
0x1A:Mask0 Position, 0x1B:Mask1 Position,
0x1C:Mask2 Position</t>
    <phoneticPr fontId="1" type="noConversion"/>
  </si>
  <si>
    <t>Data Tx Mode On</t>
    <phoneticPr fontId="1" type="noConversion"/>
  </si>
  <si>
    <t>Area 0 Off</t>
    <phoneticPr fontId="1" type="noConversion"/>
  </si>
  <si>
    <t>0x2310</t>
    <phoneticPr fontId="1" type="noConversion"/>
  </si>
  <si>
    <t>Area 0 On</t>
    <phoneticPr fontId="1" type="noConversion"/>
  </si>
  <si>
    <t>Area 4 Off</t>
    <phoneticPr fontId="1" type="noConversion"/>
  </si>
  <si>
    <t>Area 4 On</t>
    <phoneticPr fontId="1" type="noConversion"/>
  </si>
  <si>
    <t>Area 9 Off</t>
    <phoneticPr fontId="1" type="noConversion"/>
  </si>
  <si>
    <t>Area 9 On</t>
    <phoneticPr fontId="1" type="noConversion"/>
  </si>
  <si>
    <t>Mask 0 Off</t>
    <phoneticPr fontId="1" type="noConversion"/>
  </si>
  <si>
    <t>0x2311</t>
    <phoneticPr fontId="1" type="noConversion"/>
  </si>
  <si>
    <t>Mask 0 On</t>
    <phoneticPr fontId="1" type="noConversion"/>
  </si>
  <si>
    <t>Mask 1 Off</t>
    <phoneticPr fontId="1" type="noConversion"/>
  </si>
  <si>
    <t>Mask 2 On</t>
    <phoneticPr fontId="1" type="noConversion"/>
  </si>
  <si>
    <t>Area 0 Start X 10</t>
    <phoneticPr fontId="1" type="noConversion"/>
  </si>
  <si>
    <t>0x2320</t>
    <phoneticPr fontId="1" type="noConversion"/>
  </si>
  <si>
    <t>Area 0 Start Y 10</t>
    <phoneticPr fontId="1" type="noConversion"/>
  </si>
  <si>
    <t>0x2321</t>
    <phoneticPr fontId="1" type="noConversion"/>
  </si>
  <si>
    <t>Area 0 End X 629</t>
    <phoneticPr fontId="1" type="noConversion"/>
  </si>
  <si>
    <t>0x2322</t>
    <phoneticPr fontId="1" type="noConversion"/>
  </si>
  <si>
    <t>Area 0 End Y 469</t>
    <phoneticPr fontId="1" type="noConversion"/>
  </si>
  <si>
    <t>0x2323</t>
    <phoneticPr fontId="1" type="noConversion"/>
  </si>
  <si>
    <t>Area 0 Temp Threshold -32767</t>
    <phoneticPr fontId="1" type="noConversion"/>
  </si>
  <si>
    <t>0x2324</t>
    <phoneticPr fontId="1" type="noConversion"/>
  </si>
  <si>
    <t>Area 0 Temp Threshold 32767</t>
    <phoneticPr fontId="1" type="noConversion"/>
  </si>
  <si>
    <t>Area 0 Condi None</t>
    <phoneticPr fontId="1" type="noConversion"/>
  </si>
  <si>
    <t>0x2325</t>
    <phoneticPr fontId="1" type="noConversion"/>
  </si>
  <si>
    <t>Area 0 Condi Over</t>
    <phoneticPr fontId="1" type="noConversion"/>
  </si>
  <si>
    <t>Area 0 Condi Under</t>
    <phoneticPr fontId="1" type="noConversion"/>
  </si>
  <si>
    <t>Area 0 Color 0</t>
    <phoneticPr fontId="1" type="noConversion"/>
  </si>
  <si>
    <t>0x2326</t>
    <phoneticPr fontId="1" type="noConversion"/>
  </si>
  <si>
    <t>Area 0 Color 10</t>
    <phoneticPr fontId="1" type="noConversion"/>
  </si>
  <si>
    <t>Area 9 Start X 10</t>
  </si>
  <si>
    <t>0x23B0</t>
    <phoneticPr fontId="1" type="noConversion"/>
  </si>
  <si>
    <t>Area 9 Start Y 10</t>
  </si>
  <si>
    <t>0x23B1</t>
  </si>
  <si>
    <t>Area 9 End X 629</t>
  </si>
  <si>
    <t>0x23B2</t>
  </si>
  <si>
    <t>Area 9 End Y 469</t>
  </si>
  <si>
    <t>0x23B3</t>
  </si>
  <si>
    <t>Area 9 Temp Threshold -32767</t>
  </si>
  <si>
    <t>0x23B4</t>
  </si>
  <si>
    <t>Area 9 Temp Threshold 32767</t>
  </si>
  <si>
    <t>Area 9 Condi None</t>
  </si>
  <si>
    <t>0x23B5</t>
  </si>
  <si>
    <t>Area 9 Condi Over</t>
  </si>
  <si>
    <t>Area 9 Condi Under</t>
  </si>
  <si>
    <t>Area 9 Color 0</t>
    <phoneticPr fontId="1" type="noConversion"/>
  </si>
  <si>
    <t>0x23B6</t>
  </si>
  <si>
    <t>Area 9 Color 10</t>
    <phoneticPr fontId="1" type="noConversion"/>
  </si>
  <si>
    <t>Mask 0 Start X 10</t>
    <phoneticPr fontId="1" type="noConversion"/>
  </si>
  <si>
    <t>0x23C0</t>
    <phoneticPr fontId="1" type="noConversion"/>
  </si>
  <si>
    <t>Mask 0 Start Y 10</t>
    <phoneticPr fontId="1" type="noConversion"/>
  </si>
  <si>
    <t>0x23C1</t>
  </si>
  <si>
    <t>Mask 0 End X 629</t>
    <phoneticPr fontId="1" type="noConversion"/>
  </si>
  <si>
    <t>0x23C2</t>
  </si>
  <si>
    <t>Mask 0 End Y 469</t>
    <phoneticPr fontId="1" type="noConversion"/>
  </si>
  <si>
    <t>0x23C3</t>
  </si>
  <si>
    <t>Mask 1 Start X 10</t>
    <phoneticPr fontId="1" type="noConversion"/>
  </si>
  <si>
    <t>0x23D0</t>
    <phoneticPr fontId="1" type="noConversion"/>
  </si>
  <si>
    <t>Mask 1 Start Y 10</t>
    <phoneticPr fontId="1" type="noConversion"/>
  </si>
  <si>
    <t>0x23D1</t>
  </si>
  <si>
    <t>Mask 1 End X 629</t>
    <phoneticPr fontId="1" type="noConversion"/>
  </si>
  <si>
    <t>0x23D2</t>
  </si>
  <si>
    <t>Mask 1 End Y 469</t>
    <phoneticPr fontId="1" type="noConversion"/>
  </si>
  <si>
    <t>0x23D3</t>
  </si>
  <si>
    <t>Mask 2 Start X 10</t>
  </si>
  <si>
    <t>0x23E0</t>
    <phoneticPr fontId="1" type="noConversion"/>
  </si>
  <si>
    <t>Mask 2 Start Y 10</t>
  </si>
  <si>
    <t>0x23E1</t>
  </si>
  <si>
    <t>Mask 2 End X 629</t>
  </si>
  <si>
    <t>0x23E2</t>
  </si>
  <si>
    <t>Mask 2 End Y 469</t>
  </si>
  <si>
    <t>0x23E3</t>
  </si>
  <si>
    <t>Blue Orange</t>
    <phoneticPr fontId="1" type="noConversion"/>
  </si>
  <si>
    <t>0008</t>
    <phoneticPr fontId="1" type="noConversion"/>
  </si>
  <si>
    <t>D-Zoom x8</t>
    <phoneticPr fontId="1" type="noConversion"/>
  </si>
  <si>
    <t>IDE 10</t>
    <phoneticPr fontId="1" type="noConversion"/>
  </si>
  <si>
    <t>Temp User Offset 0</t>
    <phoneticPr fontId="1" type="noConversion"/>
  </si>
  <si>
    <t>Emissivity 98</t>
    <phoneticPr fontId="1" type="noConversion"/>
  </si>
  <si>
    <t>AGC Brightness Lvl -50</t>
    <phoneticPr fontId="1" type="noConversion"/>
  </si>
  <si>
    <t>AGC Brightness Lvl 50</t>
    <phoneticPr fontId="1" type="noConversion"/>
  </si>
  <si>
    <t>0x2105</t>
    <phoneticPr fontId="1" type="noConversion"/>
  </si>
  <si>
    <t>AGC Contrast Lvl 0</t>
    <phoneticPr fontId="1" type="noConversion"/>
  </si>
  <si>
    <t>AGC Brightness Lvl 0</t>
    <phoneticPr fontId="1" type="noConversion"/>
  </si>
  <si>
    <t>AGC Frame 50</t>
    <phoneticPr fontId="1" type="noConversion"/>
  </si>
  <si>
    <t>000A</t>
    <phoneticPr fontId="1" type="noConversion"/>
  </si>
  <si>
    <t>Gamma Filter 3</t>
    <phoneticPr fontId="1" type="noConversion"/>
  </si>
  <si>
    <t>Rev.2024.09.26</t>
    <phoneticPr fontId="1" type="noConversion"/>
  </si>
  <si>
    <t>Parameter</t>
    <phoneticPr fontId="1" type="noConversion"/>
  </si>
  <si>
    <t>Value</t>
    <phoneticPr fontId="1" type="noConversion"/>
  </si>
  <si>
    <t>move</t>
    <phoneticPr fontId="1" type="noConversion"/>
  </si>
  <si>
    <t>focus</t>
    <phoneticPr fontId="1" type="noConversion"/>
  </si>
  <si>
    <t>BaseURL</t>
    <phoneticPr fontId="1" type="noConversion"/>
  </si>
  <si>
    <t>set</t>
    <phoneticPr fontId="1" type="noConversion"/>
  </si>
  <si>
    <t>stop</t>
    <phoneticPr fontId="1" type="noConversion"/>
  </si>
  <si>
    <t>pspd</t>
    <phoneticPr fontId="1" type="noConversion"/>
  </si>
  <si>
    <t>Pan Spd 1</t>
    <phoneticPr fontId="1" type="noConversion"/>
  </si>
  <si>
    <t>Pan Spd 63</t>
    <phoneticPr fontId="1" type="noConversion"/>
  </si>
  <si>
    <t>tspd</t>
    <phoneticPr fontId="1" type="noConversion"/>
  </si>
  <si>
    <t>Tilt Spd 1</t>
    <phoneticPr fontId="1" type="noConversion"/>
  </si>
  <si>
    <t>Tilt Spd 63</t>
    <phoneticPr fontId="1" type="noConversion"/>
  </si>
  <si>
    <t>zspd</t>
    <phoneticPr fontId="1" type="noConversion"/>
  </si>
  <si>
    <t>max 63</t>
    <phoneticPr fontId="1" type="noConversion"/>
  </si>
  <si>
    <t>max 8</t>
    <phoneticPr fontId="1" type="noConversion"/>
  </si>
  <si>
    <t>Zoom Spd 1</t>
    <phoneticPr fontId="1" type="noConversion"/>
  </si>
  <si>
    <t>Zoom Spd 8</t>
    <phoneticPr fontId="1" type="noConversion"/>
  </si>
  <si>
    <t>zoom</t>
    <phoneticPr fontId="1" type="noConversion"/>
  </si>
  <si>
    <t>Zoom Tele Step 1</t>
    <phoneticPr fontId="1" type="noConversion"/>
  </si>
  <si>
    <t>Zoom Wide Step 1</t>
    <phoneticPr fontId="1" type="noConversion"/>
  </si>
  <si>
    <t>near</t>
    <phoneticPr fontId="1" type="noConversion"/>
  </si>
  <si>
    <t>far</t>
    <phoneticPr fontId="1" type="noConversion"/>
  </si>
  <si>
    <t>Focus Near</t>
    <phoneticPr fontId="1" type="noConversion"/>
  </si>
  <si>
    <t>Focus Far</t>
    <phoneticPr fontId="1" type="noConversion"/>
  </si>
  <si>
    <t>Focus Far Step 1</t>
    <phoneticPr fontId="1" type="noConversion"/>
  </si>
  <si>
    <t>Focus Near Step 1</t>
    <phoneticPr fontId="1" type="noConversion"/>
  </si>
  <si>
    <t>PTZ Stop</t>
    <phoneticPr fontId="1" type="noConversion"/>
  </si>
  <si>
    <t>preset</t>
    <phoneticPr fontId="1" type="noConversion"/>
  </si>
  <si>
    <t>Preset 1</t>
    <phoneticPr fontId="1" type="noConversion"/>
  </si>
  <si>
    <t>Pre+71 Wiper Run</t>
    <phoneticPr fontId="1" type="noConversion"/>
  </si>
  <si>
    <t>Pre+77 Day</t>
    <phoneticPr fontId="1" type="noConversion"/>
  </si>
  <si>
    <t>Pre+76 Night</t>
    <phoneticPr fontId="1" type="noConversion"/>
  </si>
  <si>
    <t>Pre+87 Reverse</t>
    <phoneticPr fontId="1" type="noConversion"/>
  </si>
  <si>
    <t>Pre+88 Normal</t>
    <phoneticPr fontId="1" type="noConversion"/>
  </si>
  <si>
    <t>Preset 8</t>
    <phoneticPr fontId="1" type="noConversion"/>
  </si>
  <si>
    <t>Focus Auto</t>
    <phoneticPr fontId="1" type="noConversion"/>
  </si>
  <si>
    <t>Focus Manual</t>
    <phoneticPr fontId="1" type="noConversion"/>
  </si>
  <si>
    <t>group,app,flip</t>
    <phoneticPr fontId="1" type="noConversion"/>
  </si>
  <si>
    <t>basic,set,enable</t>
    <phoneticPr fontId="1" type="noConversion"/>
  </si>
  <si>
    <t>basic,set,1</t>
    <phoneticPr fontId="1" type="noConversion"/>
  </si>
  <si>
    <t>af,set,auto</t>
    <phoneticPr fontId="1" type="noConversion"/>
  </si>
  <si>
    <t>af,set,manual</t>
    <phoneticPr fontId="1" type="noConversion"/>
  </si>
  <si>
    <t>group,app,mirror</t>
    <phoneticPr fontId="1" type="noConversion"/>
  </si>
  <si>
    <t>/cgi-bin/ptz/control.php</t>
  </si>
  <si>
    <t>/setup/video/image.php</t>
  </si>
  <si>
    <t>NTSC</t>
    <phoneticPr fontId="1" type="noConversion"/>
  </si>
  <si>
    <t>app,video_mode</t>
    <phoneticPr fontId="1" type="noConversion"/>
  </si>
  <si>
    <t>set,NTSC</t>
    <phoneticPr fontId="1" type="noConversion"/>
  </si>
  <si>
    <t>PAL</t>
    <phoneticPr fontId="1" type="noConversion"/>
  </si>
  <si>
    <t>set,PAL</t>
    <phoneticPr fontId="1" type="noConversion"/>
  </si>
  <si>
    <t>/setup/video/source.php</t>
    <phoneticPr fontId="1" type="noConversion"/>
  </si>
  <si>
    <t>set,1920x1080_30fps</t>
    <phoneticPr fontId="1" type="noConversion"/>
  </si>
  <si>
    <t>set,1920x1080_60fps</t>
    <phoneticPr fontId="1" type="noConversion"/>
  </si>
  <si>
    <t>Source 1920x1080 30fps</t>
    <phoneticPr fontId="1" type="noConversion"/>
  </si>
  <si>
    <t>Source 1920x1080 60fps</t>
    <phoneticPr fontId="1" type="noConversion"/>
  </si>
  <si>
    <t>app,video_src</t>
    <phoneticPr fontId="1" type="noConversion"/>
  </si>
  <si>
    <t>/setup/video/stream.php</t>
    <phoneticPr fontId="1" type="noConversion"/>
  </si>
  <si>
    <t>set,H265MP</t>
    <phoneticPr fontId="1" type="noConversion"/>
  </si>
  <si>
    <t>H.265 Main Profile</t>
    <phoneticPr fontId="1" type="noConversion"/>
  </si>
  <si>
    <t>H.264 Main Profile</t>
    <phoneticPr fontId="1" type="noConversion"/>
  </si>
  <si>
    <t>set,H264MP</t>
    <phoneticPr fontId="1" type="noConversion"/>
  </si>
  <si>
    <t>app,video_enc#_codec</t>
    <phoneticPr fontId="1" type="noConversion"/>
  </si>
  <si>
    <t>MJPEG</t>
    <phoneticPr fontId="1" type="noConversion"/>
  </si>
  <si>
    <t>set,MJPEG</t>
    <phoneticPr fontId="1" type="noConversion"/>
  </si>
  <si>
    <t>app,video_enc#_fps</t>
    <phoneticPr fontId="1" type="noConversion"/>
  </si>
  <si>
    <t>set,1</t>
    <phoneticPr fontId="1" type="noConversion"/>
  </si>
  <si>
    <t>set,30</t>
    <phoneticPr fontId="1" type="noConversion"/>
  </si>
  <si>
    <t>set,60</t>
    <phoneticPr fontId="1" type="noConversion"/>
  </si>
  <si>
    <t>1 fps</t>
    <phoneticPr fontId="1" type="noConversion"/>
  </si>
  <si>
    <t>30 fps</t>
    <phoneticPr fontId="1" type="noConversion"/>
  </si>
  <si>
    <t>60 fps</t>
    <phoneticPr fontId="1" type="noConversion"/>
  </si>
  <si>
    <t>Focus PushAF</t>
    <phoneticPr fontId="1" type="noConversion"/>
  </si>
  <si>
    <t>af,set,pushaf</t>
    <phoneticPr fontId="1" type="noConversion"/>
  </si>
  <si>
    <t>group,app,focus_mode</t>
    <phoneticPr fontId="1" type="noConversion"/>
  </si>
  <si>
    <t>group,app,focus_speed</t>
    <phoneticPr fontId="1" type="noConversion"/>
  </si>
  <si>
    <t>af,set,1</t>
    <phoneticPr fontId="1" type="noConversion"/>
  </si>
  <si>
    <t>af,set,8</t>
    <phoneticPr fontId="1" type="noConversion"/>
  </si>
  <si>
    <t>focus spd 1</t>
    <phoneticPr fontId="1" type="noConversion"/>
  </si>
  <si>
    <t>focus spd 8</t>
    <phoneticPr fontId="1" type="noConversion"/>
  </si>
  <si>
    <t>group,app,dnn_mode</t>
    <phoneticPr fontId="1" type="noConversion"/>
  </si>
  <si>
    <t>dnn,set,auto</t>
    <phoneticPr fontId="1" type="noConversion"/>
  </si>
  <si>
    <t>D/N Auto</t>
    <phoneticPr fontId="1" type="noConversion"/>
  </si>
  <si>
    <t>D/N Day</t>
    <phoneticPr fontId="1" type="noConversion"/>
  </si>
  <si>
    <t>D/N Night</t>
    <phoneticPr fontId="1" type="noConversion"/>
  </si>
  <si>
    <t>D/N Ext</t>
    <phoneticPr fontId="1" type="noConversion"/>
  </si>
  <si>
    <t>dnn,set,day</t>
    <phoneticPr fontId="1" type="noConversion"/>
  </si>
  <si>
    <t>dnn,set,night</t>
    <phoneticPr fontId="1" type="noConversion"/>
  </si>
  <si>
    <t>dnn,set,ext</t>
    <phoneticPr fontId="1" type="noConversion"/>
  </si>
  <si>
    <t>WDR On</t>
    <phoneticPr fontId="1" type="noConversion"/>
  </si>
  <si>
    <t>WDR Off</t>
    <phoneticPr fontId="1" type="noConversion"/>
  </si>
  <si>
    <t>Defog On</t>
    <phoneticPr fontId="1" type="noConversion"/>
  </si>
  <si>
    <t>Defog Off</t>
    <phoneticPr fontId="1" type="noConversion"/>
  </si>
  <si>
    <t>group,app,wdr_mode</t>
    <phoneticPr fontId="1" type="noConversion"/>
  </si>
  <si>
    <t>wdr,set,on</t>
    <phoneticPr fontId="1" type="noConversion"/>
  </si>
  <si>
    <t>wdr,set,off</t>
    <phoneticPr fontId="1" type="noConversion"/>
  </si>
  <si>
    <t>group,app,defog_mode</t>
    <phoneticPr fontId="1" type="noConversion"/>
  </si>
  <si>
    <t>blc,set,off</t>
    <phoneticPr fontId="1" type="noConversion"/>
  </si>
  <si>
    <t>blc,set,on</t>
    <phoneticPr fontId="1" type="noConversion"/>
  </si>
  <si>
    <t>group,app,blc_mode</t>
    <phoneticPr fontId="1" type="noConversion"/>
  </si>
  <si>
    <t>BLC On</t>
    <phoneticPr fontId="1" type="noConversion"/>
  </si>
  <si>
    <t>BLC Off</t>
    <phoneticPr fontId="1" type="noConversion"/>
  </si>
  <si>
    <t>HLC On</t>
    <phoneticPr fontId="1" type="noConversion"/>
  </si>
  <si>
    <t>HLC Off</t>
    <phoneticPr fontId="1" type="noConversion"/>
  </si>
  <si>
    <t>group,app,hlc_mode</t>
    <phoneticPr fontId="1" type="noConversion"/>
  </si>
  <si>
    <t>/setup/video/digital_zoom.php</t>
    <phoneticPr fontId="1" type="noConversion"/>
  </si>
  <si>
    <t>set,0</t>
    <phoneticPr fontId="1" type="noConversion"/>
  </si>
  <si>
    <t>app,dz_enable</t>
    <phoneticPr fontId="1" type="noConversion"/>
  </si>
  <si>
    <t>D-Zoom Off</t>
    <phoneticPr fontId="1" type="noConversion"/>
  </si>
  <si>
    <t>D-Zoom On</t>
    <phoneticPr fontId="1" type="noConversion"/>
  </si>
  <si>
    <t>set,100</t>
    <phoneticPr fontId="1" type="noConversion"/>
  </si>
  <si>
    <t>set,200</t>
    <phoneticPr fontId="1" type="noConversion"/>
  </si>
  <si>
    <t>set,400</t>
    <phoneticPr fontId="1" type="noConversion"/>
  </si>
  <si>
    <t>set,800</t>
    <phoneticPr fontId="1" type="noConversion"/>
  </si>
  <si>
    <t>app,dz_level</t>
    <phoneticPr fontId="1" type="noConversion"/>
  </si>
  <si>
    <t>Restart</t>
    <phoneticPr fontId="1" type="noConversion"/>
  </si>
  <si>
    <t>/setup/system/restart.php</t>
    <phoneticPr fontId="1" type="noConversion"/>
  </si>
  <si>
    <t>app</t>
    <phoneticPr fontId="1" type="noConversion"/>
  </si>
  <si>
    <t>Reset</t>
    <phoneticPr fontId="1" type="noConversion"/>
  </si>
  <si>
    <t>Except IP</t>
    <phoneticPr fontId="1" type="noConversion"/>
  </si>
  <si>
    <t>Include IP</t>
    <phoneticPr fontId="1" type="noConversion"/>
  </si>
  <si>
    <t>/setup/system/reset.php</t>
    <phoneticPr fontId="1" type="noConversion"/>
  </si>
  <si>
    <t>/setup/system/default.php</t>
    <phoneticPr fontId="1" type="noConversion"/>
  </si>
  <si>
    <t>app,video_enc1_fps</t>
    <phoneticPr fontId="1" type="noConversion"/>
  </si>
  <si>
    <t>app,video_enc1_codec</t>
    <phoneticPr fontId="1" type="noConversion"/>
  </si>
  <si>
    <t>/cgi-bin/ptz/control.php</t>
    <phoneticPr fontId="1" type="noConversion"/>
  </si>
  <si>
    <t>pushaf</t>
    <phoneticPr fontId="1" type="noConversion"/>
  </si>
  <si>
    <t>app,restart</t>
    <phoneticPr fontId="1" type="noConversion"/>
  </si>
  <si>
    <t>app,reset</t>
    <phoneticPr fontId="1" type="noConversion"/>
  </si>
  <si>
    <t>app,default</t>
    <phoneticPr fontId="1" type="noConversion"/>
  </si>
  <si>
    <t>FOV Pos 1000</t>
    <phoneticPr fontId="1" type="noConversion"/>
  </si>
  <si>
    <t>E8</t>
    <phoneticPr fontId="1" type="noConversion"/>
  </si>
  <si>
    <t>Focus Position 10700</t>
    <phoneticPr fontId="1" type="noConversion"/>
  </si>
  <si>
    <t>CC</t>
    <phoneticPr fontId="1" type="noConversion"/>
  </si>
  <si>
    <t>Brightness 20</t>
    <phoneticPr fontId="1" type="noConversion"/>
  </si>
  <si>
    <t>Constrast 20</t>
    <phoneticPr fontId="1" type="noConversion"/>
  </si>
  <si>
    <t>Cali. Interval 30</t>
    <phoneticPr fontId="1" type="noConversion"/>
  </si>
  <si>
    <t>Address 1</t>
    <phoneticPr fontId="1" type="noConversion"/>
  </si>
  <si>
    <t>Address 200</t>
    <phoneticPr fontId="1" type="noConversion"/>
  </si>
  <si>
    <t>C8</t>
    <phoneticPr fontId="1" type="noConversion"/>
  </si>
  <si>
    <t>Protocol Auto</t>
    <phoneticPr fontId="1" type="noConversion"/>
  </si>
  <si>
    <t>Protocol Pelco-D</t>
    <phoneticPr fontId="1" type="noConversion"/>
  </si>
  <si>
    <t>Protocol Pelco-P</t>
    <phoneticPr fontId="1" type="noConversion"/>
  </si>
  <si>
    <t>AF Interval 30</t>
    <phoneticPr fontId="1" type="noConversion"/>
  </si>
  <si>
    <t>Infinity Calibration</t>
    <phoneticPr fontId="1" type="noConversion"/>
  </si>
  <si>
    <t>18</t>
    <phoneticPr fontId="1" type="noConversion"/>
  </si>
  <si>
    <t>ScreenShot</t>
  </si>
  <si>
    <t>0x2204</t>
    <phoneticPr fontId="1" type="noConversion"/>
  </si>
  <si>
    <t>Zoom Move_AF Disable</t>
    <phoneticPr fontId="1" type="noConversion"/>
  </si>
  <si>
    <t>Zoom Move_AF Enable</t>
    <phoneticPr fontId="1" type="noConversion"/>
  </si>
  <si>
    <t>Zoom Pos Min( 0 )</t>
    <phoneticPr fontId="1" type="noConversion"/>
  </si>
  <si>
    <t>Zoom Pos Max (10900)</t>
    <phoneticPr fontId="1" type="noConversion"/>
  </si>
  <si>
    <t>Focus Pos Min ( 0 )</t>
    <phoneticPr fontId="1" type="noConversion"/>
  </si>
  <si>
    <t>Focus Pos Max (10800)</t>
    <phoneticPr fontId="1" type="noConversion"/>
  </si>
  <si>
    <t>Wiper On</t>
    <phoneticPr fontId="1" type="noConversion"/>
  </si>
  <si>
    <t>Night_Preset</t>
    <phoneticPr fontId="1" type="noConversion"/>
  </si>
  <si>
    <t>Day_Preset</t>
    <phoneticPr fontId="1" type="noConversion"/>
  </si>
  <si>
    <t>Reverse On</t>
    <phoneticPr fontId="1" type="noConversion"/>
  </si>
  <si>
    <t>Reverse Off</t>
    <phoneticPr fontId="1" type="noConversion"/>
  </si>
  <si>
    <t>Stop</t>
    <phoneticPr fontId="1" type="noConversion"/>
  </si>
  <si>
    <t>08</t>
  </si>
  <si>
    <t>08</t>
    <phoneticPr fontId="1" type="noConversion"/>
  </si>
  <si>
    <t>04</t>
  </si>
  <si>
    <t>02</t>
  </si>
  <si>
    <t>B6(CHK)</t>
    <phoneticPr fontId="1" type="noConversion"/>
  </si>
  <si>
    <t>BF</t>
    <phoneticPr fontId="1" type="noConversion"/>
  </si>
  <si>
    <t>BA</t>
    <phoneticPr fontId="1" type="noConversion"/>
  </si>
  <si>
    <t>BB</t>
    <phoneticPr fontId="1" type="noConversion"/>
  </si>
  <si>
    <t>B0</t>
    <phoneticPr fontId="1" type="noConversion"/>
  </si>
  <si>
    <t>C0</t>
    <phoneticPr fontId="1" type="noConversion"/>
  </si>
  <si>
    <t>03</t>
  </si>
  <si>
    <t>05</t>
  </si>
  <si>
    <t>06</t>
  </si>
  <si>
    <t>07</t>
  </si>
  <si>
    <t>IR D-Zoom x2</t>
  </si>
  <si>
    <t>IR D-Zoom x3</t>
  </si>
  <si>
    <t>IR D-Zoom x4</t>
  </si>
  <si>
    <t>IR D-Zoom x5</t>
  </si>
  <si>
    <t>IR D-Zoom x6</t>
  </si>
  <si>
    <t>IR D-Zoom x7</t>
  </si>
  <si>
    <t>IR D-Zoom x8</t>
  </si>
  <si>
    <t>IR D-Zoom x1</t>
    <phoneticPr fontId="1" type="noConversion"/>
  </si>
  <si>
    <t>EO D-Zoom On</t>
    <phoneticPr fontId="1" type="noConversion"/>
  </si>
  <si>
    <t>EO D-Zoom Off</t>
    <phoneticPr fontId="1" type="noConversion"/>
  </si>
  <si>
    <t>FF00000800FF07</t>
  </si>
  <si>
    <t>FF00001000FF0F</t>
  </si>
  <si>
    <t>FF000004FF0003</t>
  </si>
  <si>
    <t>FF000002FF0001</t>
  </si>
  <si>
    <t>FF000000000000</t>
  </si>
  <si>
    <t>FF00BA000010CA</t>
  </si>
  <si>
    <t>FF00BA000020DA</t>
  </si>
  <si>
    <t>FF00BA000000BA</t>
  </si>
  <si>
    <t>FF00BF000000BF</t>
  </si>
  <si>
    <t>FF00BB000010CB</t>
  </si>
  <si>
    <t>FF00BB000020DB</t>
  </si>
  <si>
    <t>FF00BB000000BB</t>
  </si>
  <si>
    <t>FF00B0000001B1</t>
  </si>
  <si>
    <t>FF00B0000000B0</t>
  </si>
  <si>
    <t>FF00C0000001C1</t>
  </si>
  <si>
    <t>FF00C0000002C2</t>
  </si>
  <si>
    <t>FF00C0000003C3</t>
  </si>
  <si>
    <t>FF00C0000004C4</t>
  </si>
  <si>
    <t>FF00C0000005C5</t>
  </si>
  <si>
    <t>FF00C0000006C6</t>
  </si>
  <si>
    <t>FF00C0000007C7</t>
  </si>
  <si>
    <t>FF00C0000008C8</t>
  </si>
  <si>
    <t>Follow On</t>
    <phoneticPr fontId="1" type="noConversion"/>
  </si>
  <si>
    <t>Normal On</t>
    <phoneticPr fontId="1" type="noConversion"/>
  </si>
  <si>
    <t>F1</t>
    <phoneticPr fontId="1" type="noConversion"/>
  </si>
  <si>
    <t>FB</t>
    <phoneticPr fontId="1" type="noConversion"/>
  </si>
  <si>
    <t>Foll. Dead Band 0</t>
    <phoneticPr fontId="1" type="noConversion"/>
  </si>
  <si>
    <t>Foll. Dead Band 50</t>
    <phoneticPr fontId="1" type="noConversion"/>
  </si>
  <si>
    <t>Foll. Dead Band 255</t>
    <phoneticPr fontId="1" type="noConversion"/>
  </si>
  <si>
    <t>Foll. Spd 1</t>
    <phoneticPr fontId="1" type="noConversion"/>
  </si>
  <si>
    <t>Foll. Spd 20</t>
    <phoneticPr fontId="1" type="noConversion"/>
  </si>
  <si>
    <t>Foll. Spd 60</t>
    <phoneticPr fontId="1" type="noConversion"/>
  </si>
  <si>
    <t>FC</t>
    <phoneticPr fontId="1" type="noConversion"/>
  </si>
  <si>
    <t>01</t>
    <phoneticPr fontId="1" type="noConversion"/>
  </si>
  <si>
    <t>3C</t>
    <phoneticPr fontId="1" type="noConversion"/>
  </si>
  <si>
    <t xml:space="preserve">Exponential Cur. 100 </t>
    <phoneticPr fontId="1" type="noConversion"/>
  </si>
  <si>
    <t>Exponential Cur. 0</t>
    <phoneticPr fontId="1" type="noConversion"/>
  </si>
  <si>
    <t>Exponential Cur. 50</t>
    <phoneticPr fontId="1" type="noConversion"/>
  </si>
  <si>
    <t>FD</t>
    <phoneticPr fontId="1" type="noConversion"/>
  </si>
  <si>
    <t>32</t>
    <phoneticPr fontId="1" type="noConversion"/>
  </si>
  <si>
    <t>Foll. Range 0</t>
    <phoneticPr fontId="1" type="noConversion"/>
  </si>
  <si>
    <t>Foll. Range 60</t>
    <phoneticPr fontId="1" type="noConversion"/>
  </si>
  <si>
    <t>Foll. Range 150</t>
    <phoneticPr fontId="1" type="noConversion"/>
  </si>
  <si>
    <t>FE</t>
    <phoneticPr fontId="1" type="noConversion"/>
  </si>
  <si>
    <t>96</t>
    <phoneticPr fontId="1" type="noConversion"/>
  </si>
  <si>
    <t>Foll. Axis Yaw Only</t>
    <phoneticPr fontId="1" type="noConversion"/>
  </si>
  <si>
    <t>Foll. Axis Yaw+Pitch</t>
    <phoneticPr fontId="1" type="noConversion"/>
  </si>
  <si>
    <t>F6</t>
    <phoneticPr fontId="1" type="noConversion"/>
  </si>
  <si>
    <t>F5</t>
    <phoneticPr fontId="1" type="noConversion"/>
  </si>
  <si>
    <t>2C</t>
    <phoneticPr fontId="1" type="noConversion"/>
  </si>
  <si>
    <t>Driff Offset 0</t>
    <phoneticPr fontId="1" type="noConversion"/>
  </si>
  <si>
    <t>Driff Offset 150</t>
    <phoneticPr fontId="1" type="noConversion"/>
  </si>
  <si>
    <t>Driff Offset 300</t>
    <phoneticPr fontId="1" type="noConversion"/>
  </si>
  <si>
    <t>WDR On</t>
    <phoneticPr fontId="1" type="noConversion"/>
  </si>
  <si>
    <t>BLC On</t>
    <phoneticPr fontId="1" type="noConversion"/>
  </si>
  <si>
    <t>BLC Off</t>
    <phoneticPr fontId="1" type="noConversion"/>
  </si>
  <si>
    <t>B3</t>
    <phoneticPr fontId="1" type="noConversion"/>
  </si>
  <si>
    <t>DIS On</t>
    <phoneticPr fontId="1" type="noConversion"/>
  </si>
  <si>
    <t>DIS Off</t>
    <phoneticPr fontId="1" type="noConversion"/>
  </si>
  <si>
    <t>DN Day</t>
    <phoneticPr fontId="1" type="noConversion"/>
  </si>
  <si>
    <t>DN Night</t>
    <phoneticPr fontId="1" type="noConversion"/>
  </si>
  <si>
    <t>DN Auto</t>
    <phoneticPr fontId="1" type="noConversion"/>
  </si>
  <si>
    <t>Brighteness 0</t>
    <phoneticPr fontId="1" type="noConversion"/>
  </si>
  <si>
    <t>Brighteness 5</t>
    <phoneticPr fontId="1" type="noConversion"/>
  </si>
  <si>
    <t>Brighteness 10</t>
    <phoneticPr fontId="1" type="noConversion"/>
  </si>
  <si>
    <t>B5</t>
    <phoneticPr fontId="1" type="noConversion"/>
  </si>
  <si>
    <t>Sharpness 0</t>
    <phoneticPr fontId="1" type="noConversion"/>
  </si>
  <si>
    <t>Sharpness 5</t>
    <phoneticPr fontId="1" type="noConversion"/>
  </si>
  <si>
    <t>Sharpness 10</t>
    <phoneticPr fontId="1" type="noConversion"/>
  </si>
  <si>
    <t>B7</t>
    <phoneticPr fontId="1" type="noConversion"/>
  </si>
  <si>
    <t>Defog On</t>
    <phoneticPr fontId="1" type="noConversion"/>
  </si>
  <si>
    <t>Defog Off</t>
    <phoneticPr fontId="1" type="noConversion"/>
  </si>
  <si>
    <t>B8</t>
    <phoneticPr fontId="1" type="noConversion"/>
  </si>
  <si>
    <t>White</t>
    <phoneticPr fontId="1" type="noConversion"/>
  </si>
  <si>
    <t>Black</t>
    <phoneticPr fontId="1" type="noConversion"/>
  </si>
  <si>
    <t>Rainbow</t>
    <phoneticPr fontId="1" type="noConversion"/>
  </si>
  <si>
    <t>Rainbow HC</t>
    <phoneticPr fontId="1" type="noConversion"/>
  </si>
  <si>
    <t>Iron</t>
    <phoneticPr fontId="1" type="noConversion"/>
  </si>
  <si>
    <t>Lava</t>
    <phoneticPr fontId="1" type="noConversion"/>
  </si>
  <si>
    <t>Sky</t>
    <phoneticPr fontId="1" type="noConversion"/>
  </si>
  <si>
    <t>Medium Gray</t>
    <phoneticPr fontId="1" type="noConversion"/>
  </si>
  <si>
    <t>Gray-Red</t>
    <phoneticPr fontId="1" type="noConversion"/>
  </si>
  <si>
    <t>Purple Orange</t>
    <phoneticPr fontId="1" type="noConversion"/>
  </si>
  <si>
    <t>C1</t>
    <phoneticPr fontId="1" type="noConversion"/>
  </si>
  <si>
    <t>09</t>
  </si>
  <si>
    <t>AGC Auto 1</t>
    <phoneticPr fontId="1" type="noConversion"/>
  </si>
  <si>
    <t>AGC Auto 2</t>
    <phoneticPr fontId="1" type="noConversion"/>
  </si>
  <si>
    <t>C2</t>
    <phoneticPr fontId="1" type="noConversion"/>
  </si>
  <si>
    <t>DDE On</t>
    <phoneticPr fontId="1" type="noConversion"/>
  </si>
  <si>
    <t>C3</t>
    <phoneticPr fontId="1" type="noConversion"/>
  </si>
  <si>
    <t>Calibration Exe</t>
    <phoneticPr fontId="1" type="noConversion"/>
  </si>
  <si>
    <t>C4</t>
    <phoneticPr fontId="1" type="noConversion"/>
  </si>
  <si>
    <t>DDE Off</t>
    <phoneticPr fontId="1" type="noConversion"/>
  </si>
  <si>
    <t>WDR Off</t>
    <phoneticPr fontId="1" type="noConversion"/>
  </si>
  <si>
    <t>Speed</t>
    <phoneticPr fontId="1" type="noConversion"/>
  </si>
  <si>
    <t>54</t>
    <phoneticPr fontId="1" type="noConversion"/>
  </si>
  <si>
    <t>Diagonal Speed</t>
    <phoneticPr fontId="1" type="noConversion"/>
  </si>
  <si>
    <t>7F</t>
    <phoneticPr fontId="1" type="noConversion"/>
  </si>
  <si>
    <t>3F</t>
    <phoneticPr fontId="1" type="noConversion"/>
  </si>
  <si>
    <t>Up_Left</t>
    <phoneticPr fontId="1" type="noConversion"/>
  </si>
  <si>
    <t>UP_Right</t>
    <phoneticPr fontId="1" type="noConversion"/>
  </si>
  <si>
    <t>Down_Left</t>
    <phoneticPr fontId="1" type="noConversion"/>
  </si>
  <si>
    <t>Down_Right</t>
    <phoneticPr fontId="1" type="noConversion"/>
  </si>
  <si>
    <t>0C</t>
    <phoneticPr fontId="1" type="noConversion"/>
  </si>
  <si>
    <t>FF000012BF5425</t>
  </si>
  <si>
    <t>FF0000127F3FD0</t>
  </si>
  <si>
    <t>FF00000C7F3FCA</t>
    <phoneticPr fontId="1" type="noConversion"/>
  </si>
  <si>
    <t>FF00000A7F3FC8</t>
    <phoneticPr fontId="1" type="noConversion"/>
  </si>
  <si>
    <t>FF0000147F3FD2</t>
    <phoneticPr fontId="1" type="noConversion"/>
  </si>
  <si>
    <t>FF0000127F3FD0</t>
    <phoneticPr fontId="1" type="noConversion"/>
  </si>
  <si>
    <t>FF00F1000001F2</t>
  </si>
  <si>
    <t>FF00F1000000F1</t>
  </si>
  <si>
    <t>FF00FB000000FB</t>
  </si>
  <si>
    <t>FF00FB0000504B</t>
  </si>
  <si>
    <t>FF00FB0000FFFA</t>
  </si>
  <si>
    <t>FF00FC000001FD</t>
  </si>
  <si>
    <t>FF00FC00001410</t>
  </si>
  <si>
    <t>FF00FC00003C38</t>
  </si>
  <si>
    <t>FF00FD000000FD</t>
  </si>
  <si>
    <t>FF00FD0000322F</t>
  </si>
  <si>
    <t>FF00FD00006461</t>
  </si>
  <si>
    <t>FF00FE000000FE</t>
  </si>
  <si>
    <t>FF00FE00003C3A</t>
  </si>
  <si>
    <t>FF00FE00009694</t>
  </si>
  <si>
    <t>FF00F6000001F7</t>
  </si>
  <si>
    <t>FF00F6000002F8</t>
  </si>
  <si>
    <t>FF00F5000000F5</t>
  </si>
  <si>
    <t>FF00F50000968B</t>
  </si>
  <si>
    <t>FF00F500012C22</t>
  </si>
  <si>
    <t>FF00B1000001B2</t>
  </si>
  <si>
    <t>FF00B1000000B1</t>
  </si>
  <si>
    <t>FF00B2000001B3</t>
  </si>
  <si>
    <t>FF00B2000000B2</t>
  </si>
  <si>
    <t>FF00B3000001B4</t>
  </si>
  <si>
    <t>FF00B3000000B3</t>
  </si>
  <si>
    <t>FF00B4000000B4</t>
  </si>
  <si>
    <t>FF00B4000001B5</t>
  </si>
  <si>
    <t>FF00B4000002B6</t>
  </si>
  <si>
    <t>FF00B5000000B5</t>
  </si>
  <si>
    <t>FF00B5000005BA</t>
  </si>
  <si>
    <t>FF00B500000ABF</t>
  </si>
  <si>
    <t>FF00B7000000B7</t>
  </si>
  <si>
    <t>FF00B7000005BC</t>
  </si>
  <si>
    <t>FF00B700000AC1</t>
  </si>
  <si>
    <t>FF00B8000001B9</t>
  </si>
  <si>
    <t>FF00B8000000B8</t>
  </si>
  <si>
    <t>FF00C1000000C1</t>
  </si>
  <si>
    <t>FF00C1000001C2</t>
  </si>
  <si>
    <t>FF00C1000002C3</t>
  </si>
  <si>
    <t>FF00C1000003C4</t>
  </si>
  <si>
    <t>FF00C1000004C5</t>
  </si>
  <si>
    <t>FF00C1000005C6</t>
  </si>
  <si>
    <t>FF00C1000006C7</t>
  </si>
  <si>
    <t>FF00C1000007C8</t>
  </si>
  <si>
    <t>FF00C1000008C9</t>
  </si>
  <si>
    <t>FF00C1000009CA</t>
  </si>
  <si>
    <t>FF00C2000001C3</t>
  </si>
  <si>
    <t>FF00C3000001C4</t>
  </si>
  <si>
    <t>FF00C3000000C3</t>
  </si>
  <si>
    <t>FF00C4000000C4</t>
  </si>
  <si>
    <t>FF00C2000000C2</t>
    <phoneticPr fontId="1" type="noConversion"/>
  </si>
  <si>
    <t>Move Home</t>
    <phoneticPr fontId="1" type="noConversion"/>
  </si>
  <si>
    <t>Move Init Home</t>
    <phoneticPr fontId="1" type="noConversion"/>
  </si>
  <si>
    <t>FA</t>
    <phoneticPr fontId="1" type="noConversion"/>
  </si>
  <si>
    <t>FF00FA000000FA</t>
  </si>
  <si>
    <t>FF00FA000001FB</t>
  </si>
  <si>
    <t>2</t>
    <phoneticPr fontId="1" type="noConversion"/>
  </si>
  <si>
    <t>Reply Int. 20ms</t>
    <phoneticPr fontId="1" type="noConversion"/>
  </si>
  <si>
    <t>Reply Int. 1s</t>
    <phoneticPr fontId="1" type="noConversion"/>
  </si>
  <si>
    <t>Reply Int. 2s</t>
    <phoneticPr fontId="1" type="noConversion"/>
  </si>
  <si>
    <t>FF00E000012E3</t>
  </si>
  <si>
    <t>FF00E000016445</t>
  </si>
  <si>
    <t>FF00E00001C8A9</t>
  </si>
  <si>
    <t>Infinity Focus Off</t>
    <phoneticPr fontId="1" type="noConversion"/>
  </si>
  <si>
    <t>Infinity Focus On</t>
    <phoneticPr fontId="1" type="noConversion"/>
  </si>
  <si>
    <t>19</t>
    <phoneticPr fontId="1" type="noConversion"/>
  </si>
  <si>
    <t>Recover Origin On</t>
    <phoneticPr fontId="1" type="noConversion"/>
  </si>
  <si>
    <t>Recover Origin Off</t>
    <phoneticPr fontId="1" type="noConversion"/>
  </si>
  <si>
    <t>wiper 3회</t>
    <phoneticPr fontId="1" type="noConversion"/>
  </si>
  <si>
    <t>D/N Toggle</t>
    <phoneticPr fontId="1" type="noConversion"/>
  </si>
  <si>
    <t>PAN to 0 Dig, TILT to 0 Dig MOVE</t>
    <phoneticPr fontId="1" type="noConversion"/>
  </si>
  <si>
    <t>Reset Current PAN Position to 0 Dig</t>
    <phoneticPr fontId="1" type="noConversion"/>
  </si>
  <si>
    <t>PAN Position to 0 Dig to Factory Default</t>
    <phoneticPr fontId="1" type="noConversion"/>
  </si>
  <si>
    <t>Cur Pan Pos to 0</t>
    <phoneticPr fontId="1" type="noConversion"/>
  </si>
  <si>
    <t>Pan Tilt Move to 0</t>
    <phoneticPr fontId="1" type="noConversion"/>
  </si>
  <si>
    <t>Pan Pos to 0 F/D</t>
    <phoneticPr fontId="1" type="noConversion"/>
  </si>
  <si>
    <t>move HOME-Position - PAN/TILT Only(ZOOM Not Saved)</t>
    <phoneticPr fontId="1" type="noConversion"/>
  </si>
  <si>
    <t>000F</t>
    <phoneticPr fontId="1" type="noConversion"/>
  </si>
  <si>
    <t>000D</t>
    <phoneticPr fontId="1" type="noConversion"/>
  </si>
  <si>
    <t>000B</t>
    <phoneticPr fontId="1" type="noConversion"/>
  </si>
  <si>
    <t>0200</t>
    <phoneticPr fontId="1" type="noConversion"/>
  </si>
  <si>
    <t>Mask 1 On</t>
    <phoneticPr fontId="1" type="noConversion"/>
  </si>
  <si>
    <t>Mask 2 Off</t>
    <phoneticPr fontId="1" type="noConversion"/>
  </si>
  <si>
    <t>Capture</t>
    <phoneticPr fontId="1" type="noConversion"/>
  </si>
  <si>
    <t>Capture NYX</t>
    <phoneticPr fontId="1" type="noConversion"/>
  </si>
  <si>
    <t>zoom dir=13000</t>
    <phoneticPr fontId="1" type="noConversion"/>
  </si>
  <si>
    <t>NYX.SET#lens_zdir=13000</t>
    <phoneticPr fontId="1" type="noConversion"/>
  </si>
  <si>
    <t xml:space="preserve"> focus dir 17000</t>
    <phoneticPr fontId="1" type="noConversion"/>
  </si>
  <si>
    <t>NYX.SET#lens_fdir=17000</t>
    <phoneticPr fontId="1" type="noConversion"/>
  </si>
  <si>
    <t xml:space="preserve"> focus dir -17000</t>
    <phoneticPr fontId="1" type="noConversion"/>
  </si>
  <si>
    <t xml:space="preserve"> focus dir 32759</t>
    <phoneticPr fontId="1" type="noConversion"/>
  </si>
  <si>
    <t>NYX.SET#lens_fdir=32759</t>
    <phoneticPr fontId="1" type="noConversion"/>
  </si>
  <si>
    <t xml:space="preserve"> focus dir -32759</t>
    <phoneticPr fontId="1" type="noConversion"/>
  </si>
  <si>
    <t>NYX.SET#lens_fdir=-32759</t>
    <phoneticPr fontId="1" type="noConversion"/>
  </si>
  <si>
    <t xml:space="preserve"> focus dir 15000</t>
    <phoneticPr fontId="1" type="noConversion"/>
  </si>
  <si>
    <t>NYX.SET#lens_fdir=15000</t>
    <phoneticPr fontId="1" type="noConversion"/>
  </si>
  <si>
    <t xml:space="preserve"> focus dir 0</t>
    <phoneticPr fontId="1" type="noConversion"/>
  </si>
  <si>
    <t>NYX.SET#lens_fdir=0</t>
    <phoneticPr fontId="1" type="noConversion"/>
  </si>
  <si>
    <t>Left Up</t>
    <phoneticPr fontId="1" type="noConversion"/>
  </si>
  <si>
    <t>Right Up</t>
    <phoneticPr fontId="1" type="noConversion"/>
  </si>
  <si>
    <t>Left Down</t>
    <phoneticPr fontId="1" type="noConversion"/>
  </si>
  <si>
    <t>Right Down</t>
    <phoneticPr fontId="1" type="noConversion"/>
  </si>
  <si>
    <t>40</t>
    <phoneticPr fontId="1" type="noConversion"/>
  </si>
  <si>
    <t>EO Zoom In</t>
    <phoneticPr fontId="1" type="noConversion"/>
  </si>
  <si>
    <t>EO Zoom Out</t>
    <phoneticPr fontId="1" type="noConversion"/>
  </si>
  <si>
    <t>EO Far</t>
    <phoneticPr fontId="1" type="noConversion"/>
  </si>
  <si>
    <t>EO Near</t>
    <phoneticPr fontId="1" type="noConversion"/>
  </si>
  <si>
    <t>EO Zoom SPD 4</t>
    <phoneticPr fontId="1" type="noConversion"/>
  </si>
  <si>
    <t>EO Focus SPD 4</t>
    <phoneticPr fontId="1" type="noConversion"/>
  </si>
  <si>
    <t>Pan Pos 0</t>
    <phoneticPr fontId="1" type="noConversion"/>
  </si>
  <si>
    <t>4B</t>
    <phoneticPr fontId="1" type="noConversion"/>
  </si>
  <si>
    <t>Pan Query</t>
    <phoneticPr fontId="1" type="noConversion"/>
  </si>
  <si>
    <t>Tilt Pos 0</t>
    <phoneticPr fontId="1" type="noConversion"/>
  </si>
  <si>
    <t>4D</t>
    <phoneticPr fontId="1" type="noConversion"/>
  </si>
  <si>
    <t>Tilt Query</t>
    <phoneticPr fontId="1" type="noConversion"/>
  </si>
  <si>
    <t>Preset Set 01</t>
    <phoneticPr fontId="1" type="noConversion"/>
  </si>
  <si>
    <t>Preset Set 255</t>
    <phoneticPr fontId="1" type="noConversion"/>
  </si>
  <si>
    <t>Preset Clear 0</t>
    <phoneticPr fontId="1" type="noConversion"/>
  </si>
  <si>
    <t>Preset Clear 255</t>
    <phoneticPr fontId="1" type="noConversion"/>
  </si>
  <si>
    <t>09</t>
    <phoneticPr fontId="1" type="noConversion"/>
  </si>
  <si>
    <t>Preset Call 01</t>
    <phoneticPr fontId="1" type="noConversion"/>
  </si>
  <si>
    <t>Preset Call 255</t>
    <phoneticPr fontId="1" type="noConversion"/>
  </si>
  <si>
    <t>Set Zero</t>
    <phoneticPr fontId="1" type="noConversion"/>
  </si>
  <si>
    <t>49</t>
    <phoneticPr fontId="1" type="noConversion"/>
  </si>
  <si>
    <t>Clear Zero</t>
    <phoneticPr fontId="1" type="noConversion"/>
  </si>
  <si>
    <t>47</t>
    <phoneticPr fontId="1" type="noConversion"/>
  </si>
  <si>
    <t>Focus Pos 0</t>
  </si>
  <si>
    <t>F.Pos 4096(0x1000)</t>
  </si>
  <si>
    <t>Z.Pos 16384(0x4000)</t>
  </si>
  <si>
    <t>F.Pos 32768(0x8000)</t>
  </si>
  <si>
    <t>AllStop PT Drv</t>
  </si>
  <si>
    <t>AllStop PT Drv</t>
    <phoneticPr fontId="1" type="noConversion"/>
  </si>
  <si>
    <t>AllStop EO</t>
  </si>
  <si>
    <t>AllStop EO</t>
    <phoneticPr fontId="1" type="noConversion"/>
  </si>
  <si>
    <t>FF010008404089</t>
  </si>
  <si>
    <t>FF010010404091</t>
  </si>
  <si>
    <t>FF010004404085</t>
  </si>
  <si>
    <t>FF010002404083</t>
  </si>
  <si>
    <t>FF01000C40408D</t>
  </si>
  <si>
    <t>FF01000A40408B</t>
  </si>
  <si>
    <t>FF010014404095</t>
  </si>
  <si>
    <t>FF010012404093</t>
  </si>
  <si>
    <t>FF020000000002</t>
  </si>
  <si>
    <t>FF020020000022</t>
  </si>
  <si>
    <t>FF020040000042</t>
  </si>
  <si>
    <t>FF020080000082</t>
  </si>
  <si>
    <t>FF020100000003</t>
  </si>
  <si>
    <t>FF02002500042B</t>
  </si>
  <si>
    <t>FF02002700042D</t>
  </si>
  <si>
    <t>FF02004F000051</t>
  </si>
  <si>
    <t>FF02004F400091</t>
  </si>
  <si>
    <t>FF02004FFFFF4F</t>
  </si>
  <si>
    <t>FF020055000057</t>
  </si>
  <si>
    <t>FF02014F000052</t>
  </si>
  <si>
    <t>FF02014F100062</t>
  </si>
  <si>
    <t>FF02014F8000D2</t>
  </si>
  <si>
    <t>FF02014FFFFF50</t>
  </si>
  <si>
    <t>FF020155000058</t>
  </si>
  <si>
    <t>FF02002B00002D</t>
  </si>
  <si>
    <t>FF02002B00012E</t>
  </si>
  <si>
    <t>FF02000F000011</t>
  </si>
  <si>
    <t>FF02002900002B</t>
  </si>
  <si>
    <t>FF01004B00004C</t>
  </si>
  <si>
    <t>FF01004BFFFF4A</t>
  </si>
  <si>
    <t>FF010051000052</t>
  </si>
  <si>
    <t>FF01004D00004E</t>
  </si>
  <si>
    <t>FF01004DFFFF4C</t>
  </si>
  <si>
    <t>FF010053000054</t>
  </si>
  <si>
    <t>FF010005000107</t>
  </si>
  <si>
    <t>FF01000500FF05</t>
  </si>
  <si>
    <t>FF010700000109</t>
  </si>
  <si>
    <t>FF01070000FF07</t>
  </si>
  <si>
    <t>FF01090000010B</t>
  </si>
  <si>
    <t>FF01090000FF09</t>
  </si>
  <si>
    <t>FF01004900004A</t>
  </si>
  <si>
    <t>FF010047000048</t>
  </si>
  <si>
    <t>FF030000000003</t>
  </si>
  <si>
    <t>Up</t>
  </si>
  <si>
    <t>Down</t>
  </si>
  <si>
    <t>Left</t>
  </si>
  <si>
    <t>Right</t>
  </si>
  <si>
    <t>Left Up</t>
  </si>
  <si>
    <t>Right Up</t>
  </si>
  <si>
    <t>Left Down</t>
  </si>
  <si>
    <t>Right Down</t>
  </si>
  <si>
    <t>EO Zoom In</t>
  </si>
  <si>
    <t>EO Zoom Out</t>
  </si>
  <si>
    <t>EO Far</t>
  </si>
  <si>
    <t>EO Near</t>
  </si>
  <si>
    <t>EO Zoom SPD 4</t>
  </si>
  <si>
    <t>EO Focus SPD 4</t>
  </si>
  <si>
    <t>Zoom Pos 0</t>
  </si>
  <si>
    <t>Zoom Pos 65535</t>
  </si>
  <si>
    <t>Zoom Query</t>
  </si>
  <si>
    <t>Focus Pos 65535</t>
  </si>
  <si>
    <t>Focus Query</t>
  </si>
  <si>
    <t>AF On</t>
  </si>
  <si>
    <t>AF Off</t>
  </si>
  <si>
    <t>Reboot EO</t>
  </si>
  <si>
    <t>Reset Default</t>
  </si>
  <si>
    <t>Pan Pos 0</t>
  </si>
  <si>
    <t>Pan Pos 65535</t>
  </si>
  <si>
    <t>Pan Query</t>
  </si>
  <si>
    <t>Tilt Pos 0</t>
  </si>
  <si>
    <t>Tilt Pos 65535</t>
  </si>
  <si>
    <t>Tilt Query</t>
  </si>
  <si>
    <t>Preset Set 01</t>
  </si>
  <si>
    <t>Preset Set 255</t>
  </si>
  <si>
    <t>Preset Clear 0</t>
  </si>
  <si>
    <t>Preset Clear 255</t>
  </si>
  <si>
    <t>Preset Call 01</t>
  </si>
  <si>
    <t>Preset Call 255</t>
  </si>
  <si>
    <t>Set Zero</t>
  </si>
  <si>
    <t>Clear Zero</t>
  </si>
  <si>
    <t>EO</t>
  </si>
  <si>
    <t>EO</t>
    <phoneticPr fontId="1" type="noConversion"/>
  </si>
  <si>
    <t>CMD List</t>
  </si>
  <si>
    <t>CMD List</t>
    <phoneticPr fontId="1" type="noConversion"/>
  </si>
  <si>
    <t>EO Zoom Pos 0</t>
  </si>
  <si>
    <t>EO Zoom Pos 0</t>
    <phoneticPr fontId="1" type="noConversion"/>
  </si>
  <si>
    <t>EO Z.Pos 16384(0x4000)</t>
  </si>
  <si>
    <t>EO Z.Pos 16384(0x4000)</t>
    <phoneticPr fontId="1" type="noConversion"/>
  </si>
  <si>
    <t>EO Zoom Pos 65535</t>
  </si>
  <si>
    <t>EO Zoom Pos 65535</t>
    <phoneticPr fontId="1" type="noConversion"/>
  </si>
  <si>
    <t>EO Zoom Query</t>
  </si>
  <si>
    <t>EO Zoom Query</t>
    <phoneticPr fontId="1" type="noConversion"/>
  </si>
  <si>
    <t>EO Focus Pos 0</t>
  </si>
  <si>
    <t>EO Focus Pos 0</t>
    <phoneticPr fontId="1" type="noConversion"/>
  </si>
  <si>
    <t>EO F.Pos 4096(0x1000)</t>
  </si>
  <si>
    <t>EO F.Pos 4096(0x1000)</t>
    <phoneticPr fontId="1" type="noConversion"/>
  </si>
  <si>
    <t>EO F.Pos 32768(0x8000)</t>
  </si>
  <si>
    <t>EO F.Pos 32768(0x8000)</t>
    <phoneticPr fontId="1" type="noConversion"/>
  </si>
  <si>
    <t>EO Focus Pos 65535</t>
  </si>
  <si>
    <t>EO Focus Pos 65535</t>
    <phoneticPr fontId="1" type="noConversion"/>
  </si>
  <si>
    <t>EO Focus Query</t>
  </si>
  <si>
    <t>EO Focus Query</t>
    <phoneticPr fontId="1" type="noConversion"/>
  </si>
  <si>
    <t>EO AF On</t>
  </si>
  <si>
    <t>EO AF On</t>
    <phoneticPr fontId="1" type="noConversion"/>
  </si>
  <si>
    <t>EO AF Off</t>
  </si>
  <si>
    <t>EO AF Off</t>
    <phoneticPr fontId="1" type="noConversion"/>
  </si>
  <si>
    <t>EO Reboot</t>
  </si>
  <si>
    <t>EO Reboot</t>
    <phoneticPr fontId="1" type="noConversion"/>
  </si>
  <si>
    <t>EO Reset Default</t>
  </si>
  <si>
    <t>EO Reset Default</t>
    <phoneticPr fontId="1" type="noConversion"/>
  </si>
  <si>
    <t>IR</t>
  </si>
  <si>
    <t>IR</t>
    <phoneticPr fontId="1" type="noConversion"/>
  </si>
  <si>
    <t>EO All Stop</t>
  </si>
  <si>
    <t>EO All Stop</t>
    <phoneticPr fontId="1" type="noConversion"/>
  </si>
  <si>
    <t>IR Zoom In</t>
  </si>
  <si>
    <t>IR Zoom Out</t>
  </si>
  <si>
    <t>IR Far</t>
  </si>
  <si>
    <t>IR Near</t>
  </si>
  <si>
    <t>IR Zoom SPD 4</t>
  </si>
  <si>
    <t>IR Focus SPD 4</t>
  </si>
  <si>
    <t>IR Zoom Pos 0</t>
  </si>
  <si>
    <t>IR Z.Pos 16384(0x4000)</t>
  </si>
  <si>
    <t>IR Zoom Pos 65535</t>
  </si>
  <si>
    <t>IR Zoom Query</t>
  </si>
  <si>
    <t>IR Focus Pos 0</t>
  </si>
  <si>
    <t>IR F.Pos 4096(0x1000)</t>
  </si>
  <si>
    <t>IR F.Pos 32768(0x8000)</t>
  </si>
  <si>
    <t>IR Focus Pos 65535</t>
  </si>
  <si>
    <t>IR Focus Query</t>
  </si>
  <si>
    <t>IR AF On</t>
  </si>
  <si>
    <t>IR AF Off</t>
  </si>
  <si>
    <t>IR Reboot</t>
  </si>
  <si>
    <t>IR Reset Default</t>
  </si>
  <si>
    <t>IR All Stop</t>
  </si>
  <si>
    <t>IR All Stop</t>
    <phoneticPr fontId="1" type="noConversion"/>
  </si>
  <si>
    <t>FF030040000043</t>
  </si>
  <si>
    <t>FF030080000083</t>
  </si>
  <si>
    <t>FF030100000004</t>
  </si>
  <si>
    <t>FF03002500042C</t>
  </si>
  <si>
    <t>FF03002700042E</t>
  </si>
  <si>
    <t>FF03004F000052</t>
  </si>
  <si>
    <t>FF03004F400092</t>
  </si>
  <si>
    <t>FF03004FFFFF50</t>
  </si>
  <si>
    <t>FF030055000058</t>
  </si>
  <si>
    <t>FF03014F000053</t>
  </si>
  <si>
    <t>FF03014F100063</t>
  </si>
  <si>
    <t>FF03014F8000D3</t>
  </si>
  <si>
    <t>FF03014FFFFF51</t>
  </si>
  <si>
    <t>FF030155000059</t>
  </si>
  <si>
    <t>FF03002B00002E</t>
  </si>
  <si>
    <t>FF03002B00012F</t>
  </si>
  <si>
    <t>FF03000F000012</t>
  </si>
  <si>
    <t>FF03002900002C</t>
  </si>
  <si>
    <t>FF030020000023</t>
    <phoneticPr fontId="1" type="noConversion"/>
  </si>
  <si>
    <t>EO Zoom SPD 0</t>
    <phoneticPr fontId="1" type="noConversion"/>
  </si>
  <si>
    <t>EO Focus SPD 0</t>
    <phoneticPr fontId="1" type="noConversion"/>
  </si>
  <si>
    <t>PT Driver</t>
    <phoneticPr fontId="1" type="noConversion"/>
  </si>
  <si>
    <t>Pan Pos -18000</t>
    <phoneticPr fontId="1" type="noConversion"/>
  </si>
  <si>
    <t>Pan Pos 18000</t>
    <phoneticPr fontId="1" type="noConversion"/>
  </si>
  <si>
    <t>Pan Pos 9000</t>
    <phoneticPr fontId="1" type="noConversion"/>
  </si>
  <si>
    <t>Pan Pos -9000</t>
    <phoneticPr fontId="1" type="noConversion"/>
  </si>
  <si>
    <t>46</t>
    <phoneticPr fontId="1" type="noConversion"/>
  </si>
  <si>
    <t>23</t>
    <phoneticPr fontId="1" type="noConversion"/>
  </si>
  <si>
    <t>B9</t>
    <phoneticPr fontId="1" type="noConversion"/>
  </si>
  <si>
    <t>DC</t>
    <phoneticPr fontId="1" type="noConversion"/>
  </si>
  <si>
    <t>D8</t>
    <phoneticPr fontId="1" type="noConversion"/>
  </si>
  <si>
    <t>Pan Pos 4000</t>
    <phoneticPr fontId="1" type="noConversion"/>
  </si>
  <si>
    <t>Pan Pos -4000</t>
    <phoneticPr fontId="1" type="noConversion"/>
  </si>
  <si>
    <t>양수 계산</t>
    <phoneticPr fontId="1" type="noConversion"/>
  </si>
  <si>
    <t>음수 계산</t>
    <phoneticPr fontId="1" type="noConversion"/>
  </si>
  <si>
    <t>F0</t>
    <phoneticPr fontId="1" type="noConversion"/>
  </si>
  <si>
    <t>60</t>
    <phoneticPr fontId="1" type="noConversion"/>
  </si>
  <si>
    <t>Tilt Pos -9000</t>
    <phoneticPr fontId="1" type="noConversion"/>
  </si>
  <si>
    <t>Tilt Pos 9000</t>
    <phoneticPr fontId="1" type="noConversion"/>
  </si>
  <si>
    <t>Tilt Pos 3000</t>
    <phoneticPr fontId="1" type="noConversion"/>
  </si>
  <si>
    <t>Tilt Pos -3000</t>
    <phoneticPr fontId="1" type="noConversion"/>
  </si>
  <si>
    <t>Tilt Pos 4500</t>
    <phoneticPr fontId="1" type="noConversion"/>
  </si>
  <si>
    <t>Tilt Pos -4500</t>
    <phoneticPr fontId="1" type="noConversion"/>
  </si>
  <si>
    <t>Pan Pos -20000</t>
    <phoneticPr fontId="1" type="noConversion"/>
  </si>
  <si>
    <t>Pan Pos 20000</t>
    <phoneticPr fontId="1" type="noConversion"/>
  </si>
  <si>
    <t>Tilt Pos -10000</t>
    <phoneticPr fontId="1" type="noConversion"/>
  </si>
  <si>
    <t>Tilt Pos 10000</t>
    <phoneticPr fontId="1" type="noConversion"/>
  </si>
  <si>
    <t>4E</t>
    <phoneticPr fontId="1" type="noConversion"/>
  </si>
  <si>
    <t>0B</t>
    <phoneticPr fontId="1" type="noConversion"/>
  </si>
  <si>
    <t>F4</t>
    <phoneticPr fontId="1" type="noConversion"/>
  </si>
  <si>
    <t>48</t>
    <phoneticPr fontId="1" type="noConversion"/>
  </si>
  <si>
    <t>EE</t>
    <phoneticPr fontId="1" type="noConversion"/>
  </si>
  <si>
    <t>6C</t>
    <phoneticPr fontId="1" type="noConversion"/>
  </si>
  <si>
    <t>Tilt Pos -8999</t>
    <phoneticPr fontId="1" type="noConversion"/>
  </si>
  <si>
    <t>Tilt Pos 8999</t>
    <phoneticPr fontId="1" type="noConversion"/>
  </si>
  <si>
    <t>D9</t>
    <phoneticPr fontId="1" type="noConversion"/>
  </si>
  <si>
    <t>Tilt Pos 6000</t>
    <phoneticPr fontId="1" type="noConversion"/>
  </si>
  <si>
    <t>70</t>
    <phoneticPr fontId="1" type="noConversion"/>
  </si>
  <si>
    <t>Tilt Pos -7000</t>
    <phoneticPr fontId="1" type="noConversion"/>
  </si>
  <si>
    <t>E4</t>
    <phoneticPr fontId="1" type="noConversion"/>
  </si>
  <si>
    <t>A8</t>
    <phoneticPr fontId="1" type="noConversion"/>
  </si>
  <si>
    <t>81</t>
    <phoneticPr fontId="1" type="noConversion"/>
  </si>
  <si>
    <t>Home Pos</t>
    <phoneticPr fontId="1" type="noConversion"/>
  </si>
  <si>
    <t>Pan Pos SPD 4</t>
    <phoneticPr fontId="1" type="noConversion"/>
  </si>
  <si>
    <t>Pan Pos SPD 0</t>
    <phoneticPr fontId="1" type="noConversion"/>
  </si>
  <si>
    <t>Tilt Pos SPD 4</t>
    <phoneticPr fontId="1" type="noConversion"/>
  </si>
  <si>
    <t>Tilt Pos SPD 0</t>
    <phoneticPr fontId="1" type="noConversion"/>
  </si>
  <si>
    <t>P/T(Lens) Pos 
Qry Mode Off</t>
    <phoneticPr fontId="1" type="noConversion"/>
  </si>
  <si>
    <t>P/T(Lens) Pos 
Qry Mode On</t>
    <phoneticPr fontId="1" type="noConversion"/>
  </si>
  <si>
    <t>Ext Query</t>
    <phoneticPr fontId="1" type="noConversion"/>
  </si>
  <si>
    <t>PWR Query</t>
    <phoneticPr fontId="1" type="noConversion"/>
  </si>
  <si>
    <t>91</t>
    <phoneticPr fontId="1" type="noConversion"/>
  </si>
  <si>
    <t>PT Default</t>
    <phoneticPr fontId="1" type="noConversion"/>
  </si>
  <si>
    <t>EO Default</t>
    <phoneticPr fontId="1" type="noConversion"/>
  </si>
  <si>
    <t>IR Default</t>
    <phoneticPr fontId="1" type="noConversion"/>
  </si>
  <si>
    <t>90</t>
    <phoneticPr fontId="1" type="noConversion"/>
  </si>
  <si>
    <t>PT Off</t>
    <phoneticPr fontId="1" type="noConversion"/>
  </si>
  <si>
    <t>PT On</t>
    <phoneticPr fontId="1" type="noConversion"/>
  </si>
  <si>
    <t>EO Off</t>
    <phoneticPr fontId="1" type="noConversion"/>
  </si>
  <si>
    <t>EO On</t>
    <phoneticPr fontId="1" type="noConversion"/>
  </si>
  <si>
    <t>IR Off</t>
    <phoneticPr fontId="1" type="noConversion"/>
  </si>
  <si>
    <t>IR On</t>
    <phoneticPr fontId="1" type="noConversion"/>
  </si>
  <si>
    <t>Tilt Limit Query</t>
    <phoneticPr fontId="1" type="noConversion"/>
  </si>
  <si>
    <t>Limit Set (Save&amp;Apply)</t>
    <phoneticPr fontId="1" type="noConversion"/>
  </si>
  <si>
    <t>Limit Enable</t>
    <phoneticPr fontId="1" type="noConversion"/>
  </si>
  <si>
    <t>Limit Disable</t>
    <phoneticPr fontId="1" type="noConversion"/>
  </si>
  <si>
    <t>Limit Up 6000</t>
    <phoneticPr fontId="1" type="noConversion"/>
  </si>
  <si>
    <t>Limit Down -7000</t>
    <phoneticPr fontId="1" type="noConversion"/>
  </si>
  <si>
    <t>Limit Up 1500</t>
    <phoneticPr fontId="1" type="noConversion"/>
  </si>
  <si>
    <t>Limit Up 3000</t>
    <phoneticPr fontId="1" type="noConversion"/>
  </si>
  <si>
    <t>Limit Up 4500</t>
    <phoneticPr fontId="1" type="noConversion"/>
  </si>
  <si>
    <t>Limit Down -1750</t>
    <phoneticPr fontId="1" type="noConversion"/>
  </si>
  <si>
    <t>Limit Down -3500</t>
    <phoneticPr fontId="1" type="noConversion"/>
  </si>
  <si>
    <t>Limit Down -5250</t>
    <phoneticPr fontId="1" type="noConversion"/>
  </si>
  <si>
    <t>F9</t>
    <phoneticPr fontId="1" type="noConversion"/>
  </si>
  <si>
    <t>F2</t>
    <phoneticPr fontId="1" type="noConversion"/>
  </si>
  <si>
    <t>EB</t>
    <phoneticPr fontId="1" type="noConversion"/>
  </si>
  <si>
    <t>7E</t>
    <phoneticPr fontId="1" type="noConversion"/>
  </si>
  <si>
    <t>ACC Query</t>
    <phoneticPr fontId="1" type="noConversion"/>
  </si>
  <si>
    <t>Fan On</t>
    <phoneticPr fontId="1" type="noConversion"/>
  </si>
  <si>
    <t>Fan Off</t>
    <phoneticPr fontId="1" type="noConversion"/>
  </si>
  <si>
    <t>Heater Off</t>
    <phoneticPr fontId="1" type="noConversion"/>
  </si>
  <si>
    <t>Heater On</t>
    <phoneticPr fontId="1" type="noConversion"/>
  </si>
  <si>
    <t>G.Heater Off</t>
    <phoneticPr fontId="1" type="noConversion"/>
  </si>
  <si>
    <t>Wiper Stop</t>
    <phoneticPr fontId="1" type="noConversion"/>
  </si>
  <si>
    <t>Wiper Once</t>
    <phoneticPr fontId="1" type="noConversion"/>
  </si>
  <si>
    <t>Wiper Triple</t>
    <phoneticPr fontId="1" type="noConversion"/>
  </si>
  <si>
    <t>Wiper Continue</t>
    <phoneticPr fontId="1" type="noConversion"/>
  </si>
  <si>
    <t>Wiper Origin</t>
    <phoneticPr fontId="1" type="noConversion"/>
  </si>
  <si>
    <t>24</t>
    <phoneticPr fontId="1" type="noConversion"/>
  </si>
  <si>
    <t>Illu Query</t>
    <phoneticPr fontId="1" type="noConversion"/>
  </si>
  <si>
    <t>Ill Enable</t>
    <phoneticPr fontId="1" type="noConversion"/>
  </si>
  <si>
    <t>Ill Disable</t>
    <phoneticPr fontId="1" type="noConversion"/>
  </si>
  <si>
    <t>Ill Sync Off</t>
    <phoneticPr fontId="1" type="noConversion"/>
  </si>
  <si>
    <t>Ill Brightness 0</t>
    <phoneticPr fontId="1" type="noConversion"/>
  </si>
  <si>
    <t>Ill Brightness 255</t>
    <phoneticPr fontId="1" type="noConversion"/>
  </si>
  <si>
    <t>Ill Pos 0</t>
    <phoneticPr fontId="1" type="noConversion"/>
  </si>
  <si>
    <t>Ill Pos 65535</t>
    <phoneticPr fontId="1" type="noConversion"/>
  </si>
  <si>
    <t>61</t>
    <phoneticPr fontId="1" type="noConversion"/>
  </si>
  <si>
    <t>62</t>
    <phoneticPr fontId="1" type="noConversion"/>
  </si>
  <si>
    <t>63</t>
    <phoneticPr fontId="1" type="noConversion"/>
  </si>
  <si>
    <t>Scan Query</t>
    <phoneticPr fontId="1" type="noConversion"/>
  </si>
  <si>
    <t>Scan Set (Save)</t>
    <phoneticPr fontId="1" type="noConversion"/>
  </si>
  <si>
    <t>Scan Disable</t>
    <phoneticPr fontId="1" type="noConversion"/>
  </si>
  <si>
    <t>Scan Enable</t>
    <phoneticPr fontId="1" type="noConversion"/>
  </si>
  <si>
    <t>Scan Right Panning</t>
    <phoneticPr fontId="1" type="noConversion"/>
  </si>
  <si>
    <t>Scan Left Panning</t>
    <phoneticPr fontId="1" type="noConversion"/>
  </si>
  <si>
    <t>Scan Dwell 0</t>
    <phoneticPr fontId="1" type="noConversion"/>
  </si>
  <si>
    <t>Scan Dwell 12H(43200 Sec)</t>
    <phoneticPr fontId="1" type="noConversion"/>
  </si>
  <si>
    <t>Scan Left -1</t>
    <phoneticPr fontId="1" type="noConversion"/>
  </si>
  <si>
    <t>Scan Left -18000</t>
    <phoneticPr fontId="1" type="noConversion"/>
  </si>
  <si>
    <t>Scan Right 1</t>
    <phoneticPr fontId="1" type="noConversion"/>
  </si>
  <si>
    <t>Scan SPD 0</t>
    <phoneticPr fontId="1" type="noConversion"/>
  </si>
  <si>
    <t>Scan SPD 64</t>
    <phoneticPr fontId="1" type="noConversion"/>
  </si>
  <si>
    <t>Scan Right 18000</t>
    <phoneticPr fontId="1" type="noConversion"/>
  </si>
  <si>
    <t>Preset Query 1</t>
    <phoneticPr fontId="1" type="noConversion"/>
  </si>
  <si>
    <t>Preset Query 255</t>
    <phoneticPr fontId="1" type="noConversion"/>
  </si>
  <si>
    <t>Preset Set 1</t>
    <phoneticPr fontId="1" type="noConversion"/>
  </si>
  <si>
    <t>Preset SPD 0</t>
    <phoneticPr fontId="1" type="noConversion"/>
  </si>
  <si>
    <t>Preset SPD 64</t>
    <phoneticPr fontId="1" type="noConversion"/>
  </si>
  <si>
    <t>Preset Dwell 0</t>
    <phoneticPr fontId="1" type="noConversion"/>
  </si>
  <si>
    <t>Preset Ill Pos 0</t>
    <phoneticPr fontId="1" type="noConversion"/>
  </si>
  <si>
    <t>Preset Ill Pos 65535</t>
    <phoneticPr fontId="1" type="noConversion"/>
  </si>
  <si>
    <t>Preset Clear All</t>
    <phoneticPr fontId="1" type="noConversion"/>
  </si>
  <si>
    <t>1A</t>
    <phoneticPr fontId="1" type="noConversion"/>
  </si>
  <si>
    <t>1F</t>
    <phoneticPr fontId="1" type="noConversion"/>
  </si>
  <si>
    <t>0</t>
    <phoneticPr fontId="1" type="noConversion"/>
  </si>
  <si>
    <t>Tour Query</t>
    <phoneticPr fontId="1" type="noConversion"/>
  </si>
  <si>
    <t>Tour Set 1 (PID 1- 7)</t>
    <phoneticPr fontId="1" type="noConversion"/>
  </si>
  <si>
    <t>Tour Stop</t>
    <phoneticPr fontId="1" type="noConversion"/>
  </si>
  <si>
    <t>Tour Clear</t>
    <phoneticPr fontId="1" type="noConversion"/>
  </si>
  <si>
    <t>Tour Call</t>
    <phoneticPr fontId="1" type="noConversion"/>
  </si>
  <si>
    <t>Tour All Clear</t>
    <phoneticPr fontId="1" type="noConversion"/>
  </si>
  <si>
    <t>Tour Set 255 
(PID 1- 7)</t>
    <phoneticPr fontId="1" type="noConversion"/>
  </si>
  <si>
    <t>TSM-1M OSD Enter</t>
    <phoneticPr fontId="1" type="noConversion"/>
  </si>
  <si>
    <t>TSM-1M OSD Left</t>
    <phoneticPr fontId="1" type="noConversion"/>
  </si>
  <si>
    <t>TSM-1M OSD Right</t>
    <phoneticPr fontId="1" type="noConversion"/>
  </si>
  <si>
    <t>TSM-1M OSD Up</t>
    <phoneticPr fontId="1" type="noConversion"/>
  </si>
  <si>
    <t>TSM-1M OSD Down</t>
    <phoneticPr fontId="1" type="noConversion"/>
  </si>
  <si>
    <t>XV-Z2090HC</t>
    <phoneticPr fontId="1" type="noConversion"/>
  </si>
  <si>
    <t>CTEC Query</t>
    <phoneticPr fontId="1" type="noConversion"/>
  </si>
  <si>
    <t>CTEC Defog Off</t>
    <phoneticPr fontId="1" type="noConversion"/>
  </si>
  <si>
    <t>CTEC Defog Low</t>
    <phoneticPr fontId="1" type="noConversion"/>
  </si>
  <si>
    <t>CTEC Defog MID</t>
    <phoneticPr fontId="1" type="noConversion"/>
  </si>
  <si>
    <t>CTEC Defog High</t>
    <phoneticPr fontId="1" type="noConversion"/>
  </si>
  <si>
    <t>CTEC D/N Auto</t>
    <phoneticPr fontId="1" type="noConversion"/>
  </si>
  <si>
    <t>CTEC D/N Day</t>
    <phoneticPr fontId="1" type="noConversion"/>
  </si>
  <si>
    <t>CTEC D/N Night</t>
    <phoneticPr fontId="1" type="noConversion"/>
  </si>
  <si>
    <t>CTEC EIS Off</t>
    <phoneticPr fontId="1" type="noConversion"/>
  </si>
  <si>
    <t>CTEC EIS On</t>
    <phoneticPr fontId="1" type="noConversion"/>
  </si>
  <si>
    <t>CTEC BLC.. Off</t>
    <phoneticPr fontId="1" type="noConversion"/>
  </si>
  <si>
    <t>CTEC BLC On</t>
    <phoneticPr fontId="1" type="noConversion"/>
  </si>
  <si>
    <t>CTEC HLC On</t>
    <phoneticPr fontId="1" type="noConversion"/>
  </si>
  <si>
    <t>CTEC WDR On</t>
    <phoneticPr fontId="1" type="noConversion"/>
  </si>
  <si>
    <t>CTEC BLC,, Lv 0</t>
    <phoneticPr fontId="1" type="noConversion"/>
  </si>
  <si>
    <t>CTEC BLC,, Lv32</t>
    <phoneticPr fontId="1" type="noConversion"/>
  </si>
  <si>
    <t>CTEC BLC,, Lv100</t>
    <phoneticPr fontId="1" type="noConversion"/>
  </si>
  <si>
    <t>CTEC D-Zoom Off</t>
    <phoneticPr fontId="1" type="noConversion"/>
  </si>
  <si>
    <t>CTEC D-Zoom On</t>
    <phoneticPr fontId="1" type="noConversion"/>
  </si>
  <si>
    <t>CTEC Flip On</t>
    <phoneticPr fontId="1" type="noConversion"/>
  </si>
  <si>
    <t>CTEC Flip Off</t>
    <phoneticPr fontId="1" type="noConversion"/>
  </si>
  <si>
    <t>CTEC Mirror Off</t>
    <phoneticPr fontId="1" type="noConversion"/>
  </si>
  <si>
    <t>CTEC Mirror On</t>
    <phoneticPr fontId="1" type="noConversion"/>
  </si>
  <si>
    <t>CTEC Heat Haze Off</t>
    <phoneticPr fontId="1" type="noConversion"/>
  </si>
  <si>
    <t>CTEC Heat Haze On</t>
    <phoneticPr fontId="1" type="noConversion"/>
  </si>
  <si>
    <t>CTEC Gamma Off</t>
    <phoneticPr fontId="1" type="noConversion"/>
  </si>
  <si>
    <t>CTEC Gamma Lv 1</t>
    <phoneticPr fontId="1" type="noConversion"/>
  </si>
  <si>
    <t>CTEC Gamma Lv 2</t>
    <phoneticPr fontId="1" type="noConversion"/>
  </si>
  <si>
    <t>CTEC Gamma Lv 3</t>
    <phoneticPr fontId="1" type="noConversion"/>
  </si>
  <si>
    <t>CTEC WB Auto</t>
    <phoneticPr fontId="1" type="noConversion"/>
  </si>
  <si>
    <t>CTEC WB Indoor</t>
    <phoneticPr fontId="1" type="noConversion"/>
  </si>
  <si>
    <t>CTEC WB Outdoor</t>
    <phoneticPr fontId="1" type="noConversion"/>
  </si>
  <si>
    <t>CTEC WB On Push</t>
    <phoneticPr fontId="1" type="noConversion"/>
  </si>
  <si>
    <t>CTEC Init</t>
    <phoneticPr fontId="1" type="noConversion"/>
  </si>
  <si>
    <t>CTEC Reboot</t>
    <phoneticPr fontId="1" type="noConversion"/>
  </si>
  <si>
    <t>33</t>
    <phoneticPr fontId="1" type="noConversion"/>
  </si>
  <si>
    <t>34</t>
    <phoneticPr fontId="1" type="noConversion"/>
  </si>
  <si>
    <t>35</t>
    <phoneticPr fontId="1" type="noConversion"/>
  </si>
  <si>
    <t>36</t>
    <phoneticPr fontId="1" type="noConversion"/>
  </si>
  <si>
    <t>37</t>
    <phoneticPr fontId="1" type="noConversion"/>
  </si>
  <si>
    <t>38</t>
    <phoneticPr fontId="1" type="noConversion"/>
  </si>
  <si>
    <t>39</t>
    <phoneticPr fontId="1" type="noConversion"/>
  </si>
  <si>
    <t>3A</t>
    <phoneticPr fontId="1" type="noConversion"/>
  </si>
  <si>
    <t>3B</t>
    <phoneticPr fontId="1" type="noConversion"/>
  </si>
  <si>
    <t>3E</t>
    <phoneticPr fontId="1" type="noConversion"/>
  </si>
  <si>
    <t>SL-640C</t>
    <phoneticPr fontId="1" type="noConversion"/>
  </si>
  <si>
    <t>SL-640C Query</t>
    <phoneticPr fontId="1" type="noConversion"/>
  </si>
  <si>
    <t>SL-640C AGC Low</t>
    <phoneticPr fontId="1" type="noConversion"/>
  </si>
  <si>
    <t>SL-640C AGC High</t>
    <phoneticPr fontId="1" type="noConversion"/>
  </si>
  <si>
    <t>SL-640C AGC Mid</t>
    <phoneticPr fontId="1" type="noConversion"/>
  </si>
  <si>
    <t>SL-640C AGC Adapt Frame 5</t>
    <phoneticPr fontId="1" type="noConversion"/>
  </si>
  <si>
    <t>SL-640C AGC Adapt Frame 60</t>
    <phoneticPr fontId="1" type="noConversion"/>
  </si>
  <si>
    <t>SL-640C Gamma 0.7</t>
    <phoneticPr fontId="1" type="noConversion"/>
  </si>
  <si>
    <t>SL-640C Gamma 0.8</t>
  </si>
  <si>
    <t>SL-640C Gamma 0.9</t>
  </si>
  <si>
    <t>SL-640C Gamma 1.0</t>
    <phoneticPr fontId="1" type="noConversion"/>
  </si>
  <si>
    <t>SL-640C Gamma 1.1</t>
  </si>
  <si>
    <t>SL-640C Gamma 1.2</t>
  </si>
  <si>
    <t>SL-640C Gamma 1.3</t>
  </si>
  <si>
    <t>SL-640C Gamma 1.4</t>
  </si>
  <si>
    <t>SL-640C D-Zoom x1</t>
    <phoneticPr fontId="1" type="noConversion"/>
  </si>
  <si>
    <t>SL-640C D-Zoom x2</t>
    <phoneticPr fontId="1" type="noConversion"/>
  </si>
  <si>
    <t>SL-640C D-Zoom x4</t>
    <phoneticPr fontId="1" type="noConversion"/>
  </si>
  <si>
    <t>SL-640C D-Zoom x8</t>
    <phoneticPr fontId="1" type="noConversion"/>
  </si>
  <si>
    <t>SL-640C Const -50</t>
    <phoneticPr fontId="1" type="noConversion"/>
  </si>
  <si>
    <t>SL-640C Const 50</t>
    <phoneticPr fontId="1" type="noConversion"/>
  </si>
  <si>
    <t>SL-640C IDE 0</t>
    <phoneticPr fontId="1" type="noConversion"/>
  </si>
  <si>
    <t>SL-640C IDE 30</t>
    <phoneticPr fontId="1" type="noConversion"/>
  </si>
  <si>
    <t>SL-640C Gray</t>
    <phoneticPr fontId="1" type="noConversion"/>
  </si>
  <si>
    <t>SL-640C Rainbow</t>
    <phoneticPr fontId="1" type="noConversion"/>
  </si>
  <si>
    <t>SL-640C Iron</t>
    <phoneticPr fontId="1" type="noConversion"/>
  </si>
  <si>
    <t>SL-640C Jet</t>
    <phoneticPr fontId="1" type="noConversion"/>
  </si>
  <si>
    <t>SL-640C Thermal</t>
    <phoneticPr fontId="1" type="noConversion"/>
  </si>
  <si>
    <t>SL-640C Blue Orange</t>
    <phoneticPr fontId="1" type="noConversion"/>
  </si>
  <si>
    <t>SL-640C Smart</t>
    <phoneticPr fontId="1" type="noConversion"/>
  </si>
  <si>
    <t>SL-640C Cool</t>
    <phoneticPr fontId="1" type="noConversion"/>
  </si>
  <si>
    <t>SL-640C Gray+Rainbow</t>
    <phoneticPr fontId="1" type="noConversion"/>
  </si>
  <si>
    <t>SL-640C Gray+Jet</t>
    <phoneticPr fontId="1" type="noConversion"/>
  </si>
  <si>
    <t>SL-640C Gray+Iron</t>
    <phoneticPr fontId="1" type="noConversion"/>
  </si>
  <si>
    <t>SL-640C Mirror Off</t>
    <phoneticPr fontId="1" type="noConversion"/>
  </si>
  <si>
    <t>SL-640C Mirror On</t>
    <phoneticPr fontId="1" type="noConversion"/>
  </si>
  <si>
    <t>SL-640C Flip Off</t>
    <phoneticPr fontId="1" type="noConversion"/>
  </si>
  <si>
    <t>SL-640C Flip On</t>
    <phoneticPr fontId="1" type="noConversion"/>
  </si>
  <si>
    <t>SL-640C W Hot</t>
    <phoneticPr fontId="1" type="noConversion"/>
  </si>
  <si>
    <t>SL-640C B Hot</t>
    <phoneticPr fontId="1" type="noConversion"/>
  </si>
  <si>
    <t>SL-640C Calibration</t>
    <phoneticPr fontId="1" type="noConversion"/>
  </si>
  <si>
    <t>SL-640C Save</t>
    <phoneticPr fontId="1" type="noConversion"/>
  </si>
  <si>
    <t>SL-640C Init</t>
    <phoneticPr fontId="1" type="noConversion"/>
  </si>
  <si>
    <t>31</t>
    <phoneticPr fontId="1" type="noConversion"/>
  </si>
  <si>
    <t>3D</t>
    <phoneticPr fontId="1" type="noConversion"/>
  </si>
  <si>
    <t>CTEC Fun2 Query</t>
    <phoneticPr fontId="1" type="noConversion"/>
  </si>
  <si>
    <t>CTEC Fun2 Brightness 0</t>
    <phoneticPr fontId="1" type="noConversion"/>
  </si>
  <si>
    <t>CTEC Fun2 Brightness 50</t>
    <phoneticPr fontId="1" type="noConversion"/>
  </si>
  <si>
    <t>CTEC Fun2 Brightness 255</t>
    <phoneticPr fontId="1" type="noConversion"/>
  </si>
  <si>
    <t>CTEC Fun2 Const 0</t>
    <phoneticPr fontId="1" type="noConversion"/>
  </si>
  <si>
    <t>CTEC Fun2 Const 127</t>
    <phoneticPr fontId="1" type="noConversion"/>
  </si>
  <si>
    <t>CTEC Fun2 Const 255</t>
    <phoneticPr fontId="1" type="noConversion"/>
  </si>
  <si>
    <t>CTEC Fun2 Sat 0</t>
    <phoneticPr fontId="1" type="noConversion"/>
  </si>
  <si>
    <t>CTEC Fun2 Sat 127</t>
    <phoneticPr fontId="1" type="noConversion"/>
  </si>
  <si>
    <t>CTEC Fun2 Sat 255</t>
    <phoneticPr fontId="1" type="noConversion"/>
  </si>
  <si>
    <t>CTEC Fun2 Hue 0</t>
    <phoneticPr fontId="1" type="noConversion"/>
  </si>
  <si>
    <t>CTEC Fun2 Hue 127</t>
    <phoneticPr fontId="1" type="noConversion"/>
  </si>
  <si>
    <t>CTEC Fun2 Hue 255</t>
    <phoneticPr fontId="1" type="noConversion"/>
  </si>
  <si>
    <t>CTEC Fun2 3DNR 0</t>
    <phoneticPr fontId="1" type="noConversion"/>
  </si>
  <si>
    <t>CTEC Fun2 3DNR 50</t>
    <phoneticPr fontId="1" type="noConversion"/>
  </si>
  <si>
    <t>CTEC Fun2 3DNR 100</t>
    <phoneticPr fontId="1" type="noConversion"/>
  </si>
  <si>
    <t>CTEC Fun2 2DNR 0</t>
    <phoneticPr fontId="1" type="noConversion"/>
  </si>
  <si>
    <t>CTEC Fun2 2DNR 50</t>
    <phoneticPr fontId="1" type="noConversion"/>
  </si>
  <si>
    <t>CTEC Fun2 2DNR 100</t>
    <phoneticPr fontId="1" type="noConversion"/>
  </si>
  <si>
    <t>CTEC Fun2 AE Auto</t>
    <phoneticPr fontId="1" type="noConversion"/>
  </si>
  <si>
    <t>CTEC Fun2 AE Manual</t>
    <phoneticPr fontId="1" type="noConversion"/>
  </si>
  <si>
    <t>CTEC Fun2 S.SPD 1/1</t>
    <phoneticPr fontId="1" type="noConversion"/>
  </si>
  <si>
    <t>CTEC Fun2 S.SPD 1/2</t>
    <phoneticPr fontId="1" type="noConversion"/>
  </si>
  <si>
    <t>CTEC Fun2 S.SPD 1/4</t>
    <phoneticPr fontId="1" type="noConversion"/>
  </si>
  <si>
    <t>CTEC Fun2 S.SPD 1/8</t>
    <phoneticPr fontId="1" type="noConversion"/>
  </si>
  <si>
    <t>CTEC Fun2 S.SPD 1/15</t>
    <phoneticPr fontId="1" type="noConversion"/>
  </si>
  <si>
    <t>CTEC Fun2 S.SPD 1/30</t>
    <phoneticPr fontId="1" type="noConversion"/>
  </si>
  <si>
    <t>CTEC Fun2 S.SPD 1/60</t>
    <phoneticPr fontId="1" type="noConversion"/>
  </si>
  <si>
    <t>CTEC Fun2 S.SPD 1/90</t>
    <phoneticPr fontId="1" type="noConversion"/>
  </si>
  <si>
    <t>CTEC Fun2 S.SPD 1/100</t>
    <phoneticPr fontId="1" type="noConversion"/>
  </si>
  <si>
    <t>CTEC Fun2 S.SPD 1/125</t>
    <phoneticPr fontId="1" type="noConversion"/>
  </si>
  <si>
    <t>CTEC Fun2 S.SPD 1/180</t>
    <phoneticPr fontId="1" type="noConversion"/>
  </si>
  <si>
    <t>CTEC Fun2 S.SPD 1/250</t>
    <phoneticPr fontId="1" type="noConversion"/>
  </si>
  <si>
    <t>CTEC Fun2 S.SPD 1/350</t>
    <phoneticPr fontId="1" type="noConversion"/>
  </si>
  <si>
    <t>CTEC Fun2 S.SPD 1/500</t>
    <phoneticPr fontId="1" type="noConversion"/>
  </si>
  <si>
    <t>CTEC Fun2 S.SPD 1/725</t>
    <phoneticPr fontId="1" type="noConversion"/>
  </si>
  <si>
    <t>CTEC Fun2 S.SPD 1/1000</t>
    <phoneticPr fontId="1" type="noConversion"/>
  </si>
  <si>
    <t>CTEC Fun2 S.SPD 1/1500</t>
    <phoneticPr fontId="1" type="noConversion"/>
  </si>
  <si>
    <t>CTEC Fun2 S.SPD 1/2000</t>
    <phoneticPr fontId="1" type="noConversion"/>
  </si>
  <si>
    <t>CTEC Fun2 S.SPD 1/3000</t>
    <phoneticPr fontId="1" type="noConversion"/>
  </si>
  <si>
    <t>CTEC Fun2 S.SPD 1/4000</t>
    <phoneticPr fontId="1" type="noConversion"/>
  </si>
  <si>
    <t>CTEC Fun2 S.SPD 1/6000</t>
    <phoneticPr fontId="1" type="noConversion"/>
  </si>
  <si>
    <t>CTEC Fun2 S.SPD 1/10000</t>
    <phoneticPr fontId="1" type="noConversion"/>
  </si>
  <si>
    <t>CTEC Fun2 S.SPD 1/30000</t>
    <phoneticPr fontId="1" type="noConversion"/>
  </si>
  <si>
    <t>XV-Z2090HC Func2</t>
    <phoneticPr fontId="1" type="noConversion"/>
  </si>
  <si>
    <t>A2</t>
    <phoneticPr fontId="1" type="noConversion"/>
  </si>
  <si>
    <t>A3</t>
    <phoneticPr fontId="1" type="noConversion"/>
  </si>
  <si>
    <t>A4</t>
    <phoneticPr fontId="1" type="noConversion"/>
  </si>
  <si>
    <t>A5</t>
    <phoneticPr fontId="1" type="noConversion"/>
  </si>
  <si>
    <t>A6</t>
    <phoneticPr fontId="1" type="noConversion"/>
  </si>
  <si>
    <t>A7</t>
    <phoneticPr fontId="1" type="noConversion"/>
  </si>
  <si>
    <t>0D</t>
    <phoneticPr fontId="1" type="noConversion"/>
  </si>
  <si>
    <t>0E</t>
    <phoneticPr fontId="1" type="noConversion"/>
  </si>
  <si>
    <t>Encoder</t>
    <phoneticPr fontId="1" type="noConversion"/>
  </si>
  <si>
    <t>CE</t>
    <phoneticPr fontId="1" type="noConversion"/>
  </si>
  <si>
    <t>SL-640C Brightness 50</t>
    <phoneticPr fontId="1" type="noConversion"/>
  </si>
  <si>
    <t>SL-640C Brightness 
-50</t>
    <phoneticPr fontId="1" type="noConversion"/>
  </si>
  <si>
    <t>PT Reboot</t>
    <phoneticPr fontId="1" type="noConversion"/>
  </si>
  <si>
    <t>Pan Pos -17999</t>
    <phoneticPr fontId="1" type="noConversion"/>
  </si>
  <si>
    <t>Pan Pos 17999</t>
    <phoneticPr fontId="1" type="noConversion"/>
  </si>
  <si>
    <t>G.Heater On</t>
    <phoneticPr fontId="1" type="noConversion"/>
  </si>
  <si>
    <t>Preset Dwell  12H</t>
    <phoneticPr fontId="1" type="noConversion"/>
  </si>
  <si>
    <t>Pr. EO Zoom Pos 0</t>
    <phoneticPr fontId="1" type="noConversion"/>
  </si>
  <si>
    <t>Pr. EO Z.Pos 16384(0x4000)</t>
    <phoneticPr fontId="1" type="noConversion"/>
  </si>
  <si>
    <t>Pr. EO Zoom Pos 65535</t>
    <phoneticPr fontId="1" type="noConversion"/>
  </si>
  <si>
    <t>Pr. IR Zoom Pos 0</t>
    <phoneticPr fontId="1" type="noConversion"/>
  </si>
  <si>
    <t>Pr. IR Z.Pos 16384(0x4000)</t>
    <phoneticPr fontId="1" type="noConversion"/>
  </si>
  <si>
    <t>Pr. IR Zoom Pos 65535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</si>
</sst>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17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name val="Arial"/>
      <family val="2"/>
    </font>
    <font>
      <sz val="10"/>
      <name val="Microsoft Sans Serif"/>
      <family val="2"/>
    </font>
    <font>
      <sz val="10"/>
      <color rgb="FF000000"/>
      <name val="Microsoft Sans Serif"/>
      <family val="2"/>
    </font>
    <font>
      <sz val="11"/>
      <color theme="1"/>
      <name val="맑은 고딕"/>
      <family val="2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8"/>
      <name val="나눔명조"/>
      <family val="3"/>
      <charset val="129"/>
    </font>
    <font>
      <sz val="10"/>
      <color rgb="FF000000"/>
      <name val="맑은 고딕"/>
      <family val="3"/>
      <charset val="129"/>
      <scheme val="minor"/>
    </font>
    <font>
      <sz val="10"/>
      <color rgb="FF0D0D0D"/>
      <name val="맑은 고딕"/>
      <family val="3"/>
      <charset val="129"/>
      <scheme val="minor"/>
    </font>
    <font>
      <sz val="10"/>
      <name val="맑은 고딕"/>
      <family val="2"/>
      <charset val="129"/>
    </font>
    <font>
      <sz val="10"/>
      <color theme="1"/>
      <name val="맑은 고딕"/>
      <family val="2"/>
      <charset val="2"/>
      <scheme val="minor"/>
    </font>
    <font>
      <b/>
      <sz val="10"/>
      <name val="맑은 고딕"/>
      <family val="2"/>
      <charset val="129"/>
    </font>
  </fonts>
  <fills count="7">
    <fill>
      <patternFill patternType="none"/>
    </fill>
    <fill>
      <patternFill patternType="gray125"/>
    </fill>
    <fill>
      <patternFill patternType="solid">
        <fgColor rgb="FFDBE4F0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</fills>
  <borders count="4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5" fillId="0" borderId="0"/>
  </cellStyleXfs>
  <cellXfs count="140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/>
    <xf numFmtId="0" fontId="3" fillId="0" borderId="1" xfId="0" applyFont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center" vertical="center" shrinkToFit="1"/>
    </xf>
    <xf numFmtId="49" fontId="3" fillId="0" borderId="1" xfId="0" applyNumberFormat="1" applyFont="1" applyBorder="1" applyAlignment="1">
      <alignment horizontal="center" vertical="center" wrapText="1"/>
    </xf>
    <xf numFmtId="49" fontId="0" fillId="0" borderId="0" xfId="0" applyNumberFormat="1">
      <alignment vertical="center"/>
    </xf>
    <xf numFmtId="0" fontId="5" fillId="0" borderId="0" xfId="1"/>
    <xf numFmtId="0" fontId="5" fillId="0" borderId="0" xfId="1" applyAlignment="1">
      <alignment horizontal="center"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 vertical="center" wrapText="1"/>
    </xf>
    <xf numFmtId="1" fontId="4" fillId="0" borderId="4" xfId="0" applyNumberFormat="1" applyFont="1" applyBorder="1" applyAlignment="1">
      <alignment horizontal="center" vertical="center" shrinkToFi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/>
    </xf>
    <xf numFmtId="0" fontId="3" fillId="0" borderId="8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 shrinkToFit="1"/>
    </xf>
    <xf numFmtId="49" fontId="3" fillId="0" borderId="8" xfId="0" applyNumberFormat="1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3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1" fontId="4" fillId="0" borderId="15" xfId="0" applyNumberFormat="1" applyFont="1" applyBorder="1" applyAlignment="1">
      <alignment horizontal="center" vertical="center" shrinkToFit="1"/>
    </xf>
    <xf numFmtId="49" fontId="3" fillId="0" borderId="15" xfId="0" applyNumberFormat="1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3" fillId="3" borderId="7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" fontId="4" fillId="4" borderId="1" xfId="0" applyNumberFormat="1" applyFont="1" applyFill="1" applyBorder="1" applyAlignment="1">
      <alignment horizontal="center" vertical="center" shrinkToFit="1"/>
    </xf>
    <xf numFmtId="49" fontId="3" fillId="4" borderId="1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/>
    </xf>
    <xf numFmtId="0" fontId="3" fillId="4" borderId="7" xfId="0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horizontal="center" vertical="center" wrapText="1"/>
    </xf>
    <xf numFmtId="1" fontId="4" fillId="4" borderId="8" xfId="0" applyNumberFormat="1" applyFont="1" applyFill="1" applyBorder="1" applyAlignment="1">
      <alignment horizontal="center" vertical="center" shrinkToFit="1"/>
    </xf>
    <xf numFmtId="49" fontId="3" fillId="4" borderId="8" xfId="0" applyNumberFormat="1" applyFont="1" applyFill="1" applyBorder="1" applyAlignment="1">
      <alignment horizontal="center" vertical="center" wrapText="1"/>
    </xf>
    <xf numFmtId="0" fontId="3" fillId="4" borderId="9" xfId="0" applyFont="1" applyFill="1" applyBorder="1" applyAlignment="1">
      <alignment horizontal="center" vertical="center" wrapText="1"/>
    </xf>
    <xf numFmtId="0" fontId="3" fillId="4" borderId="10" xfId="0" applyFont="1" applyFill="1" applyBorder="1" applyAlignment="1">
      <alignment horizontal="center" vertical="center" wrapText="1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3" fillId="4" borderId="12" xfId="0" applyFont="1" applyFill="1" applyBorder="1" applyAlignment="1">
      <alignment horizontal="center" vertical="center" wrapText="1"/>
    </xf>
    <xf numFmtId="0" fontId="6" fillId="4" borderId="13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 vertical="center" wrapText="1"/>
    </xf>
    <xf numFmtId="0" fontId="2" fillId="2" borderId="20" xfId="0" applyFont="1" applyFill="1" applyBorder="1" applyAlignment="1">
      <alignment horizontal="center" vertical="center" wrapText="1"/>
    </xf>
    <xf numFmtId="0" fontId="2" fillId="2" borderId="21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6" fillId="0" borderId="24" xfId="0" applyFont="1" applyBorder="1" applyAlignment="1">
      <alignment horizontal="center"/>
    </xf>
    <xf numFmtId="0" fontId="2" fillId="2" borderId="23" xfId="0" applyFont="1" applyFill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3" fillId="0" borderId="26" xfId="0" applyFont="1" applyBorder="1" applyAlignment="1">
      <alignment horizontal="center" vertical="center" wrapText="1"/>
    </xf>
    <xf numFmtId="0" fontId="3" fillId="0" borderId="27" xfId="0" applyFont="1" applyBorder="1" applyAlignment="1">
      <alignment horizontal="center" vertical="center" wrapText="1"/>
    </xf>
    <xf numFmtId="0" fontId="3" fillId="0" borderId="28" xfId="0" applyFont="1" applyBorder="1" applyAlignment="1">
      <alignment horizontal="center" vertical="center" wrapText="1"/>
    </xf>
    <xf numFmtId="49" fontId="3" fillId="0" borderId="2" xfId="0" applyNumberFormat="1" applyFont="1" applyBorder="1" applyAlignment="1">
      <alignment horizontal="center" vertical="center" wrapText="1"/>
    </xf>
    <xf numFmtId="49" fontId="3" fillId="0" borderId="10" xfId="0" applyNumberFormat="1" applyFont="1" applyBorder="1" applyAlignment="1">
      <alignment horizontal="center" vertical="center" wrapText="1"/>
    </xf>
    <xf numFmtId="49" fontId="3" fillId="0" borderId="17" xfId="0" applyNumberFormat="1" applyFont="1" applyBorder="1" applyAlignment="1">
      <alignment horizontal="center" vertical="center" wrapText="1"/>
    </xf>
    <xf numFmtId="0" fontId="3" fillId="3" borderId="29" xfId="0" applyFont="1" applyFill="1" applyBorder="1" applyAlignment="1">
      <alignment horizontal="center" vertical="center" wrapText="1"/>
    </xf>
    <xf numFmtId="0" fontId="3" fillId="5" borderId="30" xfId="0" applyFont="1" applyFill="1" applyBorder="1" applyAlignment="1">
      <alignment horizontal="center" vertical="center" wrapText="1"/>
    </xf>
    <xf numFmtId="0" fontId="7" fillId="0" borderId="0" xfId="0" applyFont="1" applyAlignment="1"/>
    <xf numFmtId="0" fontId="3" fillId="5" borderId="32" xfId="0" applyFont="1" applyFill="1" applyBorder="1" applyAlignment="1">
      <alignment horizontal="center" vertical="center" wrapText="1"/>
    </xf>
    <xf numFmtId="49" fontId="3" fillId="0" borderId="6" xfId="0" applyNumberFormat="1" applyFont="1" applyBorder="1" applyAlignment="1">
      <alignment horizontal="center" vertical="center" wrapText="1"/>
    </xf>
    <xf numFmtId="0" fontId="3" fillId="3" borderId="30" xfId="0" applyFont="1" applyFill="1" applyBorder="1" applyAlignment="1">
      <alignment horizontal="center" vertical="center" wrapText="1"/>
    </xf>
    <xf numFmtId="0" fontId="3" fillId="3" borderId="3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 wrapText="1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0" fontId="9" fillId="2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49" fontId="8" fillId="0" borderId="0" xfId="0" applyNumberFormat="1" applyFont="1">
      <alignment vertical="center"/>
    </xf>
    <xf numFmtId="0" fontId="9" fillId="2" borderId="1" xfId="0" applyFont="1" applyFill="1" applyBorder="1" applyAlignment="1">
      <alignment horizontal="center" vertical="center" wrapText="1"/>
    </xf>
    <xf numFmtId="49" fontId="9" fillId="2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shrinkToFit="1"/>
    </xf>
    <xf numFmtId="49" fontId="10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shrinkToFit="1"/>
    </xf>
    <xf numFmtId="0" fontId="10" fillId="3" borderId="1" xfId="0" applyFont="1" applyFill="1" applyBorder="1" applyAlignment="1">
      <alignment horizontal="center" vertical="center" wrapText="1"/>
    </xf>
    <xf numFmtId="0" fontId="3" fillId="0" borderId="33" xfId="0" applyFont="1" applyBorder="1" applyAlignment="1">
      <alignment horizontal="center" vertical="center" wrapText="1"/>
    </xf>
    <xf numFmtId="0" fontId="3" fillId="0" borderId="34" xfId="0" applyFont="1" applyBorder="1" applyAlignment="1">
      <alignment horizontal="center" vertical="center" wrapText="1"/>
    </xf>
    <xf numFmtId="49" fontId="3" fillId="0" borderId="35" xfId="0" applyNumberFormat="1" applyFont="1" applyBorder="1" applyAlignment="1">
      <alignment horizontal="center" vertical="center" wrapText="1"/>
    </xf>
    <xf numFmtId="0" fontId="3" fillId="0" borderId="35" xfId="0" applyFont="1" applyBorder="1" applyAlignment="1">
      <alignment horizontal="center" vertical="center" wrapText="1"/>
    </xf>
    <xf numFmtId="0" fontId="3" fillId="0" borderId="36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3" fillId="0" borderId="29" xfId="0" applyFont="1" applyBorder="1" applyAlignment="1">
      <alignment horizontal="center" vertical="center" wrapText="1"/>
    </xf>
    <xf numFmtId="0" fontId="3" fillId="0" borderId="30" xfId="0" applyFont="1" applyBorder="1" applyAlignment="1">
      <alignment horizontal="center" vertical="center" wrapText="1"/>
    </xf>
    <xf numFmtId="0" fontId="3" fillId="0" borderId="31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1" fontId="12" fillId="0" borderId="4" xfId="0" applyNumberFormat="1" applyFont="1" applyBorder="1" applyAlignment="1">
      <alignment horizontal="center" vertical="center" shrinkToFit="1"/>
    </xf>
    <xf numFmtId="0" fontId="8" fillId="0" borderId="4" xfId="0" applyFont="1" applyBorder="1" applyAlignment="1">
      <alignment horizontal="center" vertical="center" wrapText="1"/>
    </xf>
    <xf numFmtId="0" fontId="0" fillId="0" borderId="2" xfId="0" applyBorder="1">
      <alignment vertical="center"/>
    </xf>
    <xf numFmtId="49" fontId="0" fillId="0" borderId="2" xfId="0" applyNumberFormat="1" applyBorder="1">
      <alignment vertical="center"/>
    </xf>
    <xf numFmtId="0" fontId="15" fillId="0" borderId="0" xfId="0" applyFont="1" applyAlignment="1">
      <alignment wrapText="1"/>
    </xf>
    <xf numFmtId="49" fontId="3" fillId="0" borderId="36" xfId="0" applyNumberFormat="1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3" fillId="0" borderId="39" xfId="0" applyFont="1" applyBorder="1" applyAlignment="1">
      <alignment horizontal="center" vertical="center" wrapText="1"/>
    </xf>
    <xf numFmtId="0" fontId="3" fillId="0" borderId="40" xfId="0" applyFont="1" applyBorder="1" applyAlignment="1">
      <alignment horizontal="center" vertical="center" wrapText="1"/>
    </xf>
    <xf numFmtId="0" fontId="3" fillId="0" borderId="41" xfId="0" applyFont="1" applyBorder="1" applyAlignment="1">
      <alignment horizontal="center" vertical="center" wrapText="1"/>
    </xf>
    <xf numFmtId="0" fontId="3" fillId="0" borderId="42" xfId="0" applyFont="1" applyBorder="1" applyAlignment="1">
      <alignment horizontal="center" vertical="center" wrapText="1"/>
    </xf>
    <xf numFmtId="49" fontId="14" fillId="0" borderId="36" xfId="0" applyNumberFormat="1" applyFont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center" vertical="center" wrapText="1"/>
    </xf>
    <xf numFmtId="0" fontId="2" fillId="2" borderId="45" xfId="0" applyFont="1" applyFill="1" applyBorder="1" applyAlignment="1">
      <alignment horizontal="center" vertical="center" wrapText="1"/>
    </xf>
    <xf numFmtId="0" fontId="2" fillId="2" borderId="46" xfId="0" applyFont="1" applyFill="1" applyBorder="1" applyAlignment="1">
      <alignment horizontal="center" vertical="center" wrapText="1"/>
    </xf>
    <xf numFmtId="0" fontId="3" fillId="3" borderId="4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 wrapText="1"/>
    </xf>
    <xf numFmtId="49" fontId="3" fillId="6" borderId="2" xfId="0" applyNumberFormat="1" applyFont="1" applyFill="1" applyBorder="1" applyAlignment="1">
      <alignment horizontal="center" vertical="center" wrapText="1"/>
    </xf>
    <xf numFmtId="0" fontId="6" fillId="6" borderId="2" xfId="0" applyFont="1" applyFill="1" applyBorder="1" applyAlignment="1">
      <alignment horizontal="center"/>
    </xf>
    <xf numFmtId="0" fontId="0" fillId="6" borderId="0" xfId="0" applyFill="1">
      <alignment vertical="center"/>
    </xf>
    <xf numFmtId="0" fontId="7" fillId="6" borderId="0" xfId="0" applyFont="1" applyFill="1" applyAlignment="1"/>
    <xf numFmtId="0" fontId="2" fillId="2" borderId="47" xfId="0" applyFont="1" applyFill="1" applyBorder="1" applyAlignment="1">
      <alignment horizontal="center" vertical="center" wrapText="1"/>
    </xf>
    <xf numFmtId="0" fontId="6" fillId="6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16" fillId="2" borderId="47" xfId="0" applyFont="1" applyFill="1" applyBorder="1" applyAlignment="1">
      <alignment horizontal="center" vertical="center" wrapText="1"/>
    </xf>
    <xf numFmtId="176" fontId="6" fillId="0" borderId="0" xfId="0" applyNumberFormat="1" applyFont="1" applyAlignment="1">
      <alignment horizontal="center"/>
    </xf>
    <xf numFmtId="0" fontId="3" fillId="5" borderId="2" xfId="0" applyFont="1" applyFill="1" applyBorder="1" applyAlignment="1">
      <alignment horizontal="center" vertical="center" wrapText="1"/>
    </xf>
    <xf numFmtId="49" fontId="3" fillId="5" borderId="2" xfId="0" applyNumberFormat="1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/>
    </xf>
    <xf numFmtId="0" fontId="6" fillId="5" borderId="0" xfId="0" applyFont="1" applyFill="1" applyAlignment="1">
      <alignment horizontal="center"/>
    </xf>
    <xf numFmtId="0" fontId="0" fillId="5" borderId="0" xfId="0" applyFill="1">
      <alignment vertical="center"/>
    </xf>
    <xf numFmtId="0" fontId="7" fillId="5" borderId="0" xfId="0" applyFont="1" applyFill="1" applyAlignment="1"/>
  </cellXfs>
  <cellStyles count="2">
    <cellStyle name="표준" xfId="0" builtinId="0"/>
    <cellStyle name="표준 2" xfId="1" xr:uid="{C5126504-4F36-9D44-A2A7-A5F91241153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5" Type="http://schemas.openxmlformats.org/officeDocument/2006/relationships/image" Target="../media/image8.png"/><Relationship Id="rId4" Type="http://schemas.openxmlformats.org/officeDocument/2006/relationships/image" Target="../media/image7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57150</xdr:colOff>
      <xdr:row>18</xdr:row>
      <xdr:rowOff>0</xdr:rowOff>
    </xdr:from>
    <xdr:to>
      <xdr:col>20</xdr:col>
      <xdr:colOff>456655</xdr:colOff>
      <xdr:row>20</xdr:row>
      <xdr:rowOff>133281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0E68DEF-0874-9F4C-12D6-75E91A0ABD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25300" y="3352800"/>
          <a:ext cx="4361905" cy="55238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69</xdr:row>
      <xdr:rowOff>0</xdr:rowOff>
    </xdr:from>
    <xdr:to>
      <xdr:col>5</xdr:col>
      <xdr:colOff>980369</xdr:colOff>
      <xdr:row>81</xdr:row>
      <xdr:rowOff>37781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CFFDE353-C086-6FC2-1D91-2146539FF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8600" y="14458950"/>
          <a:ext cx="5647619" cy="255238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168276</xdr:colOff>
      <xdr:row>3</xdr:row>
      <xdr:rowOff>34925</xdr:rowOff>
    </xdr:from>
    <xdr:to>
      <xdr:col>29</xdr:col>
      <xdr:colOff>929568</xdr:colOff>
      <xdr:row>36</xdr:row>
      <xdr:rowOff>207417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F53BCF23-304B-FFFC-F21E-276D53F86A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484726" y="673100"/>
          <a:ext cx="5714292" cy="708764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168276</xdr:colOff>
      <xdr:row>2</xdr:row>
      <xdr:rowOff>0</xdr:rowOff>
    </xdr:from>
    <xdr:to>
      <xdr:col>27</xdr:col>
      <xdr:colOff>929568</xdr:colOff>
      <xdr:row>33</xdr:row>
      <xdr:rowOff>67717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06F6822-1F06-4369-8B6F-54C62936A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484726" y="673100"/>
          <a:ext cx="5714292" cy="7087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6</xdr:col>
      <xdr:colOff>389804</xdr:colOff>
      <xdr:row>14</xdr:row>
      <xdr:rowOff>113945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426208D-7486-8E8A-4A0D-E22BEB0956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4400" y="209550"/>
          <a:ext cx="5771429" cy="283809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15</xdr:row>
      <xdr:rowOff>0</xdr:rowOff>
    </xdr:from>
    <xdr:to>
      <xdr:col>6</xdr:col>
      <xdr:colOff>389804</xdr:colOff>
      <xdr:row>38</xdr:row>
      <xdr:rowOff>104159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1D929057-A27C-E7D9-6C46-C11DF9CFFA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" y="3143250"/>
          <a:ext cx="5771429" cy="492380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39</xdr:row>
      <xdr:rowOff>0</xdr:rowOff>
    </xdr:from>
    <xdr:to>
      <xdr:col>6</xdr:col>
      <xdr:colOff>465994</xdr:colOff>
      <xdr:row>53</xdr:row>
      <xdr:rowOff>94871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4A378EFB-52A7-6DA6-2D0B-D018D74A16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14400" y="8172450"/>
          <a:ext cx="5847619" cy="302857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54</xdr:row>
      <xdr:rowOff>0</xdr:rowOff>
    </xdr:from>
    <xdr:to>
      <xdr:col>6</xdr:col>
      <xdr:colOff>351708</xdr:colOff>
      <xdr:row>65</xdr:row>
      <xdr:rowOff>94950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F7CEC577-7272-7260-29DF-BD087C3FD7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14400" y="11315700"/>
          <a:ext cx="5733333" cy="24000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66</xdr:row>
      <xdr:rowOff>0</xdr:rowOff>
    </xdr:from>
    <xdr:to>
      <xdr:col>6</xdr:col>
      <xdr:colOff>361232</xdr:colOff>
      <xdr:row>85</xdr:row>
      <xdr:rowOff>75693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E794E615-68FA-611D-8E82-8C2804442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14400" y="13830300"/>
          <a:ext cx="5742857" cy="405714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86</xdr:row>
      <xdr:rowOff>0</xdr:rowOff>
    </xdr:from>
    <xdr:to>
      <xdr:col>6</xdr:col>
      <xdr:colOff>323137</xdr:colOff>
      <xdr:row>111</xdr:row>
      <xdr:rowOff>37440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F01A9220-133C-6021-37B7-066CC8A4CD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14400" y="18021300"/>
          <a:ext cx="5704762" cy="527619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112</xdr:row>
      <xdr:rowOff>0</xdr:rowOff>
    </xdr:from>
    <xdr:to>
      <xdr:col>6</xdr:col>
      <xdr:colOff>399327</xdr:colOff>
      <xdr:row>132</xdr:row>
      <xdr:rowOff>28048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C6CEEFC3-AD57-865C-1976-54C3FD2C6D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914400" y="23469600"/>
          <a:ext cx="5780952" cy="421904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7</xdr:col>
      <xdr:colOff>199333</xdr:colOff>
      <xdr:row>32</xdr:row>
      <xdr:rowOff>94362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CD4AF301-992B-973D-D67A-58CEF8C332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533333" cy="7104762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이철" id="{D2E08C04-EE4B-4942-9E86-8424343DD1BF}" userId="S::formathead@knou.ac.kr::5b71c36e-96c5-4ce9-a6f6-3772b39163d9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2" dT="2024-10-25T09:07:22.92" personId="{D2E08C04-EE4B-4942-9E86-8424343DD1BF}" id="{F512886E-9FF3-4D51-9173-978DDCCDD484}">
    <text xml:space="preserve">Sunny (SU-U0150150)의 경우 15-150 x10이기 때문에 100- 1000까지 사용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1A3BB-5475-EC49-9D9F-17B4E3E33BE8}">
  <dimension ref="B1:S119"/>
  <sheetViews>
    <sheetView zoomScaleNormal="100" workbookViewId="0">
      <pane xSplit="3" ySplit="2" topLeftCell="D42" activePane="bottomRight" state="frozen"/>
      <selection pane="topRight" activeCell="I1" sqref="I1"/>
      <selection pane="bottomLeft" activeCell="A3" sqref="A3"/>
      <selection pane="bottomRight" activeCell="D108" sqref="D108"/>
    </sheetView>
  </sheetViews>
  <sheetFormatPr defaultColWidth="11.5546875" defaultRowHeight="16.5" customHeight="1"/>
  <cols>
    <col min="1" max="1" width="2.6640625" customWidth="1"/>
    <col min="2" max="2" width="14.5546875" customWidth="1"/>
    <col min="3" max="3" width="16.6640625" customWidth="1"/>
    <col min="4" max="4" width="11.5546875" customWidth="1"/>
    <col min="8" max="8" width="10.6640625" style="6"/>
    <col min="10" max="10" width="3.109375" style="9" bestFit="1" customWidth="1"/>
    <col min="11" max="11" width="3.109375" style="9" customWidth="1"/>
    <col min="12" max="12" width="3.6640625" style="10" bestFit="1" customWidth="1"/>
    <col min="13" max="15" width="3.109375" style="9" bestFit="1" customWidth="1"/>
    <col min="16" max="17" width="7" style="9" bestFit="1" customWidth="1"/>
    <col min="19" max="19" width="16.5546875" style="9" bestFit="1" customWidth="1"/>
  </cols>
  <sheetData>
    <row r="1" spans="2:19" ht="16.5" customHeight="1" thickBot="1">
      <c r="C1" s="9" t="s">
        <v>278</v>
      </c>
      <c r="S1" s="9" t="s">
        <v>278</v>
      </c>
    </row>
    <row r="2" spans="2:19" s="2" customFormat="1" ht="16.5" customHeight="1" thickBot="1">
      <c r="B2" s="62" t="s">
        <v>0</v>
      </c>
      <c r="C2" s="58" t="s">
        <v>7</v>
      </c>
      <c r="D2" s="57" t="s">
        <v>29</v>
      </c>
      <c r="E2" s="57" t="s">
        <v>34</v>
      </c>
      <c r="F2" s="57" t="s">
        <v>35</v>
      </c>
      <c r="G2" s="57" t="s">
        <v>36</v>
      </c>
      <c r="H2" s="57" t="s">
        <v>37</v>
      </c>
      <c r="I2" s="57" t="s">
        <v>38</v>
      </c>
      <c r="J2" s="59" t="s">
        <v>32</v>
      </c>
      <c r="K2" s="59" t="s">
        <v>33</v>
      </c>
      <c r="L2" s="59" t="s">
        <v>34</v>
      </c>
      <c r="M2" s="59" t="s">
        <v>35</v>
      </c>
      <c r="N2" s="59" t="s">
        <v>36</v>
      </c>
      <c r="O2" s="59" t="s">
        <v>37</v>
      </c>
      <c r="P2" s="59" t="s">
        <v>39</v>
      </c>
      <c r="Q2" s="60" t="s">
        <v>40</v>
      </c>
      <c r="S2" s="72" t="s">
        <v>180</v>
      </c>
    </row>
    <row r="3" spans="2:19" s="2" customFormat="1" ht="16.5" customHeight="1">
      <c r="B3" s="63" t="s">
        <v>76</v>
      </c>
      <c r="C3" s="25" t="str">
        <f t="shared" ref="C3:C41" si="0">"FF01"&amp;E3&amp;""&amp;F3&amp;G3&amp;H3&amp;I3</f>
        <v>FF01000F000010</v>
      </c>
      <c r="D3" s="24" t="s">
        <v>24</v>
      </c>
      <c r="E3" s="24" t="s">
        <v>16</v>
      </c>
      <c r="F3" s="24" t="s">
        <v>78</v>
      </c>
      <c r="G3" s="24" t="s">
        <v>16</v>
      </c>
      <c r="H3" s="24" t="s">
        <v>16</v>
      </c>
      <c r="I3" s="22" t="str">
        <f>Q3</f>
        <v>10</v>
      </c>
      <c r="J3" s="26" t="s">
        <v>9</v>
      </c>
      <c r="K3" s="27">
        <f t="shared" ref="K3:K41" si="1">HEX2DEC(D3)</f>
        <v>1</v>
      </c>
      <c r="L3" s="27">
        <f t="shared" ref="L3:L41" si="2">HEX2DEC(E3)</f>
        <v>0</v>
      </c>
      <c r="M3" s="27">
        <f t="shared" ref="M3:M41" si="3">HEX2DEC(F3)</f>
        <v>15</v>
      </c>
      <c r="N3" s="27">
        <f t="shared" ref="N3:N41" si="4">HEX2DEC(G3)</f>
        <v>0</v>
      </c>
      <c r="O3" s="27">
        <f t="shared" ref="O3:O41" si="5">HEX2DEC(H3)</f>
        <v>0</v>
      </c>
      <c r="P3" s="27">
        <f t="shared" ref="P3:P5" si="6">SUM(K3:O3)</f>
        <v>16</v>
      </c>
      <c r="Q3" s="28" t="str">
        <f>REPT("0",2-LEN(RIGHT(DEC2HEX(P3), 2)))&amp;RIGHT(DEC2HEX(P3), 2)</f>
        <v>10</v>
      </c>
      <c r="S3" s="72" t="s">
        <v>843</v>
      </c>
    </row>
    <row r="4" spans="2:19" s="2" customFormat="1" ht="16.5" customHeight="1">
      <c r="B4" s="64" t="s">
        <v>77</v>
      </c>
      <c r="C4" s="12" t="str">
        <f t="shared" si="0"/>
        <v>FF01002900002A</v>
      </c>
      <c r="D4" s="5" t="s">
        <v>24</v>
      </c>
      <c r="E4" s="5" t="s">
        <v>16</v>
      </c>
      <c r="F4" s="5" t="s">
        <v>79</v>
      </c>
      <c r="G4" s="5" t="s">
        <v>16</v>
      </c>
      <c r="H4" s="5" t="s">
        <v>16</v>
      </c>
      <c r="I4" s="3" t="str">
        <f>Q4</f>
        <v>2A</v>
      </c>
      <c r="J4" s="14" t="s">
        <v>9</v>
      </c>
      <c r="K4" s="15">
        <f t="shared" si="1"/>
        <v>1</v>
      </c>
      <c r="L4" s="15">
        <f t="shared" si="2"/>
        <v>0</v>
      </c>
      <c r="M4" s="15">
        <f t="shared" si="3"/>
        <v>41</v>
      </c>
      <c r="N4" s="15">
        <f t="shared" si="4"/>
        <v>0</v>
      </c>
      <c r="O4" s="15">
        <f t="shared" si="5"/>
        <v>0</v>
      </c>
      <c r="P4" s="15">
        <f t="shared" si="6"/>
        <v>42</v>
      </c>
      <c r="Q4" s="30" t="str">
        <f>REPT("0",2-LEN(RIGHT(DEC2HEX(P4), 2)))&amp;RIGHT(DEC2HEX(P4), 2)</f>
        <v>2A</v>
      </c>
      <c r="S4" s="72" t="s">
        <v>182</v>
      </c>
    </row>
    <row r="5" spans="2:19" s="2" customFormat="1" ht="16.5" customHeight="1" thickBot="1">
      <c r="B5" s="66" t="s">
        <v>64</v>
      </c>
      <c r="C5" s="19" t="str">
        <f t="shared" si="0"/>
        <v>FF010000000000</v>
      </c>
      <c r="D5" s="18" t="s">
        <v>16</v>
      </c>
      <c r="E5" s="18" t="s">
        <v>16</v>
      </c>
      <c r="F5" s="18" t="s">
        <v>16</v>
      </c>
      <c r="G5" s="18" t="s">
        <v>16</v>
      </c>
      <c r="H5" s="18" t="s">
        <v>16</v>
      </c>
      <c r="I5" s="18" t="s">
        <v>16</v>
      </c>
      <c r="J5" s="20" t="s">
        <v>9</v>
      </c>
      <c r="K5" s="21">
        <f t="shared" si="1"/>
        <v>0</v>
      </c>
      <c r="L5" s="21">
        <f t="shared" si="2"/>
        <v>0</v>
      </c>
      <c r="M5" s="21">
        <f t="shared" si="3"/>
        <v>0</v>
      </c>
      <c r="N5" s="21">
        <f t="shared" si="4"/>
        <v>0</v>
      </c>
      <c r="O5" s="21">
        <f t="shared" si="5"/>
        <v>0</v>
      </c>
      <c r="P5" s="21">
        <f t="shared" si="6"/>
        <v>0</v>
      </c>
      <c r="Q5" s="61" t="str">
        <f>REPT("0",2-LEN(RIGHT(DEC2HEX(P5), 2)))&amp;RIGHT(DEC2HEX(P5), 2)</f>
        <v>00</v>
      </c>
      <c r="S5" s="72" t="s">
        <v>183</v>
      </c>
    </row>
    <row r="6" spans="2:19" s="2" customFormat="1" ht="16.5" customHeight="1">
      <c r="B6" s="70" t="s">
        <v>73</v>
      </c>
      <c r="C6" s="112" t="str">
        <f t="shared" si="0"/>
        <v>FF010055000056</v>
      </c>
      <c r="D6" s="68" t="s">
        <v>24</v>
      </c>
      <c r="E6" s="68" t="s">
        <v>16</v>
      </c>
      <c r="F6" s="68" t="s">
        <v>74</v>
      </c>
      <c r="G6" s="68" t="s">
        <v>16</v>
      </c>
      <c r="H6" s="68" t="s">
        <v>16</v>
      </c>
      <c r="I6" s="26" t="str">
        <f t="shared" ref="I6" si="7">Q6</f>
        <v>56</v>
      </c>
      <c r="J6" s="26" t="s">
        <v>9</v>
      </c>
      <c r="K6" s="27">
        <f t="shared" si="1"/>
        <v>1</v>
      </c>
      <c r="L6" s="27">
        <f t="shared" si="2"/>
        <v>0</v>
      </c>
      <c r="M6" s="27">
        <f t="shared" si="3"/>
        <v>85</v>
      </c>
      <c r="N6" s="27">
        <f t="shared" si="4"/>
        <v>0</v>
      </c>
      <c r="O6" s="27">
        <f t="shared" si="5"/>
        <v>0</v>
      </c>
      <c r="P6" s="27">
        <f t="shared" ref="P6" si="8">SUM(K6:O6)</f>
        <v>86</v>
      </c>
      <c r="Q6" s="28" t="str">
        <f t="shared" ref="Q6" si="9">REPT("0",2-LEN(RIGHT(DEC2HEX(P6), 2)))&amp;RIGHT(DEC2HEX(P6), 2)</f>
        <v>56</v>
      </c>
      <c r="S6" s="72" t="s">
        <v>188</v>
      </c>
    </row>
    <row r="7" spans="2:19" s="2" customFormat="1" ht="16.5" customHeight="1">
      <c r="B7" s="102" t="s">
        <v>65</v>
      </c>
      <c r="C7" s="113" t="str">
        <f>"FF01"&amp;E7&amp;""&amp;F7&amp;G7&amp;H7&amp;I7</f>
        <v>FF010025000026</v>
      </c>
      <c r="D7" s="67" t="s">
        <v>24</v>
      </c>
      <c r="E7" s="67" t="s">
        <v>16</v>
      </c>
      <c r="F7" s="67" t="s">
        <v>51</v>
      </c>
      <c r="G7" s="67" t="s">
        <v>16</v>
      </c>
      <c r="H7" s="67" t="s">
        <v>16</v>
      </c>
      <c r="I7" s="14" t="str">
        <f t="shared" ref="I7:I9" si="10">Q7</f>
        <v>26</v>
      </c>
      <c r="J7" s="14" t="s">
        <v>9</v>
      </c>
      <c r="K7" s="15">
        <f t="shared" si="1"/>
        <v>1</v>
      </c>
      <c r="L7" s="15">
        <f t="shared" si="2"/>
        <v>0</v>
      </c>
      <c r="M7" s="15">
        <f t="shared" si="3"/>
        <v>37</v>
      </c>
      <c r="N7" s="15">
        <f t="shared" si="4"/>
        <v>0</v>
      </c>
      <c r="O7" s="15">
        <f t="shared" si="5"/>
        <v>0</v>
      </c>
      <c r="P7" s="15">
        <f t="shared" ref="P7" si="11">SUM(K7:O7)</f>
        <v>38</v>
      </c>
      <c r="Q7" s="30" t="str">
        <f t="shared" ref="Q7" si="12">REPT("0",2-LEN(RIGHT(DEC2HEX(P7), 2)))&amp;RIGHT(DEC2HEX(P7), 2)</f>
        <v>26</v>
      </c>
      <c r="S7" s="72" t="s">
        <v>184</v>
      </c>
    </row>
    <row r="8" spans="2:19" s="2" customFormat="1" ht="16.5" customHeight="1">
      <c r="B8" s="102" t="s">
        <v>66</v>
      </c>
      <c r="C8" s="113" t="str">
        <f t="shared" si="0"/>
        <v>FF01002500042A</v>
      </c>
      <c r="D8" s="67" t="s">
        <v>24</v>
      </c>
      <c r="E8" s="67" t="s">
        <v>16</v>
      </c>
      <c r="F8" s="67" t="s">
        <v>51</v>
      </c>
      <c r="G8" s="67" t="s">
        <v>16</v>
      </c>
      <c r="H8" s="67" t="s">
        <v>67</v>
      </c>
      <c r="I8" s="14" t="str">
        <f t="shared" si="10"/>
        <v>2A</v>
      </c>
      <c r="J8" s="14" t="s">
        <v>9</v>
      </c>
      <c r="K8" s="15">
        <f t="shared" si="1"/>
        <v>1</v>
      </c>
      <c r="L8" s="15">
        <f t="shared" si="2"/>
        <v>0</v>
      </c>
      <c r="M8" s="15">
        <f t="shared" si="3"/>
        <v>37</v>
      </c>
      <c r="N8" s="15">
        <f t="shared" si="4"/>
        <v>0</v>
      </c>
      <c r="O8" s="15">
        <f t="shared" si="5"/>
        <v>4</v>
      </c>
      <c r="P8" s="15">
        <f t="shared" ref="P8" si="13">SUM(K8:O8)</f>
        <v>42</v>
      </c>
      <c r="Q8" s="30" t="str">
        <f t="shared" ref="Q8" si="14">REPT("0",2-LEN(RIGHT(DEC2HEX(P8), 2)))&amp;RIGHT(DEC2HEX(P8), 2)</f>
        <v>2A</v>
      </c>
      <c r="S8" s="72" t="s">
        <v>185</v>
      </c>
    </row>
    <row r="9" spans="2:19" s="2" customFormat="1" ht="16.5" customHeight="1">
      <c r="B9" s="102" t="s">
        <v>71</v>
      </c>
      <c r="C9" s="113" t="str">
        <f t="shared" si="0"/>
        <v>FF01004F000050</v>
      </c>
      <c r="D9" s="67" t="s">
        <v>24</v>
      </c>
      <c r="E9" s="67" t="s">
        <v>16</v>
      </c>
      <c r="F9" s="67" t="s">
        <v>70</v>
      </c>
      <c r="G9" s="67" t="s">
        <v>16</v>
      </c>
      <c r="H9" s="67" t="s">
        <v>16</v>
      </c>
      <c r="I9" s="14" t="str">
        <f t="shared" si="10"/>
        <v>50</v>
      </c>
      <c r="J9" s="14" t="s">
        <v>9</v>
      </c>
      <c r="K9" s="15">
        <f t="shared" si="1"/>
        <v>1</v>
      </c>
      <c r="L9" s="15">
        <f t="shared" si="2"/>
        <v>0</v>
      </c>
      <c r="M9" s="15">
        <f t="shared" si="3"/>
        <v>79</v>
      </c>
      <c r="N9" s="15">
        <f t="shared" si="4"/>
        <v>0</v>
      </c>
      <c r="O9" s="15">
        <f t="shared" si="5"/>
        <v>0</v>
      </c>
      <c r="P9" s="15">
        <f t="shared" ref="P9" si="15">SUM(K9:O9)</f>
        <v>80</v>
      </c>
      <c r="Q9" s="30" t="str">
        <f t="shared" ref="Q9" si="16">REPT("0",2-LEN(RIGHT(DEC2HEX(P9), 2)))&amp;RIGHT(DEC2HEX(P9), 2)</f>
        <v>50</v>
      </c>
      <c r="S9" s="72" t="s">
        <v>177</v>
      </c>
    </row>
    <row r="10" spans="2:19" s="2" customFormat="1" ht="16.5" customHeight="1">
      <c r="B10" s="102" t="s">
        <v>72</v>
      </c>
      <c r="C10" s="113" t="str">
        <f t="shared" si="0"/>
        <v>FF01004FFFFF4E</v>
      </c>
      <c r="D10" s="67" t="s">
        <v>24</v>
      </c>
      <c r="E10" s="67" t="s">
        <v>16</v>
      </c>
      <c r="F10" s="67" t="s">
        <v>70</v>
      </c>
      <c r="G10" s="67" t="s">
        <v>9</v>
      </c>
      <c r="H10" s="67" t="s">
        <v>9</v>
      </c>
      <c r="I10" s="14" t="str">
        <f t="shared" ref="I10:I11" si="17">Q10</f>
        <v>4E</v>
      </c>
      <c r="J10" s="14" t="s">
        <v>9</v>
      </c>
      <c r="K10" s="15">
        <f t="shared" si="1"/>
        <v>1</v>
      </c>
      <c r="L10" s="15">
        <f t="shared" si="2"/>
        <v>0</v>
      </c>
      <c r="M10" s="15">
        <f t="shared" si="3"/>
        <v>79</v>
      </c>
      <c r="N10" s="15">
        <f t="shared" si="4"/>
        <v>255</v>
      </c>
      <c r="O10" s="15">
        <f t="shared" si="5"/>
        <v>255</v>
      </c>
      <c r="P10" s="15">
        <f t="shared" ref="P10" si="18">SUM(K10:O10)</f>
        <v>590</v>
      </c>
      <c r="Q10" s="30" t="str">
        <f t="shared" ref="Q10" si="19">REPT("0",2-LEN(RIGHT(DEC2HEX(P10), 2)))&amp;RIGHT(DEC2HEX(P10), 2)</f>
        <v>4E</v>
      </c>
      <c r="S10" s="72" t="s">
        <v>186</v>
      </c>
    </row>
    <row r="11" spans="2:19" s="2" customFormat="1" ht="15.75" customHeight="1" thickBot="1">
      <c r="B11" s="103" t="s">
        <v>175</v>
      </c>
      <c r="C11" s="114" t="str">
        <f t="shared" si="0"/>
        <v>FF01004F2A940E</v>
      </c>
      <c r="D11" s="69" t="s">
        <v>24</v>
      </c>
      <c r="E11" s="69" t="s">
        <v>16</v>
      </c>
      <c r="F11" s="69" t="s">
        <v>70</v>
      </c>
      <c r="G11" s="69" t="s">
        <v>174</v>
      </c>
      <c r="H11" s="69" t="s">
        <v>176</v>
      </c>
      <c r="I11" s="36" t="str">
        <f t="shared" si="17"/>
        <v>0E</v>
      </c>
      <c r="J11" s="36" t="s">
        <v>9</v>
      </c>
      <c r="K11" s="37">
        <f t="shared" si="1"/>
        <v>1</v>
      </c>
      <c r="L11" s="37">
        <f t="shared" si="2"/>
        <v>0</v>
      </c>
      <c r="M11" s="37">
        <f t="shared" si="3"/>
        <v>79</v>
      </c>
      <c r="N11" s="37">
        <f t="shared" si="4"/>
        <v>42</v>
      </c>
      <c r="O11" s="37">
        <f t="shared" si="5"/>
        <v>148</v>
      </c>
      <c r="P11" s="37">
        <f>SUM(K11:O11)</f>
        <v>270</v>
      </c>
      <c r="Q11" s="38" t="str">
        <f>REPT("0",2-LEN(RIGHT(DEC2HEX(P11), 2)))&amp;RIGHT(DEC2HEX(P11), 2)</f>
        <v>0E</v>
      </c>
      <c r="S11" s="72" t="s">
        <v>187</v>
      </c>
    </row>
    <row r="12" spans="2:19" s="2" customFormat="1" ht="16.5" customHeight="1">
      <c r="B12" s="122" t="s">
        <v>75</v>
      </c>
      <c r="C12" s="98" t="str">
        <f t="shared" si="0"/>
        <v>FF010155000057</v>
      </c>
      <c r="D12" s="111" t="s">
        <v>24</v>
      </c>
      <c r="E12" s="111" t="s">
        <v>24</v>
      </c>
      <c r="F12" s="111" t="s">
        <v>74</v>
      </c>
      <c r="G12" s="111" t="s">
        <v>16</v>
      </c>
      <c r="H12" s="111" t="s">
        <v>16</v>
      </c>
      <c r="I12" s="98" t="str">
        <f>Q12</f>
        <v>57</v>
      </c>
      <c r="J12" s="98" t="s">
        <v>9</v>
      </c>
      <c r="K12" s="99">
        <f t="shared" si="1"/>
        <v>1</v>
      </c>
      <c r="L12" s="99">
        <f t="shared" si="2"/>
        <v>1</v>
      </c>
      <c r="M12" s="99">
        <f t="shared" si="3"/>
        <v>85</v>
      </c>
      <c r="N12" s="99">
        <f t="shared" si="4"/>
        <v>0</v>
      </c>
      <c r="O12" s="99">
        <f t="shared" si="5"/>
        <v>0</v>
      </c>
      <c r="P12" s="99">
        <f>SUM(K12:O12)</f>
        <v>87</v>
      </c>
      <c r="Q12" s="100" t="str">
        <f>REPT("0",2-LEN(RIGHT(DEC2HEX(P12), 2)))&amp;RIGHT(DEC2HEX(P12), 2)</f>
        <v>57</v>
      </c>
      <c r="S12" s="72" t="s">
        <v>192</v>
      </c>
    </row>
    <row r="13" spans="2:19" s="2" customFormat="1" ht="16.5" customHeight="1">
      <c r="B13" s="64" t="s">
        <v>68</v>
      </c>
      <c r="C13" s="12" t="str">
        <f t="shared" si="0"/>
        <v>FF010027000028</v>
      </c>
      <c r="D13" s="5" t="s">
        <v>24</v>
      </c>
      <c r="E13" s="5" t="s">
        <v>16</v>
      </c>
      <c r="F13" s="5" t="s">
        <v>60</v>
      </c>
      <c r="G13" s="5" t="s">
        <v>16</v>
      </c>
      <c r="H13" s="5" t="s">
        <v>16</v>
      </c>
      <c r="I13" s="3" t="str">
        <f t="shared" ref="I13:I59" si="20">Q13</f>
        <v>28</v>
      </c>
      <c r="J13" s="14" t="s">
        <v>9</v>
      </c>
      <c r="K13" s="15">
        <f t="shared" si="1"/>
        <v>1</v>
      </c>
      <c r="L13" s="15">
        <f t="shared" si="2"/>
        <v>0</v>
      </c>
      <c r="M13" s="15">
        <f t="shared" si="3"/>
        <v>39</v>
      </c>
      <c r="N13" s="15">
        <f t="shared" si="4"/>
        <v>0</v>
      </c>
      <c r="O13" s="15">
        <f t="shared" si="5"/>
        <v>0</v>
      </c>
      <c r="P13" s="15">
        <f>SUM(K13:O13)</f>
        <v>40</v>
      </c>
      <c r="Q13" s="30" t="str">
        <f>REPT("0",2-LEN(RIGHT(DEC2HEX(P13), 2)))&amp;RIGHT(DEC2HEX(P13), 2)</f>
        <v>28</v>
      </c>
      <c r="S13" s="72" t="s">
        <v>189</v>
      </c>
    </row>
    <row r="14" spans="2:19" s="2" customFormat="1" ht="16.5" customHeight="1">
      <c r="B14" s="64" t="s">
        <v>69</v>
      </c>
      <c r="C14" s="12" t="str">
        <f t="shared" si="0"/>
        <v>FF01002700042C</v>
      </c>
      <c r="D14" s="5" t="s">
        <v>24</v>
      </c>
      <c r="E14" s="5" t="s">
        <v>16</v>
      </c>
      <c r="F14" s="5" t="s">
        <v>60</v>
      </c>
      <c r="G14" s="5" t="s">
        <v>16</v>
      </c>
      <c r="H14" s="5" t="s">
        <v>67</v>
      </c>
      <c r="I14" s="3" t="str">
        <f t="shared" si="20"/>
        <v>2C</v>
      </c>
      <c r="J14" s="14" t="s">
        <v>9</v>
      </c>
      <c r="K14" s="15">
        <f t="shared" si="1"/>
        <v>1</v>
      </c>
      <c r="L14" s="15">
        <f t="shared" si="2"/>
        <v>0</v>
      </c>
      <c r="M14" s="15">
        <f t="shared" si="3"/>
        <v>39</v>
      </c>
      <c r="N14" s="15">
        <f t="shared" si="4"/>
        <v>0</v>
      </c>
      <c r="O14" s="15">
        <f t="shared" si="5"/>
        <v>4</v>
      </c>
      <c r="P14" s="15">
        <f t="shared" ref="P14" si="21">SUM(K14:O14)</f>
        <v>44</v>
      </c>
      <c r="Q14" s="30" t="str">
        <f t="shared" ref="Q14" si="22">REPT("0",2-LEN(RIGHT(DEC2HEX(P14), 2)))&amp;RIGHT(DEC2HEX(P14), 2)</f>
        <v>2C</v>
      </c>
      <c r="S14" s="72" t="s">
        <v>190</v>
      </c>
    </row>
    <row r="15" spans="2:19" s="2" customFormat="1" ht="16.5" customHeight="1">
      <c r="B15" s="64" t="s">
        <v>105</v>
      </c>
      <c r="C15" s="12" t="str">
        <f t="shared" si="0"/>
        <v>FF01014F000051</v>
      </c>
      <c r="D15" s="5" t="s">
        <v>24</v>
      </c>
      <c r="E15" s="5" t="s">
        <v>24</v>
      </c>
      <c r="F15" s="5" t="s">
        <v>70</v>
      </c>
      <c r="G15" s="5" t="s">
        <v>16</v>
      </c>
      <c r="H15" s="5" t="s">
        <v>16</v>
      </c>
      <c r="I15" s="3" t="str">
        <f t="shared" si="20"/>
        <v>51</v>
      </c>
      <c r="J15" s="14" t="s">
        <v>9</v>
      </c>
      <c r="K15" s="15">
        <f t="shared" si="1"/>
        <v>1</v>
      </c>
      <c r="L15" s="15">
        <f t="shared" si="2"/>
        <v>1</v>
      </c>
      <c r="M15" s="15">
        <f t="shared" si="3"/>
        <v>79</v>
      </c>
      <c r="N15" s="15">
        <f t="shared" si="4"/>
        <v>0</v>
      </c>
      <c r="O15" s="15">
        <f t="shared" si="5"/>
        <v>0</v>
      </c>
      <c r="P15" s="15">
        <f>SUM(K15:O15)</f>
        <v>81</v>
      </c>
      <c r="Q15" s="30" t="str">
        <f>REPT("0",2-LEN(RIGHT(DEC2HEX(P15), 2)))&amp;RIGHT(DEC2HEX(P15), 2)</f>
        <v>51</v>
      </c>
      <c r="S15" s="72" t="s">
        <v>191</v>
      </c>
    </row>
    <row r="16" spans="2:19" s="2" customFormat="1" ht="15.75" customHeight="1">
      <c r="B16" s="64" t="s">
        <v>106</v>
      </c>
      <c r="C16" s="12" t="str">
        <f t="shared" si="0"/>
        <v>FF01014FFFFF4F</v>
      </c>
      <c r="D16" s="5" t="s">
        <v>24</v>
      </c>
      <c r="E16" s="5" t="s">
        <v>24</v>
      </c>
      <c r="F16" s="5" t="s">
        <v>70</v>
      </c>
      <c r="G16" s="5" t="s">
        <v>9</v>
      </c>
      <c r="H16" s="5" t="s">
        <v>9</v>
      </c>
      <c r="I16" s="3" t="str">
        <f t="shared" ref="I16" si="23">Q16</f>
        <v>4F</v>
      </c>
      <c r="J16" s="14" t="s">
        <v>9</v>
      </c>
      <c r="K16" s="15">
        <f t="shared" si="1"/>
        <v>1</v>
      </c>
      <c r="L16" s="15">
        <f t="shared" si="2"/>
        <v>1</v>
      </c>
      <c r="M16" s="15">
        <f t="shared" si="3"/>
        <v>79</v>
      </c>
      <c r="N16" s="15">
        <f t="shared" si="4"/>
        <v>255</v>
      </c>
      <c r="O16" s="15">
        <f t="shared" si="5"/>
        <v>255</v>
      </c>
      <c r="P16" s="15">
        <f>SUM(K16:O16)</f>
        <v>591</v>
      </c>
      <c r="Q16" s="30" t="str">
        <f>REPT("0",2-LEN(RIGHT(DEC2HEX(P16), 2)))&amp;RIGHT(DEC2HEX(P16), 2)</f>
        <v>4F</v>
      </c>
      <c r="S16" s="72" t="s">
        <v>178</v>
      </c>
    </row>
    <row r="17" spans="2:19" s="2" customFormat="1" ht="15.75" customHeight="1">
      <c r="B17" s="64" t="s">
        <v>1245</v>
      </c>
      <c r="C17" s="12" t="str">
        <f t="shared" si="0"/>
        <v>FF01014F29CC46</v>
      </c>
      <c r="D17" s="5" t="s">
        <v>24</v>
      </c>
      <c r="E17" s="5" t="s">
        <v>24</v>
      </c>
      <c r="F17" s="5" t="s">
        <v>70</v>
      </c>
      <c r="G17" s="5" t="s">
        <v>79</v>
      </c>
      <c r="H17" s="5" t="s">
        <v>1246</v>
      </c>
      <c r="I17" s="3" t="str">
        <f t="shared" ref="I17" si="24">Q17</f>
        <v>46</v>
      </c>
      <c r="J17" s="14" t="s">
        <v>9</v>
      </c>
      <c r="K17" s="15">
        <f t="shared" si="1"/>
        <v>1</v>
      </c>
      <c r="L17" s="15">
        <f t="shared" si="2"/>
        <v>1</v>
      </c>
      <c r="M17" s="15">
        <f t="shared" si="3"/>
        <v>79</v>
      </c>
      <c r="N17" s="15">
        <f t="shared" si="4"/>
        <v>41</v>
      </c>
      <c r="O17" s="15">
        <f t="shared" si="5"/>
        <v>204</v>
      </c>
      <c r="P17" s="15">
        <f>SUM(K17:O17)</f>
        <v>326</v>
      </c>
      <c r="Q17" s="30" t="str">
        <f>REPT("0",2-LEN(RIGHT(DEC2HEX(P17), 2)))&amp;RIGHT(DEC2HEX(P17), 2)</f>
        <v>46</v>
      </c>
      <c r="S17" s="72" t="s">
        <v>179</v>
      </c>
    </row>
    <row r="18" spans="2:19" s="2" customFormat="1" ht="16.5" customHeight="1">
      <c r="B18" s="64" t="s">
        <v>102</v>
      </c>
      <c r="C18" s="12" t="str">
        <f t="shared" si="0"/>
        <v>FF01002B00002C</v>
      </c>
      <c r="D18" s="5" t="s">
        <v>24</v>
      </c>
      <c r="E18" s="5" t="s">
        <v>16</v>
      </c>
      <c r="F18" s="5" t="s">
        <v>104</v>
      </c>
      <c r="G18" s="5" t="s">
        <v>16</v>
      </c>
      <c r="H18" s="5" t="s">
        <v>16</v>
      </c>
      <c r="I18" s="3" t="str">
        <f t="shared" si="20"/>
        <v>2C</v>
      </c>
      <c r="J18" s="14" t="s">
        <v>9</v>
      </c>
      <c r="K18" s="15">
        <f t="shared" si="1"/>
        <v>1</v>
      </c>
      <c r="L18" s="15">
        <f t="shared" si="2"/>
        <v>0</v>
      </c>
      <c r="M18" s="15">
        <f t="shared" si="3"/>
        <v>43</v>
      </c>
      <c r="N18" s="15">
        <f t="shared" si="4"/>
        <v>0</v>
      </c>
      <c r="O18" s="15">
        <f t="shared" si="5"/>
        <v>0</v>
      </c>
      <c r="P18" s="15">
        <f t="shared" ref="P18" si="25">SUM(K18:O18)</f>
        <v>44</v>
      </c>
      <c r="Q18" s="30" t="str">
        <f t="shared" ref="Q18" si="26">REPT("0",2-LEN(RIGHT(DEC2HEX(P18), 2)))&amp;RIGHT(DEC2HEX(P18), 2)</f>
        <v>2C</v>
      </c>
      <c r="S18" s="72" t="s">
        <v>193</v>
      </c>
    </row>
    <row r="19" spans="2:19" s="2" customFormat="1" ht="16.5" customHeight="1" thickBot="1">
      <c r="B19" s="65" t="s">
        <v>103</v>
      </c>
      <c r="C19" s="35" t="str">
        <f t="shared" si="0"/>
        <v>FF01002B00012D</v>
      </c>
      <c r="D19" s="34" t="s">
        <v>24</v>
      </c>
      <c r="E19" s="34" t="s">
        <v>16</v>
      </c>
      <c r="F19" s="34" t="s">
        <v>104</v>
      </c>
      <c r="G19" s="34" t="s">
        <v>16</v>
      </c>
      <c r="H19" s="34" t="s">
        <v>24</v>
      </c>
      <c r="I19" s="32" t="str">
        <f t="shared" ref="I19:I38" si="27">Q19</f>
        <v>2D</v>
      </c>
      <c r="J19" s="36" t="s">
        <v>9</v>
      </c>
      <c r="K19" s="37">
        <f t="shared" si="1"/>
        <v>1</v>
      </c>
      <c r="L19" s="37">
        <f t="shared" si="2"/>
        <v>0</v>
      </c>
      <c r="M19" s="37">
        <f t="shared" si="3"/>
        <v>43</v>
      </c>
      <c r="N19" s="37">
        <f t="shared" si="4"/>
        <v>0</v>
      </c>
      <c r="O19" s="37">
        <f t="shared" si="5"/>
        <v>1</v>
      </c>
      <c r="P19" s="37">
        <f t="shared" ref="P19:P38" si="28">SUM(K19:O19)</f>
        <v>45</v>
      </c>
      <c r="Q19" s="38" t="str">
        <f t="shared" ref="Q19:Q39" si="29">REPT("0",2-LEN(RIGHT(DEC2HEX(P19), 2)))&amp;RIGHT(DEC2HEX(P19), 2)</f>
        <v>2D</v>
      </c>
      <c r="S19" s="72" t="s">
        <v>194</v>
      </c>
    </row>
    <row r="20" spans="2:19" s="2" customFormat="1" ht="16.5" customHeight="1">
      <c r="B20" s="75" t="s">
        <v>108</v>
      </c>
      <c r="C20" s="14" t="str">
        <f t="shared" si="0"/>
        <v>FF01A1100000B2</v>
      </c>
      <c r="D20" s="67" t="s">
        <v>24</v>
      </c>
      <c r="E20" s="67" t="s">
        <v>80</v>
      </c>
      <c r="F20" s="67" t="s">
        <v>109</v>
      </c>
      <c r="G20" s="67" t="s">
        <v>16</v>
      </c>
      <c r="H20" s="67" t="s">
        <v>16</v>
      </c>
      <c r="I20" s="14" t="str">
        <f>Q20</f>
        <v>B2</v>
      </c>
      <c r="J20" s="14" t="s">
        <v>9</v>
      </c>
      <c r="K20" s="15">
        <f t="shared" si="1"/>
        <v>1</v>
      </c>
      <c r="L20" s="15">
        <f t="shared" si="2"/>
        <v>161</v>
      </c>
      <c r="M20" s="15">
        <f t="shared" si="3"/>
        <v>16</v>
      </c>
      <c r="N20" s="15">
        <f t="shared" si="4"/>
        <v>0</v>
      </c>
      <c r="O20" s="15">
        <f t="shared" si="5"/>
        <v>0</v>
      </c>
      <c r="P20" s="15">
        <f>SUM(K20:O20)</f>
        <v>178</v>
      </c>
      <c r="Q20" s="30" t="str">
        <f>REPT("0",2-LEN(RIGHT(DEC2HEX(P20), 2)))&amp;RIGHT(DEC2HEX(P20), 2)</f>
        <v>B2</v>
      </c>
      <c r="S20" s="72" t="s">
        <v>195</v>
      </c>
    </row>
    <row r="21" spans="2:19" s="2" customFormat="1" ht="16.5" customHeight="1">
      <c r="B21" s="64" t="s">
        <v>117</v>
      </c>
      <c r="C21" s="12" t="str">
        <f t="shared" si="0"/>
        <v>FF01A0110000B2</v>
      </c>
      <c r="D21" s="5" t="s">
        <v>24</v>
      </c>
      <c r="E21" s="5" t="s">
        <v>23</v>
      </c>
      <c r="F21" s="5" t="s">
        <v>110</v>
      </c>
      <c r="G21" s="5" t="s">
        <v>16</v>
      </c>
      <c r="H21" s="5" t="s">
        <v>16</v>
      </c>
      <c r="I21" s="3" t="str">
        <f t="shared" ref="I21:I27" si="30">Q21</f>
        <v>B2</v>
      </c>
      <c r="J21" s="14" t="s">
        <v>9</v>
      </c>
      <c r="K21" s="15">
        <f t="shared" si="1"/>
        <v>1</v>
      </c>
      <c r="L21" s="15">
        <f t="shared" si="2"/>
        <v>160</v>
      </c>
      <c r="M21" s="15">
        <f t="shared" si="3"/>
        <v>17</v>
      </c>
      <c r="N21" s="15">
        <f t="shared" si="4"/>
        <v>0</v>
      </c>
      <c r="O21" s="15">
        <f t="shared" si="5"/>
        <v>0</v>
      </c>
      <c r="P21" s="15">
        <f t="shared" ref="P21:P27" si="31">SUM(K21:O21)</f>
        <v>178</v>
      </c>
      <c r="Q21" s="30" t="str">
        <f t="shared" ref="Q21:Q27" si="32">REPT("0",2-LEN(RIGHT(DEC2HEX(P21), 2)))&amp;RIGHT(DEC2HEX(P21), 2)</f>
        <v>B2</v>
      </c>
      <c r="S21" s="72" t="s">
        <v>196</v>
      </c>
    </row>
    <row r="22" spans="2:19" s="2" customFormat="1" ht="16.5" customHeight="1">
      <c r="B22" s="64" t="s">
        <v>112</v>
      </c>
      <c r="C22" s="12" t="str">
        <f t="shared" si="0"/>
        <v>FF01A0120000B3</v>
      </c>
      <c r="D22" s="5" t="s">
        <v>24</v>
      </c>
      <c r="E22" s="5" t="s">
        <v>23</v>
      </c>
      <c r="F22" s="5" t="s">
        <v>111</v>
      </c>
      <c r="G22" s="5" t="s">
        <v>16</v>
      </c>
      <c r="H22" s="5" t="s">
        <v>16</v>
      </c>
      <c r="I22" s="3" t="str">
        <f t="shared" si="30"/>
        <v>B3</v>
      </c>
      <c r="J22" s="14" t="s">
        <v>9</v>
      </c>
      <c r="K22" s="15">
        <f t="shared" si="1"/>
        <v>1</v>
      </c>
      <c r="L22" s="15">
        <f t="shared" si="2"/>
        <v>160</v>
      </c>
      <c r="M22" s="15">
        <f t="shared" si="3"/>
        <v>18</v>
      </c>
      <c r="N22" s="15">
        <f t="shared" si="4"/>
        <v>0</v>
      </c>
      <c r="O22" s="15">
        <f t="shared" si="5"/>
        <v>0</v>
      </c>
      <c r="P22" s="15">
        <f t="shared" si="31"/>
        <v>179</v>
      </c>
      <c r="Q22" s="30" t="str">
        <f t="shared" si="32"/>
        <v>B3</v>
      </c>
      <c r="S22" s="72" t="s">
        <v>197</v>
      </c>
    </row>
    <row r="23" spans="2:19" s="2" customFormat="1" ht="16.5" customHeight="1">
      <c r="B23" s="64" t="s">
        <v>113</v>
      </c>
      <c r="C23" s="12" t="str">
        <f t="shared" si="0"/>
        <v>FF01A0120004B7</v>
      </c>
      <c r="D23" s="5" t="s">
        <v>24</v>
      </c>
      <c r="E23" s="5" t="s">
        <v>23</v>
      </c>
      <c r="F23" s="5" t="s">
        <v>111</v>
      </c>
      <c r="G23" s="5" t="s">
        <v>16</v>
      </c>
      <c r="H23" s="5" t="s">
        <v>67</v>
      </c>
      <c r="I23" s="3" t="str">
        <f t="shared" si="30"/>
        <v>B7</v>
      </c>
      <c r="J23" s="14" t="s">
        <v>9</v>
      </c>
      <c r="K23" s="15">
        <f t="shared" si="1"/>
        <v>1</v>
      </c>
      <c r="L23" s="15">
        <f t="shared" si="2"/>
        <v>160</v>
      </c>
      <c r="M23" s="15">
        <f t="shared" si="3"/>
        <v>18</v>
      </c>
      <c r="N23" s="15">
        <f t="shared" si="4"/>
        <v>0</v>
      </c>
      <c r="O23" s="15">
        <f t="shared" si="5"/>
        <v>4</v>
      </c>
      <c r="P23" s="15">
        <f t="shared" si="31"/>
        <v>183</v>
      </c>
      <c r="Q23" s="30" t="str">
        <f t="shared" si="32"/>
        <v>B7</v>
      </c>
      <c r="S23" s="72" t="s">
        <v>198</v>
      </c>
    </row>
    <row r="24" spans="2:19" s="2" customFormat="1" ht="16.5" customHeight="1">
      <c r="B24" s="64" t="s">
        <v>114</v>
      </c>
      <c r="C24" s="12" t="str">
        <f t="shared" si="0"/>
        <v>FF01A0130000B4</v>
      </c>
      <c r="D24" s="5" t="s">
        <v>24</v>
      </c>
      <c r="E24" s="5" t="s">
        <v>23</v>
      </c>
      <c r="F24" s="5" t="s">
        <v>116</v>
      </c>
      <c r="G24" s="5" t="s">
        <v>16</v>
      </c>
      <c r="H24" s="5" t="s">
        <v>16</v>
      </c>
      <c r="I24" s="3" t="str">
        <f t="shared" si="30"/>
        <v>B4</v>
      </c>
      <c r="J24" s="14" t="s">
        <v>9</v>
      </c>
      <c r="K24" s="15">
        <f t="shared" si="1"/>
        <v>1</v>
      </c>
      <c r="L24" s="15">
        <f t="shared" si="2"/>
        <v>160</v>
      </c>
      <c r="M24" s="15">
        <f t="shared" si="3"/>
        <v>19</v>
      </c>
      <c r="N24" s="15">
        <f t="shared" si="4"/>
        <v>0</v>
      </c>
      <c r="O24" s="15">
        <f t="shared" si="5"/>
        <v>0</v>
      </c>
      <c r="P24" s="15">
        <f t="shared" si="31"/>
        <v>180</v>
      </c>
      <c r="Q24" s="30" t="str">
        <f t="shared" si="32"/>
        <v>B4</v>
      </c>
      <c r="S24" s="72" t="s">
        <v>199</v>
      </c>
    </row>
    <row r="25" spans="2:19" s="2" customFormat="1" ht="16.5" customHeight="1">
      <c r="B25" s="64" t="s">
        <v>115</v>
      </c>
      <c r="C25" s="12" t="str">
        <f t="shared" si="0"/>
        <v>FF01A0130004B8</v>
      </c>
      <c r="D25" s="5" t="s">
        <v>24</v>
      </c>
      <c r="E25" s="5" t="s">
        <v>23</v>
      </c>
      <c r="F25" s="5" t="s">
        <v>116</v>
      </c>
      <c r="G25" s="5" t="s">
        <v>16</v>
      </c>
      <c r="H25" s="5" t="s">
        <v>67</v>
      </c>
      <c r="I25" s="3" t="str">
        <f t="shared" si="30"/>
        <v>B8</v>
      </c>
      <c r="J25" s="14" t="s">
        <v>9</v>
      </c>
      <c r="K25" s="15">
        <f t="shared" si="1"/>
        <v>1</v>
      </c>
      <c r="L25" s="15">
        <f t="shared" si="2"/>
        <v>160</v>
      </c>
      <c r="M25" s="15">
        <f t="shared" si="3"/>
        <v>19</v>
      </c>
      <c r="N25" s="15">
        <f t="shared" si="4"/>
        <v>0</v>
      </c>
      <c r="O25" s="15">
        <f t="shared" si="5"/>
        <v>4</v>
      </c>
      <c r="P25" s="15">
        <f t="shared" si="31"/>
        <v>184</v>
      </c>
      <c r="Q25" s="30" t="str">
        <f t="shared" si="32"/>
        <v>B8</v>
      </c>
      <c r="S25" s="72" t="s">
        <v>200</v>
      </c>
    </row>
    <row r="26" spans="2:19" s="2" customFormat="1" ht="16.5" customHeight="1">
      <c r="B26" s="64" t="s">
        <v>118</v>
      </c>
      <c r="C26" s="12" t="str">
        <f t="shared" si="0"/>
        <v>FF01A0140000B5</v>
      </c>
      <c r="D26" s="5" t="s">
        <v>24</v>
      </c>
      <c r="E26" s="5" t="s">
        <v>23</v>
      </c>
      <c r="F26" s="5" t="s">
        <v>62</v>
      </c>
      <c r="G26" s="5" t="s">
        <v>16</v>
      </c>
      <c r="H26" s="5" t="s">
        <v>16</v>
      </c>
      <c r="I26" s="3" t="str">
        <f t="shared" si="30"/>
        <v>B5</v>
      </c>
      <c r="J26" s="14" t="s">
        <v>9</v>
      </c>
      <c r="K26" s="15">
        <f t="shared" si="1"/>
        <v>1</v>
      </c>
      <c r="L26" s="15">
        <f t="shared" si="2"/>
        <v>160</v>
      </c>
      <c r="M26" s="15">
        <f t="shared" si="3"/>
        <v>20</v>
      </c>
      <c r="N26" s="15">
        <f t="shared" si="4"/>
        <v>0</v>
      </c>
      <c r="O26" s="15">
        <f t="shared" si="5"/>
        <v>0</v>
      </c>
      <c r="P26" s="15">
        <f t="shared" si="31"/>
        <v>181</v>
      </c>
      <c r="Q26" s="30" t="str">
        <f t="shared" si="32"/>
        <v>B5</v>
      </c>
      <c r="S26" s="72" t="s">
        <v>201</v>
      </c>
    </row>
    <row r="27" spans="2:19" s="2" customFormat="1" ht="16.5" customHeight="1">
      <c r="B27" s="64" t="s">
        <v>119</v>
      </c>
      <c r="C27" s="12" t="str">
        <f t="shared" si="0"/>
        <v>FF01A0140001B6</v>
      </c>
      <c r="D27" s="5" t="s">
        <v>24</v>
      </c>
      <c r="E27" s="5" t="s">
        <v>23</v>
      </c>
      <c r="F27" s="5" t="s">
        <v>62</v>
      </c>
      <c r="G27" s="5" t="s">
        <v>16</v>
      </c>
      <c r="H27" s="5" t="s">
        <v>24</v>
      </c>
      <c r="I27" s="3" t="str">
        <f t="shared" si="30"/>
        <v>B6</v>
      </c>
      <c r="J27" s="14" t="s">
        <v>9</v>
      </c>
      <c r="K27" s="15">
        <f t="shared" si="1"/>
        <v>1</v>
      </c>
      <c r="L27" s="15">
        <f t="shared" si="2"/>
        <v>160</v>
      </c>
      <c r="M27" s="15">
        <f t="shared" si="3"/>
        <v>20</v>
      </c>
      <c r="N27" s="15">
        <f t="shared" si="4"/>
        <v>0</v>
      </c>
      <c r="O27" s="15">
        <f t="shared" si="5"/>
        <v>1</v>
      </c>
      <c r="P27" s="15">
        <f t="shared" si="31"/>
        <v>182</v>
      </c>
      <c r="Q27" s="30" t="str">
        <f t="shared" si="32"/>
        <v>B6</v>
      </c>
      <c r="S27" s="72" t="s">
        <v>202</v>
      </c>
    </row>
    <row r="28" spans="2:19" s="2" customFormat="1" ht="16.5" customHeight="1">
      <c r="B28" s="64" t="s">
        <v>120</v>
      </c>
      <c r="C28" s="12" t="str">
        <f t="shared" si="0"/>
        <v>FF01A0140002B7</v>
      </c>
      <c r="D28" s="5" t="s">
        <v>24</v>
      </c>
      <c r="E28" s="5" t="s">
        <v>23</v>
      </c>
      <c r="F28" s="5" t="s">
        <v>62</v>
      </c>
      <c r="G28" s="5" t="s">
        <v>16</v>
      </c>
      <c r="H28" s="5" t="s">
        <v>17</v>
      </c>
      <c r="I28" s="3" t="str">
        <f t="shared" si="27"/>
        <v>B7</v>
      </c>
      <c r="J28" s="14" t="s">
        <v>9</v>
      </c>
      <c r="K28" s="15">
        <f t="shared" si="1"/>
        <v>1</v>
      </c>
      <c r="L28" s="15">
        <f t="shared" si="2"/>
        <v>160</v>
      </c>
      <c r="M28" s="15">
        <f t="shared" si="3"/>
        <v>20</v>
      </c>
      <c r="N28" s="15">
        <f t="shared" si="4"/>
        <v>0</v>
      </c>
      <c r="O28" s="15">
        <f t="shared" si="5"/>
        <v>2</v>
      </c>
      <c r="P28" s="15">
        <f t="shared" si="28"/>
        <v>183</v>
      </c>
      <c r="Q28" s="30" t="str">
        <f t="shared" si="29"/>
        <v>B7</v>
      </c>
      <c r="S28" s="72" t="s">
        <v>203</v>
      </c>
    </row>
    <row r="29" spans="2:19" s="2" customFormat="1" ht="16.5" customHeight="1">
      <c r="B29" s="64" t="s">
        <v>121</v>
      </c>
      <c r="C29" s="12" t="str">
        <f t="shared" si="0"/>
        <v>FF01A0150001B7</v>
      </c>
      <c r="D29" s="5" t="s">
        <v>24</v>
      </c>
      <c r="E29" s="5" t="s">
        <v>23</v>
      </c>
      <c r="F29" s="5" t="s">
        <v>123</v>
      </c>
      <c r="G29" s="5" t="s">
        <v>16</v>
      </c>
      <c r="H29" s="5" t="s">
        <v>24</v>
      </c>
      <c r="I29" s="3" t="str">
        <f t="shared" si="27"/>
        <v>B7</v>
      </c>
      <c r="J29" s="14" t="s">
        <v>9</v>
      </c>
      <c r="K29" s="15">
        <f t="shared" si="1"/>
        <v>1</v>
      </c>
      <c r="L29" s="15">
        <f t="shared" si="2"/>
        <v>160</v>
      </c>
      <c r="M29" s="15">
        <f t="shared" si="3"/>
        <v>21</v>
      </c>
      <c r="N29" s="15">
        <f t="shared" si="4"/>
        <v>0</v>
      </c>
      <c r="O29" s="15">
        <f t="shared" si="5"/>
        <v>1</v>
      </c>
      <c r="P29" s="15">
        <f t="shared" si="28"/>
        <v>183</v>
      </c>
      <c r="Q29" s="30" t="str">
        <f t="shared" si="29"/>
        <v>B7</v>
      </c>
      <c r="S29" s="72" t="s">
        <v>204</v>
      </c>
    </row>
    <row r="30" spans="2:19" s="2" customFormat="1" ht="16.5" customHeight="1">
      <c r="B30" s="64" t="s">
        <v>1256</v>
      </c>
      <c r="C30" s="12" t="str">
        <f t="shared" ref="C30" si="33">"FF01"&amp;E30&amp;""&amp;F30&amp;G30&amp;H30&amp;I30</f>
        <v>FF01A015001ED4</v>
      </c>
      <c r="D30" s="5" t="s">
        <v>24</v>
      </c>
      <c r="E30" s="5" t="s">
        <v>23</v>
      </c>
      <c r="F30" s="5" t="s">
        <v>123</v>
      </c>
      <c r="G30" s="5" t="s">
        <v>16</v>
      </c>
      <c r="H30" s="5" t="s">
        <v>63</v>
      </c>
      <c r="I30" s="3" t="str">
        <f t="shared" ref="I30" si="34">Q30</f>
        <v>D4</v>
      </c>
      <c r="J30" s="14" t="s">
        <v>9</v>
      </c>
      <c r="K30" s="15">
        <f t="shared" ref="K30" si="35">HEX2DEC(D30)</f>
        <v>1</v>
      </c>
      <c r="L30" s="15">
        <f t="shared" ref="L30" si="36">HEX2DEC(E30)</f>
        <v>160</v>
      </c>
      <c r="M30" s="15">
        <f t="shared" ref="M30" si="37">HEX2DEC(F30)</f>
        <v>21</v>
      </c>
      <c r="N30" s="15">
        <f t="shared" ref="N30" si="38">HEX2DEC(G30)</f>
        <v>0</v>
      </c>
      <c r="O30" s="15">
        <f t="shared" ref="O30" si="39">HEX2DEC(H30)</f>
        <v>30</v>
      </c>
      <c r="P30" s="15">
        <f t="shared" ref="P30" si="40">SUM(K30:O30)</f>
        <v>212</v>
      </c>
      <c r="Q30" s="30" t="str">
        <f t="shared" ref="Q30" si="41">REPT("0",2-LEN(RIGHT(DEC2HEX(P30), 2)))&amp;RIGHT(DEC2HEX(P30), 2)</f>
        <v>D4</v>
      </c>
      <c r="S30" s="72" t="s">
        <v>204</v>
      </c>
    </row>
    <row r="31" spans="2:19" s="2" customFormat="1" ht="16.5" customHeight="1">
      <c r="B31" s="64" t="s">
        <v>122</v>
      </c>
      <c r="C31" s="12" t="str">
        <f t="shared" si="0"/>
        <v>FF01A01500B46A</v>
      </c>
      <c r="D31" s="5" t="s">
        <v>24</v>
      </c>
      <c r="E31" s="5" t="s">
        <v>23</v>
      </c>
      <c r="F31" s="5" t="s">
        <v>123</v>
      </c>
      <c r="G31" s="5" t="s">
        <v>16</v>
      </c>
      <c r="H31" s="5" t="s">
        <v>124</v>
      </c>
      <c r="I31" s="3" t="str">
        <f t="shared" ref="I31:I32" si="42">Q31</f>
        <v>6A</v>
      </c>
      <c r="J31" s="14" t="s">
        <v>9</v>
      </c>
      <c r="K31" s="15">
        <f t="shared" si="1"/>
        <v>1</v>
      </c>
      <c r="L31" s="15">
        <f t="shared" si="2"/>
        <v>160</v>
      </c>
      <c r="M31" s="15">
        <f t="shared" si="3"/>
        <v>21</v>
      </c>
      <c r="N31" s="15">
        <f t="shared" si="4"/>
        <v>0</v>
      </c>
      <c r="O31" s="15">
        <f t="shared" si="5"/>
        <v>180</v>
      </c>
      <c r="P31" s="15">
        <f t="shared" ref="P31:P32" si="43">SUM(K31:O31)</f>
        <v>362</v>
      </c>
      <c r="Q31" s="30" t="str">
        <f t="shared" ref="Q31:Q32" si="44">REPT("0",2-LEN(RIGHT(DEC2HEX(P31), 2)))&amp;RIGHT(DEC2HEX(P31), 2)</f>
        <v>6A</v>
      </c>
      <c r="S31" s="72" t="s">
        <v>205</v>
      </c>
    </row>
    <row r="32" spans="2:19" s="2" customFormat="1" ht="15.75" customHeight="1">
      <c r="B32" s="64" t="s">
        <v>125</v>
      </c>
      <c r="C32" s="12" t="str">
        <f t="shared" si="0"/>
        <v>FF01A01600641B</v>
      </c>
      <c r="D32" s="5" t="s">
        <v>24</v>
      </c>
      <c r="E32" s="5" t="s">
        <v>23</v>
      </c>
      <c r="F32" s="5" t="s">
        <v>127</v>
      </c>
      <c r="G32" s="5" t="s">
        <v>16</v>
      </c>
      <c r="H32" s="5" t="s">
        <v>128</v>
      </c>
      <c r="I32" s="3" t="str">
        <f t="shared" si="42"/>
        <v>1B</v>
      </c>
      <c r="J32" s="14" t="s">
        <v>9</v>
      </c>
      <c r="K32" s="15">
        <f t="shared" si="1"/>
        <v>1</v>
      </c>
      <c r="L32" s="15">
        <f t="shared" si="2"/>
        <v>160</v>
      </c>
      <c r="M32" s="15">
        <f t="shared" si="3"/>
        <v>22</v>
      </c>
      <c r="N32" s="15">
        <f t="shared" si="4"/>
        <v>0</v>
      </c>
      <c r="O32" s="15">
        <f t="shared" si="5"/>
        <v>100</v>
      </c>
      <c r="P32" s="15">
        <f t="shared" si="43"/>
        <v>283</v>
      </c>
      <c r="Q32" s="30" t="str">
        <f t="shared" si="44"/>
        <v>1B</v>
      </c>
      <c r="S32" s="72" t="s">
        <v>206</v>
      </c>
    </row>
    <row r="33" spans="2:19" s="2" customFormat="1" ht="16.5" customHeight="1">
      <c r="B33" s="64" t="s">
        <v>1243</v>
      </c>
      <c r="C33" s="12" t="str">
        <f t="shared" si="0"/>
        <v>FF01A01603E8A2</v>
      </c>
      <c r="D33" s="5" t="s">
        <v>24</v>
      </c>
      <c r="E33" s="5" t="s">
        <v>23</v>
      </c>
      <c r="F33" s="5" t="s">
        <v>127</v>
      </c>
      <c r="G33" s="5" t="s">
        <v>91</v>
      </c>
      <c r="H33" s="5" t="s">
        <v>1244</v>
      </c>
      <c r="I33" s="3" t="str">
        <f t="shared" ref="I33:I37" si="45">Q33</f>
        <v>A2</v>
      </c>
      <c r="J33" s="14" t="s">
        <v>9</v>
      </c>
      <c r="K33" s="15">
        <f t="shared" si="1"/>
        <v>1</v>
      </c>
      <c r="L33" s="15">
        <f t="shared" si="2"/>
        <v>160</v>
      </c>
      <c r="M33" s="15">
        <f t="shared" si="3"/>
        <v>22</v>
      </c>
      <c r="N33" s="15">
        <f t="shared" si="4"/>
        <v>3</v>
      </c>
      <c r="O33" s="15">
        <f t="shared" si="5"/>
        <v>232</v>
      </c>
      <c r="P33" s="15">
        <f t="shared" ref="P33:P37" si="46">SUM(K33:O33)</f>
        <v>418</v>
      </c>
      <c r="Q33" s="30" t="str">
        <f t="shared" ref="Q33:Q37" si="47">REPT("0",2-LEN(RIGHT(DEC2HEX(P33), 2)))&amp;RIGHT(DEC2HEX(P33), 2)</f>
        <v>A2</v>
      </c>
      <c r="S33" s="72" t="s">
        <v>207</v>
      </c>
    </row>
    <row r="34" spans="2:19" s="2" customFormat="1" ht="16.5" customHeight="1">
      <c r="B34" s="64" t="s">
        <v>1470</v>
      </c>
      <c r="C34" s="12" t="str">
        <f t="shared" si="0"/>
        <v>FF01A0180000B9</v>
      </c>
      <c r="D34" s="5" t="s">
        <v>24</v>
      </c>
      <c r="E34" s="5" t="s">
        <v>23</v>
      </c>
      <c r="F34" s="5" t="s">
        <v>1258</v>
      </c>
      <c r="G34" s="5" t="s">
        <v>16</v>
      </c>
      <c r="H34" s="5" t="s">
        <v>16</v>
      </c>
      <c r="I34" s="3" t="str">
        <f>Q34</f>
        <v>B9</v>
      </c>
      <c r="J34" s="14" t="s">
        <v>9</v>
      </c>
      <c r="K34" s="15">
        <f t="shared" si="1"/>
        <v>1</v>
      </c>
      <c r="L34" s="15">
        <f t="shared" si="2"/>
        <v>160</v>
      </c>
      <c r="M34" s="15">
        <f t="shared" si="3"/>
        <v>24</v>
      </c>
      <c r="N34" s="15">
        <f t="shared" si="4"/>
        <v>0</v>
      </c>
      <c r="O34" s="15">
        <f t="shared" si="5"/>
        <v>0</v>
      </c>
      <c r="P34" s="15">
        <f>SUM(K34:O34)</f>
        <v>185</v>
      </c>
      <c r="Q34" s="30" t="str">
        <f t="shared" si="47"/>
        <v>B9</v>
      </c>
      <c r="S34" s="72" t="s">
        <v>207</v>
      </c>
    </row>
    <row r="35" spans="2:19" s="2" customFormat="1" ht="16.5" customHeight="1">
      <c r="B35" s="64" t="s">
        <v>1471</v>
      </c>
      <c r="C35" s="12" t="str">
        <f t="shared" ref="C35" si="48">"FF01"&amp;E35&amp;""&amp;F35&amp;G35&amp;H35&amp;I35</f>
        <v>FF01A0180001BA</v>
      </c>
      <c r="D35" s="5" t="s">
        <v>24</v>
      </c>
      <c r="E35" s="5" t="s">
        <v>23</v>
      </c>
      <c r="F35" s="5" t="s">
        <v>1258</v>
      </c>
      <c r="G35" s="5" t="s">
        <v>16</v>
      </c>
      <c r="H35" s="5" t="s">
        <v>24</v>
      </c>
      <c r="I35" s="3" t="str">
        <f>Q35</f>
        <v>BA</v>
      </c>
      <c r="J35" s="14" t="s">
        <v>9</v>
      </c>
      <c r="K35" s="15">
        <f t="shared" ref="K35" si="49">HEX2DEC(D35)</f>
        <v>1</v>
      </c>
      <c r="L35" s="15">
        <f t="shared" ref="L35" si="50">HEX2DEC(E35)</f>
        <v>160</v>
      </c>
      <c r="M35" s="15">
        <f t="shared" ref="M35" si="51">HEX2DEC(F35)</f>
        <v>24</v>
      </c>
      <c r="N35" s="15">
        <f t="shared" ref="N35" si="52">HEX2DEC(G35)</f>
        <v>0</v>
      </c>
      <c r="O35" s="15">
        <f t="shared" ref="O35" si="53">HEX2DEC(H35)</f>
        <v>1</v>
      </c>
      <c r="P35" s="15">
        <f>SUM(K35:O35)</f>
        <v>186</v>
      </c>
      <c r="Q35" s="30" t="str">
        <f t="shared" ref="Q35" si="54">REPT("0",2-LEN(RIGHT(DEC2HEX(P35), 2)))&amp;RIGHT(DEC2HEX(P35), 2)</f>
        <v>BA</v>
      </c>
      <c r="S35" s="72" t="s">
        <v>207</v>
      </c>
    </row>
    <row r="36" spans="2:19" s="2" customFormat="1" ht="16.5" customHeight="1">
      <c r="B36" s="64" t="s">
        <v>1257</v>
      </c>
      <c r="C36" s="12" t="str">
        <f t="shared" ref="C36" si="55">"FF01"&amp;E36&amp;""&amp;F36&amp;G36&amp;H36&amp;I36</f>
        <v>FF01A0190000BA</v>
      </c>
      <c r="D36" s="5" t="s">
        <v>24</v>
      </c>
      <c r="E36" s="5" t="s">
        <v>23</v>
      </c>
      <c r="F36" s="5" t="s">
        <v>1472</v>
      </c>
      <c r="G36" s="5" t="s">
        <v>16</v>
      </c>
      <c r="H36" s="5" t="s">
        <v>16</v>
      </c>
      <c r="I36" s="3" t="str">
        <f>Q36</f>
        <v>BA</v>
      </c>
      <c r="J36" s="14" t="s">
        <v>9</v>
      </c>
      <c r="K36" s="15">
        <f t="shared" ref="K36" si="56">HEX2DEC(D36)</f>
        <v>1</v>
      </c>
      <c r="L36" s="15">
        <f t="shared" ref="L36" si="57">HEX2DEC(E36)</f>
        <v>160</v>
      </c>
      <c r="M36" s="15">
        <f t="shared" ref="M36" si="58">HEX2DEC(F36)</f>
        <v>25</v>
      </c>
      <c r="N36" s="15">
        <f t="shared" ref="N36" si="59">HEX2DEC(G36)</f>
        <v>0</v>
      </c>
      <c r="O36" s="15">
        <f t="shared" ref="O36" si="60">HEX2DEC(H36)</f>
        <v>0</v>
      </c>
      <c r="P36" s="15">
        <f>SUM(K36:O36)</f>
        <v>186</v>
      </c>
      <c r="Q36" s="30" t="str">
        <f t="shared" ref="Q36" si="61">REPT("0",2-LEN(RIGHT(DEC2HEX(P36), 2)))&amp;RIGHT(DEC2HEX(P36), 2)</f>
        <v>BA</v>
      </c>
      <c r="S36" s="72" t="s">
        <v>207</v>
      </c>
    </row>
    <row r="37" spans="2:19" s="2" customFormat="1" ht="16.5" customHeight="1">
      <c r="B37" s="64" t="s">
        <v>129</v>
      </c>
      <c r="C37" s="12" t="str">
        <f t="shared" si="0"/>
        <v>FF01A0170000B8</v>
      </c>
      <c r="D37" s="5" t="s">
        <v>24</v>
      </c>
      <c r="E37" s="5" t="s">
        <v>23</v>
      </c>
      <c r="F37" s="5" t="s">
        <v>131</v>
      </c>
      <c r="G37" s="5" t="s">
        <v>16</v>
      </c>
      <c r="H37" s="5" t="s">
        <v>16</v>
      </c>
      <c r="I37" s="3" t="str">
        <f t="shared" si="45"/>
        <v>B8</v>
      </c>
      <c r="J37" s="14" t="s">
        <v>9</v>
      </c>
      <c r="K37" s="15">
        <f t="shared" si="1"/>
        <v>1</v>
      </c>
      <c r="L37" s="15">
        <f t="shared" si="2"/>
        <v>160</v>
      </c>
      <c r="M37" s="15">
        <f t="shared" si="3"/>
        <v>23</v>
      </c>
      <c r="N37" s="15">
        <f t="shared" si="4"/>
        <v>0</v>
      </c>
      <c r="O37" s="15">
        <f t="shared" si="5"/>
        <v>0</v>
      </c>
      <c r="P37" s="15">
        <f t="shared" si="46"/>
        <v>184</v>
      </c>
      <c r="Q37" s="30" t="str">
        <f t="shared" si="47"/>
        <v>B8</v>
      </c>
      <c r="S37" s="72" t="s">
        <v>208</v>
      </c>
    </row>
    <row r="38" spans="2:19" s="2" customFormat="1" ht="16.5" customHeight="1" thickBot="1">
      <c r="B38" s="66" t="s">
        <v>130</v>
      </c>
      <c r="C38" s="19" t="str">
        <f t="shared" si="0"/>
        <v>FF01A0170001B9</v>
      </c>
      <c r="D38" s="18" t="s">
        <v>24</v>
      </c>
      <c r="E38" s="18" t="s">
        <v>23</v>
      </c>
      <c r="F38" s="18" t="s">
        <v>131</v>
      </c>
      <c r="G38" s="18" t="s">
        <v>16</v>
      </c>
      <c r="H38" s="18" t="s">
        <v>24</v>
      </c>
      <c r="I38" s="16" t="str">
        <f t="shared" si="27"/>
        <v>B9</v>
      </c>
      <c r="J38" s="20" t="s">
        <v>9</v>
      </c>
      <c r="K38" s="21">
        <f t="shared" si="1"/>
        <v>1</v>
      </c>
      <c r="L38" s="21">
        <f t="shared" si="2"/>
        <v>160</v>
      </c>
      <c r="M38" s="21">
        <f t="shared" si="3"/>
        <v>23</v>
      </c>
      <c r="N38" s="21">
        <f t="shared" si="4"/>
        <v>0</v>
      </c>
      <c r="O38" s="21">
        <f t="shared" si="5"/>
        <v>1</v>
      </c>
      <c r="P38" s="21">
        <f t="shared" si="28"/>
        <v>185</v>
      </c>
      <c r="Q38" s="61" t="str">
        <f t="shared" si="29"/>
        <v>B9</v>
      </c>
      <c r="S38" s="72" t="s">
        <v>209</v>
      </c>
    </row>
    <row r="39" spans="2:19" s="2" customFormat="1" ht="16.5" customHeight="1">
      <c r="B39" s="70" t="s">
        <v>134</v>
      </c>
      <c r="C39" s="112" t="str">
        <f t="shared" si="0"/>
        <v>FF01A1000000A2</v>
      </c>
      <c r="D39" s="68" t="s">
        <v>16</v>
      </c>
      <c r="E39" s="68" t="s">
        <v>80</v>
      </c>
      <c r="F39" s="68" t="s">
        <v>16</v>
      </c>
      <c r="G39" s="68" t="s">
        <v>16</v>
      </c>
      <c r="H39" s="68" t="s">
        <v>16</v>
      </c>
      <c r="I39" s="26" t="str">
        <f>Q39</f>
        <v>A2</v>
      </c>
      <c r="J39" s="26" t="s">
        <v>9</v>
      </c>
      <c r="K39" s="27">
        <v>1</v>
      </c>
      <c r="L39" s="27">
        <f t="shared" si="2"/>
        <v>161</v>
      </c>
      <c r="M39" s="27">
        <f t="shared" si="3"/>
        <v>0</v>
      </c>
      <c r="N39" s="27">
        <f t="shared" si="4"/>
        <v>0</v>
      </c>
      <c r="O39" s="27">
        <f t="shared" si="5"/>
        <v>0</v>
      </c>
      <c r="P39" s="27">
        <f>SUM(K39:O39)</f>
        <v>162</v>
      </c>
      <c r="Q39" s="28" t="str">
        <f t="shared" si="29"/>
        <v>A2</v>
      </c>
      <c r="S39" s="72" t="s">
        <v>210</v>
      </c>
    </row>
    <row r="40" spans="2:19" s="2" customFormat="1" ht="16.5" customHeight="1">
      <c r="B40" s="102" t="s">
        <v>81</v>
      </c>
      <c r="C40" s="113" t="str">
        <f t="shared" si="0"/>
        <v>FF01A0010000A2</v>
      </c>
      <c r="D40" s="67" t="s">
        <v>24</v>
      </c>
      <c r="E40" s="67" t="s">
        <v>23</v>
      </c>
      <c r="F40" s="67" t="s">
        <v>24</v>
      </c>
      <c r="G40" s="67" t="s">
        <v>16</v>
      </c>
      <c r="H40" s="67" t="s">
        <v>16</v>
      </c>
      <c r="I40" s="14" t="str">
        <f t="shared" si="20"/>
        <v>A2</v>
      </c>
      <c r="J40" s="14" t="s">
        <v>9</v>
      </c>
      <c r="K40" s="15">
        <f t="shared" si="1"/>
        <v>1</v>
      </c>
      <c r="L40" s="15">
        <f t="shared" si="2"/>
        <v>160</v>
      </c>
      <c r="M40" s="15">
        <f t="shared" si="3"/>
        <v>1</v>
      </c>
      <c r="N40" s="15">
        <f t="shared" si="4"/>
        <v>0</v>
      </c>
      <c r="O40" s="15">
        <f t="shared" si="5"/>
        <v>0</v>
      </c>
      <c r="P40" s="15">
        <f t="shared" ref="P40" si="62">SUM(K40:O40)</f>
        <v>162</v>
      </c>
      <c r="Q40" s="30" t="str">
        <f t="shared" ref="Q40" si="63">REPT("0",2-LEN(RIGHT(DEC2HEX(P40), 2)))&amp;RIGHT(DEC2HEX(P40), 2)</f>
        <v>A2</v>
      </c>
      <c r="S40" s="72" t="s">
        <v>211</v>
      </c>
    </row>
    <row r="41" spans="2:19" s="2" customFormat="1" ht="16.5" customHeight="1">
      <c r="B41" s="102" t="s">
        <v>82</v>
      </c>
      <c r="C41" s="113" t="str">
        <f t="shared" si="0"/>
        <v>FF01A0010001A3</v>
      </c>
      <c r="D41" s="67" t="s">
        <v>24</v>
      </c>
      <c r="E41" s="67" t="s">
        <v>23</v>
      </c>
      <c r="F41" s="67" t="s">
        <v>24</v>
      </c>
      <c r="G41" s="67" t="s">
        <v>16</v>
      </c>
      <c r="H41" s="67" t="s">
        <v>24</v>
      </c>
      <c r="I41" s="14" t="str">
        <f t="shared" si="20"/>
        <v>A3</v>
      </c>
      <c r="J41" s="14" t="s">
        <v>9</v>
      </c>
      <c r="K41" s="15">
        <f t="shared" si="1"/>
        <v>1</v>
      </c>
      <c r="L41" s="15">
        <f t="shared" si="2"/>
        <v>160</v>
      </c>
      <c r="M41" s="15">
        <f t="shared" si="3"/>
        <v>1</v>
      </c>
      <c r="N41" s="15">
        <f t="shared" si="4"/>
        <v>0</v>
      </c>
      <c r="O41" s="15">
        <f t="shared" si="5"/>
        <v>1</v>
      </c>
      <c r="P41" s="15">
        <f t="shared" ref="P41" si="64">SUM(K41:O41)</f>
        <v>163</v>
      </c>
      <c r="Q41" s="30" t="str">
        <f t="shared" ref="Q41" si="65">REPT("0",2-LEN(RIGHT(DEC2HEX(P41), 2)))&amp;RIGHT(DEC2HEX(P41), 2)</f>
        <v>A3</v>
      </c>
      <c r="S41" s="72" t="s">
        <v>212</v>
      </c>
    </row>
    <row r="42" spans="2:19" s="2" customFormat="1" ht="16.5" customHeight="1">
      <c r="B42" s="102" t="s">
        <v>1250</v>
      </c>
      <c r="C42" s="113" t="str">
        <f t="shared" ref="C42:C78" si="66">"FF01"&amp;E42&amp;""&amp;F42&amp;G42&amp;H42&amp;I42</f>
        <v>FF01A0020001A4</v>
      </c>
      <c r="D42" s="67" t="s">
        <v>24</v>
      </c>
      <c r="E42" s="67" t="s">
        <v>23</v>
      </c>
      <c r="F42" s="67" t="s">
        <v>17</v>
      </c>
      <c r="G42" s="67" t="s">
        <v>16</v>
      </c>
      <c r="H42" s="67" t="s">
        <v>24</v>
      </c>
      <c r="I42" s="14" t="str">
        <f t="shared" si="20"/>
        <v>A4</v>
      </c>
      <c r="J42" s="14" t="s">
        <v>9</v>
      </c>
      <c r="K42" s="15">
        <f t="shared" ref="K42:K78" si="67">HEX2DEC(D42)</f>
        <v>1</v>
      </c>
      <c r="L42" s="15">
        <f t="shared" ref="L42:L78" si="68">HEX2DEC(E42)</f>
        <v>160</v>
      </c>
      <c r="M42" s="15">
        <f t="shared" ref="M42:M78" si="69">HEX2DEC(F42)</f>
        <v>2</v>
      </c>
      <c r="N42" s="15">
        <f t="shared" ref="N42:N78" si="70">HEX2DEC(G42)</f>
        <v>0</v>
      </c>
      <c r="O42" s="15">
        <f t="shared" ref="O42:O78" si="71">HEX2DEC(H42)</f>
        <v>1</v>
      </c>
      <c r="P42" s="15">
        <f t="shared" ref="P42:P45" si="72">SUM(K42:O42)</f>
        <v>164</v>
      </c>
      <c r="Q42" s="30" t="str">
        <f t="shared" ref="Q42:Q45" si="73">REPT("0",2-LEN(RIGHT(DEC2HEX(P42), 2)))&amp;RIGHT(DEC2HEX(P42), 2)</f>
        <v>A4</v>
      </c>
      <c r="S42" s="72" t="s">
        <v>214</v>
      </c>
    </row>
    <row r="43" spans="2:19" s="2" customFormat="1" ht="16.5" customHeight="1">
      <c r="B43" s="102" t="s">
        <v>1251</v>
      </c>
      <c r="C43" s="113" t="str">
        <f t="shared" ref="C43" si="74">"FF01"&amp;E43&amp;""&amp;F43&amp;G43&amp;H43&amp;I43</f>
        <v>FF01A00200C86B</v>
      </c>
      <c r="D43" s="67" t="s">
        <v>24</v>
      </c>
      <c r="E43" s="67" t="s">
        <v>23</v>
      </c>
      <c r="F43" s="67" t="s">
        <v>17</v>
      </c>
      <c r="G43" s="67" t="s">
        <v>16</v>
      </c>
      <c r="H43" s="67" t="s">
        <v>1252</v>
      </c>
      <c r="I43" s="14" t="str">
        <f t="shared" ref="I43" si="75">Q43</f>
        <v>6B</v>
      </c>
      <c r="J43" s="14" t="s">
        <v>9</v>
      </c>
      <c r="K43" s="15">
        <f t="shared" ref="K43" si="76">HEX2DEC(D43)</f>
        <v>1</v>
      </c>
      <c r="L43" s="15">
        <f t="shared" ref="L43" si="77">HEX2DEC(E43)</f>
        <v>160</v>
      </c>
      <c r="M43" s="15">
        <f t="shared" ref="M43" si="78">HEX2DEC(F43)</f>
        <v>2</v>
      </c>
      <c r="N43" s="15">
        <f t="shared" ref="N43" si="79">HEX2DEC(G43)</f>
        <v>0</v>
      </c>
      <c r="O43" s="15">
        <f t="shared" ref="O43" si="80">HEX2DEC(H43)</f>
        <v>200</v>
      </c>
      <c r="P43" s="15">
        <f t="shared" ref="P43" si="81">SUM(K43:O43)</f>
        <v>363</v>
      </c>
      <c r="Q43" s="30" t="str">
        <f t="shared" ref="Q43" si="82">REPT("0",2-LEN(RIGHT(DEC2HEX(P43), 2)))&amp;RIGHT(DEC2HEX(P43), 2)</f>
        <v>6B</v>
      </c>
      <c r="S43" s="72" t="s">
        <v>214</v>
      </c>
    </row>
    <row r="44" spans="2:19" s="2" customFormat="1" ht="15.75" customHeight="1">
      <c r="B44" s="102" t="s">
        <v>85</v>
      </c>
      <c r="C44" s="113" t="str">
        <f t="shared" si="66"/>
        <v>FF01A0030000A4</v>
      </c>
      <c r="D44" s="67" t="s">
        <v>24</v>
      </c>
      <c r="E44" s="67" t="s">
        <v>23</v>
      </c>
      <c r="F44" s="67" t="s">
        <v>91</v>
      </c>
      <c r="G44" s="67" t="s">
        <v>16</v>
      </c>
      <c r="H44" s="67" t="s">
        <v>16</v>
      </c>
      <c r="I44" s="14" t="str">
        <f t="shared" si="20"/>
        <v>A4</v>
      </c>
      <c r="J44" s="14" t="s">
        <v>9</v>
      </c>
      <c r="K44" s="15">
        <f t="shared" si="67"/>
        <v>1</v>
      </c>
      <c r="L44" s="15">
        <f t="shared" si="68"/>
        <v>160</v>
      </c>
      <c r="M44" s="15">
        <f t="shared" si="69"/>
        <v>3</v>
      </c>
      <c r="N44" s="15">
        <f t="shared" si="70"/>
        <v>0</v>
      </c>
      <c r="O44" s="15">
        <f t="shared" si="71"/>
        <v>0</v>
      </c>
      <c r="P44" s="15">
        <f t="shared" si="72"/>
        <v>164</v>
      </c>
      <c r="Q44" s="30" t="str">
        <f t="shared" si="73"/>
        <v>A4</v>
      </c>
      <c r="S44" s="72" t="s">
        <v>215</v>
      </c>
    </row>
    <row r="45" spans="2:19" s="2" customFormat="1" ht="15.75" customHeight="1">
      <c r="B45" s="102" t="s">
        <v>86</v>
      </c>
      <c r="C45" s="113" t="str">
        <f t="shared" si="66"/>
        <v>FF01A0030001A5</v>
      </c>
      <c r="D45" s="67" t="s">
        <v>24</v>
      </c>
      <c r="E45" s="67" t="s">
        <v>23</v>
      </c>
      <c r="F45" s="67" t="s">
        <v>91</v>
      </c>
      <c r="G45" s="67" t="s">
        <v>16</v>
      </c>
      <c r="H45" s="67" t="s">
        <v>24</v>
      </c>
      <c r="I45" s="14" t="str">
        <f t="shared" si="20"/>
        <v>A5</v>
      </c>
      <c r="J45" s="14" t="s">
        <v>9</v>
      </c>
      <c r="K45" s="15">
        <f t="shared" si="67"/>
        <v>1</v>
      </c>
      <c r="L45" s="15">
        <f t="shared" si="68"/>
        <v>160</v>
      </c>
      <c r="M45" s="15">
        <f t="shared" si="69"/>
        <v>3</v>
      </c>
      <c r="N45" s="15">
        <f t="shared" si="70"/>
        <v>0</v>
      </c>
      <c r="O45" s="15">
        <f t="shared" si="71"/>
        <v>1</v>
      </c>
      <c r="P45" s="15">
        <f t="shared" si="72"/>
        <v>165</v>
      </c>
      <c r="Q45" s="30" t="str">
        <f t="shared" si="73"/>
        <v>A5</v>
      </c>
      <c r="S45" s="72" t="s">
        <v>216</v>
      </c>
    </row>
    <row r="46" spans="2:19" s="2" customFormat="1" ht="15.75" customHeight="1">
      <c r="B46" s="102" t="s">
        <v>87</v>
      </c>
      <c r="C46" s="113" t="str">
        <f t="shared" si="66"/>
        <v>FF01A0030002A6</v>
      </c>
      <c r="D46" s="67" t="s">
        <v>24</v>
      </c>
      <c r="E46" s="67" t="s">
        <v>23</v>
      </c>
      <c r="F46" s="67" t="s">
        <v>91</v>
      </c>
      <c r="G46" s="67" t="s">
        <v>16</v>
      </c>
      <c r="H46" s="67" t="s">
        <v>17</v>
      </c>
      <c r="I46" s="14" t="str">
        <f t="shared" si="20"/>
        <v>A6</v>
      </c>
      <c r="J46" s="14" t="s">
        <v>9</v>
      </c>
      <c r="K46" s="15">
        <f t="shared" si="67"/>
        <v>1</v>
      </c>
      <c r="L46" s="15">
        <f t="shared" si="68"/>
        <v>160</v>
      </c>
      <c r="M46" s="15">
        <f t="shared" si="69"/>
        <v>3</v>
      </c>
      <c r="N46" s="15">
        <f t="shared" si="70"/>
        <v>0</v>
      </c>
      <c r="O46" s="15">
        <f t="shared" si="71"/>
        <v>2</v>
      </c>
      <c r="P46" s="15">
        <f t="shared" ref="P46:P48" si="83">SUM(K46:O46)</f>
        <v>166</v>
      </c>
      <c r="Q46" s="30" t="str">
        <f t="shared" ref="Q46:Q48" si="84">REPT("0",2-LEN(RIGHT(DEC2HEX(P46), 2)))&amp;RIGHT(DEC2HEX(P46), 2)</f>
        <v>A6</v>
      </c>
      <c r="S46" s="72" t="s">
        <v>217</v>
      </c>
    </row>
    <row r="47" spans="2:19" s="2" customFormat="1" ht="15.75" customHeight="1">
      <c r="B47" s="102" t="s">
        <v>88</v>
      </c>
      <c r="C47" s="113" t="str">
        <f t="shared" si="66"/>
        <v>FF01A0030003A7</v>
      </c>
      <c r="D47" s="67" t="s">
        <v>24</v>
      </c>
      <c r="E47" s="67" t="s">
        <v>23</v>
      </c>
      <c r="F47" s="67" t="s">
        <v>91</v>
      </c>
      <c r="G47" s="67" t="s">
        <v>16</v>
      </c>
      <c r="H47" s="67" t="s">
        <v>91</v>
      </c>
      <c r="I47" s="14" t="str">
        <f t="shared" si="20"/>
        <v>A7</v>
      </c>
      <c r="J47" s="14" t="s">
        <v>9</v>
      </c>
      <c r="K47" s="15">
        <f t="shared" si="67"/>
        <v>1</v>
      </c>
      <c r="L47" s="15">
        <f t="shared" si="68"/>
        <v>160</v>
      </c>
      <c r="M47" s="15">
        <f t="shared" si="69"/>
        <v>3</v>
      </c>
      <c r="N47" s="15">
        <f t="shared" si="70"/>
        <v>0</v>
      </c>
      <c r="O47" s="15">
        <f t="shared" si="71"/>
        <v>3</v>
      </c>
      <c r="P47" s="15">
        <f t="shared" si="83"/>
        <v>167</v>
      </c>
      <c r="Q47" s="30" t="str">
        <f t="shared" si="84"/>
        <v>A7</v>
      </c>
      <c r="S47" s="72" t="s">
        <v>218</v>
      </c>
    </row>
    <row r="48" spans="2:19" s="2" customFormat="1" ht="15.75" customHeight="1">
      <c r="B48" s="102" t="s">
        <v>89</v>
      </c>
      <c r="C48" s="113" t="str">
        <f t="shared" si="66"/>
        <v>FF01A0030004A8</v>
      </c>
      <c r="D48" s="67" t="s">
        <v>24</v>
      </c>
      <c r="E48" s="67" t="s">
        <v>23</v>
      </c>
      <c r="F48" s="67" t="s">
        <v>91</v>
      </c>
      <c r="G48" s="67" t="s">
        <v>16</v>
      </c>
      <c r="H48" s="67" t="s">
        <v>67</v>
      </c>
      <c r="I48" s="14" t="str">
        <f t="shared" si="20"/>
        <v>A8</v>
      </c>
      <c r="J48" s="14" t="s">
        <v>9</v>
      </c>
      <c r="K48" s="15">
        <f t="shared" si="67"/>
        <v>1</v>
      </c>
      <c r="L48" s="15">
        <f t="shared" si="68"/>
        <v>160</v>
      </c>
      <c r="M48" s="15">
        <f t="shared" si="69"/>
        <v>3</v>
      </c>
      <c r="N48" s="15">
        <f t="shared" si="70"/>
        <v>0</v>
      </c>
      <c r="O48" s="15">
        <f t="shared" si="71"/>
        <v>4</v>
      </c>
      <c r="P48" s="15">
        <f t="shared" si="83"/>
        <v>168</v>
      </c>
      <c r="Q48" s="30" t="str">
        <f t="shared" si="84"/>
        <v>A8</v>
      </c>
      <c r="S48" s="72" t="s">
        <v>219</v>
      </c>
    </row>
    <row r="49" spans="2:19" s="2" customFormat="1" ht="15.75" customHeight="1">
      <c r="B49" s="102" t="s">
        <v>90</v>
      </c>
      <c r="C49" s="113" t="str">
        <f t="shared" si="66"/>
        <v>FF01A0030005A9</v>
      </c>
      <c r="D49" s="67" t="s">
        <v>24</v>
      </c>
      <c r="E49" s="67" t="s">
        <v>23</v>
      </c>
      <c r="F49" s="67" t="s">
        <v>91</v>
      </c>
      <c r="G49" s="67" t="s">
        <v>16</v>
      </c>
      <c r="H49" s="67" t="s">
        <v>92</v>
      </c>
      <c r="I49" s="14" t="str">
        <f t="shared" si="20"/>
        <v>A9</v>
      </c>
      <c r="J49" s="14" t="s">
        <v>9</v>
      </c>
      <c r="K49" s="15">
        <f t="shared" si="67"/>
        <v>1</v>
      </c>
      <c r="L49" s="15">
        <f t="shared" si="68"/>
        <v>160</v>
      </c>
      <c r="M49" s="15">
        <f t="shared" si="69"/>
        <v>3</v>
      </c>
      <c r="N49" s="15">
        <f t="shared" si="70"/>
        <v>0</v>
      </c>
      <c r="O49" s="15">
        <f t="shared" si="71"/>
        <v>5</v>
      </c>
      <c r="P49" s="15">
        <f t="shared" ref="P49:P59" si="85">SUM(K49:O49)</f>
        <v>169</v>
      </c>
      <c r="Q49" s="30" t="str">
        <f t="shared" ref="Q49:Q59" si="86">REPT("0",2-LEN(RIGHT(DEC2HEX(P49), 2)))&amp;RIGHT(DEC2HEX(P49), 2)</f>
        <v>A9</v>
      </c>
      <c r="S49" s="72" t="s">
        <v>220</v>
      </c>
    </row>
    <row r="50" spans="2:19" s="2" customFormat="1" ht="16.5" customHeight="1">
      <c r="B50" s="102" t="s">
        <v>93</v>
      </c>
      <c r="C50" s="113" t="str">
        <f t="shared" si="66"/>
        <v>FF01A0040000A5</v>
      </c>
      <c r="D50" s="67" t="s">
        <v>24</v>
      </c>
      <c r="E50" s="67" t="s">
        <v>23</v>
      </c>
      <c r="F50" s="67" t="s">
        <v>67</v>
      </c>
      <c r="G50" s="67" t="s">
        <v>16</v>
      </c>
      <c r="H50" s="67" t="s">
        <v>16</v>
      </c>
      <c r="I50" s="14" t="str">
        <f t="shared" si="20"/>
        <v>A5</v>
      </c>
      <c r="J50" s="14" t="s">
        <v>9</v>
      </c>
      <c r="K50" s="15">
        <f t="shared" si="67"/>
        <v>1</v>
      </c>
      <c r="L50" s="15">
        <f t="shared" si="68"/>
        <v>160</v>
      </c>
      <c r="M50" s="15">
        <f t="shared" si="69"/>
        <v>4</v>
      </c>
      <c r="N50" s="15">
        <f t="shared" si="70"/>
        <v>0</v>
      </c>
      <c r="O50" s="15">
        <f t="shared" si="71"/>
        <v>0</v>
      </c>
      <c r="P50" s="15">
        <f t="shared" si="85"/>
        <v>165</v>
      </c>
      <c r="Q50" s="30" t="str">
        <f t="shared" si="86"/>
        <v>A5</v>
      </c>
      <c r="S50" s="72" t="s">
        <v>221</v>
      </c>
    </row>
    <row r="51" spans="2:19" s="2" customFormat="1" ht="16.5" customHeight="1">
      <c r="B51" s="102" t="s">
        <v>94</v>
      </c>
      <c r="C51" s="113" t="str">
        <f t="shared" si="66"/>
        <v>FF01A0040001A6</v>
      </c>
      <c r="D51" s="67" t="s">
        <v>24</v>
      </c>
      <c r="E51" s="67" t="s">
        <v>23</v>
      </c>
      <c r="F51" s="67" t="s">
        <v>67</v>
      </c>
      <c r="G51" s="67" t="s">
        <v>16</v>
      </c>
      <c r="H51" s="67" t="s">
        <v>24</v>
      </c>
      <c r="I51" s="14" t="str">
        <f t="shared" si="20"/>
        <v>A6</v>
      </c>
      <c r="J51" s="14" t="s">
        <v>9</v>
      </c>
      <c r="K51" s="15">
        <f t="shared" si="67"/>
        <v>1</v>
      </c>
      <c r="L51" s="15">
        <f t="shared" si="68"/>
        <v>160</v>
      </c>
      <c r="M51" s="15">
        <f t="shared" si="69"/>
        <v>4</v>
      </c>
      <c r="N51" s="15">
        <f t="shared" si="70"/>
        <v>0</v>
      </c>
      <c r="O51" s="15">
        <f t="shared" si="71"/>
        <v>1</v>
      </c>
      <c r="P51" s="15">
        <f t="shared" si="85"/>
        <v>166</v>
      </c>
      <c r="Q51" s="30" t="str">
        <f t="shared" si="86"/>
        <v>A6</v>
      </c>
      <c r="S51" s="72" t="s">
        <v>222</v>
      </c>
    </row>
    <row r="52" spans="2:19" s="2" customFormat="1" ht="16.5" customHeight="1">
      <c r="B52" s="102" t="s">
        <v>95</v>
      </c>
      <c r="C52" s="113" t="str">
        <f t="shared" si="66"/>
        <v>FF01A0050000A6</v>
      </c>
      <c r="D52" s="67" t="s">
        <v>24</v>
      </c>
      <c r="E52" s="67" t="s">
        <v>23</v>
      </c>
      <c r="F52" s="67" t="s">
        <v>92</v>
      </c>
      <c r="G52" s="67" t="s">
        <v>16</v>
      </c>
      <c r="H52" s="67" t="s">
        <v>16</v>
      </c>
      <c r="I52" s="14" t="str">
        <f t="shared" si="20"/>
        <v>A6</v>
      </c>
      <c r="J52" s="14" t="s">
        <v>9</v>
      </c>
      <c r="K52" s="15">
        <f t="shared" si="67"/>
        <v>1</v>
      </c>
      <c r="L52" s="15">
        <f t="shared" si="68"/>
        <v>160</v>
      </c>
      <c r="M52" s="15">
        <f t="shared" si="69"/>
        <v>5</v>
      </c>
      <c r="N52" s="15">
        <f t="shared" si="70"/>
        <v>0</v>
      </c>
      <c r="O52" s="15">
        <f t="shared" si="71"/>
        <v>0</v>
      </c>
      <c r="P52" s="15">
        <f t="shared" si="85"/>
        <v>166</v>
      </c>
      <c r="Q52" s="30" t="str">
        <f t="shared" si="86"/>
        <v>A6</v>
      </c>
      <c r="S52" s="72" t="s">
        <v>223</v>
      </c>
    </row>
    <row r="53" spans="2:19" s="2" customFormat="1" ht="16.5" customHeight="1">
      <c r="B53" s="102" t="s">
        <v>96</v>
      </c>
      <c r="C53" s="113" t="str">
        <f t="shared" si="66"/>
        <v>FF01A0050001A7</v>
      </c>
      <c r="D53" s="67" t="s">
        <v>24</v>
      </c>
      <c r="E53" s="67" t="s">
        <v>23</v>
      </c>
      <c r="F53" s="67" t="s">
        <v>92</v>
      </c>
      <c r="G53" s="67" t="s">
        <v>16</v>
      </c>
      <c r="H53" s="67" t="s">
        <v>24</v>
      </c>
      <c r="I53" s="14" t="str">
        <f t="shared" si="20"/>
        <v>A7</v>
      </c>
      <c r="J53" s="14" t="s">
        <v>9</v>
      </c>
      <c r="K53" s="15">
        <f t="shared" si="67"/>
        <v>1</v>
      </c>
      <c r="L53" s="15">
        <f t="shared" si="68"/>
        <v>160</v>
      </c>
      <c r="M53" s="15">
        <f t="shared" si="69"/>
        <v>5</v>
      </c>
      <c r="N53" s="15">
        <f t="shared" si="70"/>
        <v>0</v>
      </c>
      <c r="O53" s="15">
        <f t="shared" si="71"/>
        <v>1</v>
      </c>
      <c r="P53" s="15">
        <f t="shared" si="85"/>
        <v>167</v>
      </c>
      <c r="Q53" s="30" t="str">
        <f t="shared" si="86"/>
        <v>A7</v>
      </c>
      <c r="S53" s="72" t="s">
        <v>224</v>
      </c>
    </row>
    <row r="54" spans="2:19" s="2" customFormat="1" ht="15.75" customHeight="1">
      <c r="B54" s="102" t="s">
        <v>97</v>
      </c>
      <c r="C54" s="113" t="str">
        <f t="shared" si="66"/>
        <v>FF01A0060000A7</v>
      </c>
      <c r="D54" s="67" t="s">
        <v>24</v>
      </c>
      <c r="E54" s="67" t="s">
        <v>23</v>
      </c>
      <c r="F54" s="67" t="s">
        <v>100</v>
      </c>
      <c r="G54" s="67" t="s">
        <v>16</v>
      </c>
      <c r="H54" s="67" t="s">
        <v>16</v>
      </c>
      <c r="I54" s="14" t="str">
        <f t="shared" si="20"/>
        <v>A7</v>
      </c>
      <c r="J54" s="14" t="s">
        <v>9</v>
      </c>
      <c r="K54" s="15">
        <f t="shared" si="67"/>
        <v>1</v>
      </c>
      <c r="L54" s="15">
        <f t="shared" si="68"/>
        <v>160</v>
      </c>
      <c r="M54" s="15">
        <f t="shared" si="69"/>
        <v>6</v>
      </c>
      <c r="N54" s="15">
        <f t="shared" si="70"/>
        <v>0</v>
      </c>
      <c r="O54" s="15">
        <f t="shared" si="71"/>
        <v>0</v>
      </c>
      <c r="P54" s="15">
        <f t="shared" si="85"/>
        <v>167</v>
      </c>
      <c r="Q54" s="30" t="str">
        <f t="shared" si="86"/>
        <v>A7</v>
      </c>
      <c r="S54" s="72" t="s">
        <v>225</v>
      </c>
    </row>
    <row r="55" spans="2:19" s="2" customFormat="1" ht="15.75" customHeight="1">
      <c r="B55" s="102" t="s">
        <v>98</v>
      </c>
      <c r="C55" s="113" t="str">
        <f t="shared" si="66"/>
        <v>FF01A0060001A8</v>
      </c>
      <c r="D55" s="67" t="s">
        <v>24</v>
      </c>
      <c r="E55" s="67" t="s">
        <v>23</v>
      </c>
      <c r="F55" s="67" t="s">
        <v>100</v>
      </c>
      <c r="G55" s="67" t="s">
        <v>16</v>
      </c>
      <c r="H55" s="67" t="s">
        <v>24</v>
      </c>
      <c r="I55" s="14" t="str">
        <f t="shared" si="20"/>
        <v>A8</v>
      </c>
      <c r="J55" s="14" t="s">
        <v>9</v>
      </c>
      <c r="K55" s="15">
        <f t="shared" si="67"/>
        <v>1</v>
      </c>
      <c r="L55" s="15">
        <f t="shared" si="68"/>
        <v>160</v>
      </c>
      <c r="M55" s="15">
        <f t="shared" si="69"/>
        <v>6</v>
      </c>
      <c r="N55" s="15">
        <f t="shared" si="70"/>
        <v>0</v>
      </c>
      <c r="O55" s="15">
        <f t="shared" si="71"/>
        <v>1</v>
      </c>
      <c r="P55" s="15">
        <f t="shared" si="85"/>
        <v>168</v>
      </c>
      <c r="Q55" s="30" t="str">
        <f t="shared" si="86"/>
        <v>A8</v>
      </c>
      <c r="S55" s="72" t="s">
        <v>226</v>
      </c>
    </row>
    <row r="56" spans="2:19" s="2" customFormat="1" ht="15.75" customHeight="1">
      <c r="B56" s="102" t="s">
        <v>99</v>
      </c>
      <c r="C56" s="113" t="str">
        <f t="shared" si="66"/>
        <v>FF01A0060002A9</v>
      </c>
      <c r="D56" s="67" t="s">
        <v>24</v>
      </c>
      <c r="E56" s="67" t="s">
        <v>23</v>
      </c>
      <c r="F56" s="67" t="s">
        <v>100</v>
      </c>
      <c r="G56" s="67" t="s">
        <v>16</v>
      </c>
      <c r="H56" s="67" t="s">
        <v>17</v>
      </c>
      <c r="I56" s="14" t="str">
        <f t="shared" si="20"/>
        <v>A9</v>
      </c>
      <c r="J56" s="14" t="s">
        <v>9</v>
      </c>
      <c r="K56" s="15">
        <f t="shared" si="67"/>
        <v>1</v>
      </c>
      <c r="L56" s="15">
        <f t="shared" si="68"/>
        <v>160</v>
      </c>
      <c r="M56" s="15">
        <f t="shared" si="69"/>
        <v>6</v>
      </c>
      <c r="N56" s="15">
        <f t="shared" si="70"/>
        <v>0</v>
      </c>
      <c r="O56" s="15">
        <f t="shared" si="71"/>
        <v>2</v>
      </c>
      <c r="P56" s="15">
        <f t="shared" si="85"/>
        <v>169</v>
      </c>
      <c r="Q56" s="30" t="str">
        <f t="shared" si="86"/>
        <v>A9</v>
      </c>
      <c r="S56" s="72" t="s">
        <v>227</v>
      </c>
    </row>
    <row r="57" spans="2:19" s="2" customFormat="1" ht="15.75" customHeight="1">
      <c r="B57" s="102" t="s">
        <v>1253</v>
      </c>
      <c r="C57" s="113" t="str">
        <f t="shared" si="66"/>
        <v>FF01A0070000A8</v>
      </c>
      <c r="D57" s="67" t="s">
        <v>24</v>
      </c>
      <c r="E57" s="67" t="s">
        <v>23</v>
      </c>
      <c r="F57" s="67" t="s">
        <v>101</v>
      </c>
      <c r="G57" s="67" t="s">
        <v>16</v>
      </c>
      <c r="H57" s="67" t="s">
        <v>16</v>
      </c>
      <c r="I57" s="14" t="str">
        <f t="shared" si="20"/>
        <v>A8</v>
      </c>
      <c r="J57" s="14" t="s">
        <v>9</v>
      </c>
      <c r="K57" s="15">
        <f t="shared" si="67"/>
        <v>1</v>
      </c>
      <c r="L57" s="15">
        <f t="shared" si="68"/>
        <v>160</v>
      </c>
      <c r="M57" s="15">
        <f t="shared" si="69"/>
        <v>7</v>
      </c>
      <c r="N57" s="15">
        <f t="shared" si="70"/>
        <v>0</v>
      </c>
      <c r="O57" s="15">
        <f t="shared" si="71"/>
        <v>0</v>
      </c>
      <c r="P57" s="15">
        <f t="shared" si="85"/>
        <v>168</v>
      </c>
      <c r="Q57" s="30" t="str">
        <f t="shared" si="86"/>
        <v>A8</v>
      </c>
      <c r="S57" s="72" t="s">
        <v>228</v>
      </c>
    </row>
    <row r="58" spans="2:19" s="2" customFormat="1" ht="15.75" customHeight="1">
      <c r="B58" s="102" t="s">
        <v>1254</v>
      </c>
      <c r="C58" s="113" t="str">
        <f t="shared" ref="C58" si="87">"FF01"&amp;E58&amp;""&amp;F58&amp;G58&amp;H58&amp;I58</f>
        <v>FF01A0070001A9</v>
      </c>
      <c r="D58" s="67" t="s">
        <v>24</v>
      </c>
      <c r="E58" s="67" t="s">
        <v>23</v>
      </c>
      <c r="F58" s="67" t="s">
        <v>101</v>
      </c>
      <c r="G58" s="67" t="s">
        <v>16</v>
      </c>
      <c r="H58" s="67" t="s">
        <v>24</v>
      </c>
      <c r="I58" s="14" t="str">
        <f t="shared" ref="I58" si="88">Q58</f>
        <v>A9</v>
      </c>
      <c r="J58" s="14" t="s">
        <v>9</v>
      </c>
      <c r="K58" s="15">
        <f t="shared" ref="K58" si="89">HEX2DEC(D58)</f>
        <v>1</v>
      </c>
      <c r="L58" s="15">
        <f t="shared" ref="L58" si="90">HEX2DEC(E58)</f>
        <v>160</v>
      </c>
      <c r="M58" s="15">
        <f t="shared" ref="M58" si="91">HEX2DEC(F58)</f>
        <v>7</v>
      </c>
      <c r="N58" s="15">
        <f t="shared" ref="N58" si="92">HEX2DEC(G58)</f>
        <v>0</v>
      </c>
      <c r="O58" s="15">
        <f t="shared" ref="O58" si="93">HEX2DEC(H58)</f>
        <v>1</v>
      </c>
      <c r="P58" s="15">
        <f t="shared" ref="P58" si="94">SUM(K58:O58)</f>
        <v>169</v>
      </c>
      <c r="Q58" s="30" t="str">
        <f t="shared" ref="Q58" si="95">REPT("0",2-LEN(RIGHT(DEC2HEX(P58), 2)))&amp;RIGHT(DEC2HEX(P58), 2)</f>
        <v>A9</v>
      </c>
      <c r="S58" s="72" t="s">
        <v>228</v>
      </c>
    </row>
    <row r="59" spans="2:19" s="2" customFormat="1" ht="15.75" customHeight="1" thickBot="1">
      <c r="B59" s="103" t="s">
        <v>1255</v>
      </c>
      <c r="C59" s="114" t="str">
        <f t="shared" si="66"/>
        <v>FF01A0070002AA</v>
      </c>
      <c r="D59" s="69" t="s">
        <v>24</v>
      </c>
      <c r="E59" s="69" t="s">
        <v>23</v>
      </c>
      <c r="F59" s="69" t="s">
        <v>101</v>
      </c>
      <c r="G59" s="69" t="s">
        <v>16</v>
      </c>
      <c r="H59" s="69" t="s">
        <v>17</v>
      </c>
      <c r="I59" s="36" t="str">
        <f t="shared" si="20"/>
        <v>AA</v>
      </c>
      <c r="J59" s="36" t="s">
        <v>9</v>
      </c>
      <c r="K59" s="37">
        <f t="shared" si="67"/>
        <v>1</v>
      </c>
      <c r="L59" s="37">
        <f t="shared" si="68"/>
        <v>160</v>
      </c>
      <c r="M59" s="37">
        <f t="shared" si="69"/>
        <v>7</v>
      </c>
      <c r="N59" s="37">
        <f t="shared" si="70"/>
        <v>0</v>
      </c>
      <c r="O59" s="37">
        <f t="shared" si="71"/>
        <v>2</v>
      </c>
      <c r="P59" s="37">
        <f t="shared" si="85"/>
        <v>170</v>
      </c>
      <c r="Q59" s="38" t="str">
        <f t="shared" si="86"/>
        <v>AA</v>
      </c>
      <c r="S59" s="72" t="s">
        <v>228</v>
      </c>
    </row>
    <row r="60" spans="2:19" s="2" customFormat="1" ht="16.5" customHeight="1">
      <c r="B60" s="122" t="s">
        <v>156</v>
      </c>
      <c r="C60" s="98" t="str">
        <f t="shared" si="66"/>
        <v>FF01A1200000C2</v>
      </c>
      <c r="D60" s="111" t="s">
        <v>24</v>
      </c>
      <c r="E60" s="111" t="s">
        <v>80</v>
      </c>
      <c r="F60" s="111" t="s">
        <v>133</v>
      </c>
      <c r="G60" s="111" t="s">
        <v>16</v>
      </c>
      <c r="H60" s="111" t="s">
        <v>16</v>
      </c>
      <c r="I60" s="98" t="str">
        <f>Q60</f>
        <v>C2</v>
      </c>
      <c r="J60" s="98" t="s">
        <v>9</v>
      </c>
      <c r="K60" s="99">
        <f t="shared" si="67"/>
        <v>1</v>
      </c>
      <c r="L60" s="99">
        <f t="shared" si="68"/>
        <v>161</v>
      </c>
      <c r="M60" s="99">
        <f t="shared" si="69"/>
        <v>32</v>
      </c>
      <c r="N60" s="99">
        <f t="shared" si="70"/>
        <v>0</v>
      </c>
      <c r="O60" s="99">
        <f t="shared" si="71"/>
        <v>0</v>
      </c>
      <c r="P60" s="99">
        <f>SUM(K60:O60)</f>
        <v>194</v>
      </c>
      <c r="Q60" s="100" t="str">
        <f>REPT("0",2-LEN(RIGHT(DEC2HEX(P60), 2)))&amp;RIGHT(DEC2HEX(P60), 2)</f>
        <v>C2</v>
      </c>
      <c r="S60" s="72" t="s">
        <v>229</v>
      </c>
    </row>
    <row r="61" spans="2:19" s="2" customFormat="1" ht="15.75" customHeight="1">
      <c r="B61" s="94" t="s">
        <v>45</v>
      </c>
      <c r="C61" s="95" t="str">
        <f t="shared" si="66"/>
        <v>FF01A0210000C2</v>
      </c>
      <c r="D61" s="96" t="s">
        <v>24</v>
      </c>
      <c r="E61" s="96" t="s">
        <v>23</v>
      </c>
      <c r="F61" s="96" t="s">
        <v>18</v>
      </c>
      <c r="G61" s="96" t="s">
        <v>16</v>
      </c>
      <c r="H61" s="96" t="s">
        <v>16</v>
      </c>
      <c r="I61" s="97" t="str">
        <f t="shared" ref="I61" si="96">Q61</f>
        <v>C2</v>
      </c>
      <c r="J61" s="98" t="s">
        <v>9</v>
      </c>
      <c r="K61" s="99">
        <f t="shared" si="67"/>
        <v>1</v>
      </c>
      <c r="L61" s="99">
        <f t="shared" si="68"/>
        <v>160</v>
      </c>
      <c r="M61" s="99">
        <f t="shared" si="69"/>
        <v>33</v>
      </c>
      <c r="N61" s="99">
        <f t="shared" si="70"/>
        <v>0</v>
      </c>
      <c r="O61" s="99">
        <f t="shared" si="71"/>
        <v>0</v>
      </c>
      <c r="P61" s="99">
        <f t="shared" ref="P61:P76" si="97">SUM(K61:O61)</f>
        <v>194</v>
      </c>
      <c r="Q61" s="100" t="str">
        <f t="shared" ref="Q61:Q77" si="98">REPT("0",2-LEN(RIGHT(DEC2HEX(P61), 2)))&amp;RIGHT(DEC2HEX(P61), 2)</f>
        <v>C2</v>
      </c>
      <c r="S61" s="72" t="s">
        <v>230</v>
      </c>
    </row>
    <row r="62" spans="2:19" s="2" customFormat="1" ht="16.5" customHeight="1">
      <c r="B62" s="64" t="s">
        <v>46</v>
      </c>
      <c r="C62" s="12" t="str">
        <f t="shared" si="66"/>
        <v>FF01A0210001C3</v>
      </c>
      <c r="D62" s="5" t="s">
        <v>24</v>
      </c>
      <c r="E62" s="5" t="s">
        <v>23</v>
      </c>
      <c r="F62" s="5" t="s">
        <v>18</v>
      </c>
      <c r="G62" s="5" t="s">
        <v>16</v>
      </c>
      <c r="H62" s="5" t="s">
        <v>24</v>
      </c>
      <c r="I62" s="3" t="str">
        <f t="shared" ref="I62" si="99">Q62</f>
        <v>C3</v>
      </c>
      <c r="J62" s="14" t="s">
        <v>9</v>
      </c>
      <c r="K62" s="15">
        <f t="shared" si="67"/>
        <v>1</v>
      </c>
      <c r="L62" s="15">
        <f t="shared" si="68"/>
        <v>160</v>
      </c>
      <c r="M62" s="15">
        <f t="shared" si="69"/>
        <v>33</v>
      </c>
      <c r="N62" s="15">
        <f t="shared" si="70"/>
        <v>0</v>
      </c>
      <c r="O62" s="15">
        <f t="shared" si="71"/>
        <v>1</v>
      </c>
      <c r="P62" s="15">
        <f t="shared" si="97"/>
        <v>195</v>
      </c>
      <c r="Q62" s="30" t="str">
        <f t="shared" si="98"/>
        <v>C3</v>
      </c>
      <c r="S62" s="72" t="s">
        <v>231</v>
      </c>
    </row>
    <row r="63" spans="2:19" s="2" customFormat="1" ht="16.5" customHeight="1">
      <c r="B63" s="64" t="s">
        <v>48</v>
      </c>
      <c r="C63" s="12" t="str">
        <f t="shared" si="66"/>
        <v>FF01A0220000C3</v>
      </c>
      <c r="D63" s="5" t="s">
        <v>24</v>
      </c>
      <c r="E63" s="5" t="s">
        <v>23</v>
      </c>
      <c r="F63" s="5" t="s">
        <v>49</v>
      </c>
      <c r="G63" s="5" t="s">
        <v>16</v>
      </c>
      <c r="H63" s="5" t="s">
        <v>16</v>
      </c>
      <c r="I63" s="3" t="str">
        <f t="shared" ref="I63" si="100">Q63</f>
        <v>C3</v>
      </c>
      <c r="J63" s="14" t="s">
        <v>9</v>
      </c>
      <c r="K63" s="15">
        <f t="shared" si="67"/>
        <v>1</v>
      </c>
      <c r="L63" s="15">
        <f t="shared" si="68"/>
        <v>160</v>
      </c>
      <c r="M63" s="15">
        <f t="shared" si="69"/>
        <v>34</v>
      </c>
      <c r="N63" s="15">
        <f t="shared" si="70"/>
        <v>0</v>
      </c>
      <c r="O63" s="15">
        <f t="shared" si="71"/>
        <v>0</v>
      </c>
      <c r="P63" s="15">
        <f t="shared" si="97"/>
        <v>195</v>
      </c>
      <c r="Q63" s="30" t="str">
        <f t="shared" si="98"/>
        <v>C3</v>
      </c>
      <c r="S63" s="72" t="s">
        <v>232</v>
      </c>
    </row>
    <row r="64" spans="2:19" s="2" customFormat="1" ht="16.5" customHeight="1">
      <c r="B64" s="64" t="s">
        <v>47</v>
      </c>
      <c r="C64" s="12" t="str">
        <f t="shared" si="66"/>
        <v>FF01A0220001C4</v>
      </c>
      <c r="D64" s="5" t="s">
        <v>24</v>
      </c>
      <c r="E64" s="5" t="s">
        <v>23</v>
      </c>
      <c r="F64" s="5" t="s">
        <v>49</v>
      </c>
      <c r="G64" s="5" t="s">
        <v>16</v>
      </c>
      <c r="H64" s="5" t="s">
        <v>24</v>
      </c>
      <c r="I64" s="3" t="str">
        <f t="shared" ref="I64" si="101">Q64</f>
        <v>C4</v>
      </c>
      <c r="J64" s="14" t="s">
        <v>9</v>
      </c>
      <c r="K64" s="15">
        <f t="shared" si="67"/>
        <v>1</v>
      </c>
      <c r="L64" s="15">
        <f t="shared" si="68"/>
        <v>160</v>
      </c>
      <c r="M64" s="15">
        <f t="shared" si="69"/>
        <v>34</v>
      </c>
      <c r="N64" s="15">
        <f t="shared" si="70"/>
        <v>0</v>
      </c>
      <c r="O64" s="15">
        <f t="shared" si="71"/>
        <v>1</v>
      </c>
      <c r="P64" s="15">
        <f t="shared" si="97"/>
        <v>196</v>
      </c>
      <c r="Q64" s="30" t="str">
        <f t="shared" si="98"/>
        <v>C4</v>
      </c>
      <c r="S64" s="72" t="s">
        <v>233</v>
      </c>
    </row>
    <row r="65" spans="2:19" s="2" customFormat="1" ht="16.5" customHeight="1">
      <c r="B65" s="64" t="s">
        <v>20</v>
      </c>
      <c r="C65" s="12" t="str">
        <f>"FF01"&amp;E65&amp;""&amp;F65&amp;G65&amp;H65&amp;I65</f>
        <v>FF01A0230000C4</v>
      </c>
      <c r="D65" s="5" t="s">
        <v>24</v>
      </c>
      <c r="E65" s="3" t="s">
        <v>23</v>
      </c>
      <c r="F65" s="3">
        <v>23</v>
      </c>
      <c r="G65" s="5" t="s">
        <v>16</v>
      </c>
      <c r="H65" s="5" t="s">
        <v>16</v>
      </c>
      <c r="I65" s="3" t="str">
        <f>Q65</f>
        <v>C4</v>
      </c>
      <c r="J65" s="14" t="s">
        <v>9</v>
      </c>
      <c r="K65" s="15">
        <f>HEX2DEC(D65)</f>
        <v>1</v>
      </c>
      <c r="L65" s="15">
        <f>HEX2DEC(E65)</f>
        <v>160</v>
      </c>
      <c r="M65" s="15">
        <f>HEX2DEC(F65)</f>
        <v>35</v>
      </c>
      <c r="N65" s="15">
        <f>HEX2DEC(G65)</f>
        <v>0</v>
      </c>
      <c r="O65" s="15">
        <f>HEX2DEC(H65)</f>
        <v>0</v>
      </c>
      <c r="P65" s="15">
        <f>SUM(K65:O65)</f>
        <v>196</v>
      </c>
      <c r="Q65" s="30" t="str">
        <f>REPT("0",2-LEN(RIGHT(DEC2HEX(P65), 2)))&amp;RIGHT(DEC2HEX(P65), 2)</f>
        <v>C4</v>
      </c>
      <c r="S65" s="72" t="s">
        <v>235</v>
      </c>
    </row>
    <row r="66" spans="2:19" s="2" customFormat="1" ht="16.5" customHeight="1">
      <c r="B66" s="64" t="s">
        <v>19</v>
      </c>
      <c r="C66" s="12" t="str">
        <f t="shared" si="66"/>
        <v>FF01A0230001C5</v>
      </c>
      <c r="D66" s="5" t="s">
        <v>24</v>
      </c>
      <c r="E66" s="3" t="s">
        <v>23</v>
      </c>
      <c r="F66" s="3">
        <v>23</v>
      </c>
      <c r="G66" s="5" t="s">
        <v>16</v>
      </c>
      <c r="H66" s="5" t="s">
        <v>24</v>
      </c>
      <c r="I66" s="3" t="str">
        <f>Q66</f>
        <v>C5</v>
      </c>
      <c r="J66" s="14" t="s">
        <v>9</v>
      </c>
      <c r="K66" s="15">
        <f t="shared" si="67"/>
        <v>1</v>
      </c>
      <c r="L66" s="15">
        <f t="shared" si="68"/>
        <v>160</v>
      </c>
      <c r="M66" s="15">
        <f t="shared" si="69"/>
        <v>35</v>
      </c>
      <c r="N66" s="15">
        <f t="shared" si="70"/>
        <v>0</v>
      </c>
      <c r="O66" s="15">
        <f t="shared" si="71"/>
        <v>1</v>
      </c>
      <c r="P66" s="15">
        <f>SUM(K66:O66)</f>
        <v>197</v>
      </c>
      <c r="Q66" s="30" t="str">
        <f>REPT("0",2-LEN(RIGHT(DEC2HEX(P66), 2)))&amp;RIGHT(DEC2HEX(P66), 2)</f>
        <v>C5</v>
      </c>
      <c r="S66" s="72" t="s">
        <v>234</v>
      </c>
    </row>
    <row r="67" spans="2:19" s="2" customFormat="1" ht="16.5" customHeight="1">
      <c r="B67" s="64" t="s">
        <v>22</v>
      </c>
      <c r="C67" s="12" t="str">
        <f>"FF01"&amp;E67&amp;""&amp;F67&amp;G67&amp;H67&amp;I67</f>
        <v>FF01A0240000C5</v>
      </c>
      <c r="D67" s="5" t="s">
        <v>24</v>
      </c>
      <c r="E67" s="3" t="s">
        <v>23</v>
      </c>
      <c r="F67" s="3">
        <v>24</v>
      </c>
      <c r="G67" s="5" t="s">
        <v>16</v>
      </c>
      <c r="H67" s="5" t="s">
        <v>16</v>
      </c>
      <c r="I67" s="3" t="str">
        <f>Q67</f>
        <v>C5</v>
      </c>
      <c r="J67" s="14" t="s">
        <v>9</v>
      </c>
      <c r="K67" s="15">
        <f>HEX2DEC(D67)</f>
        <v>1</v>
      </c>
      <c r="L67" s="15">
        <f>HEX2DEC(E67)</f>
        <v>160</v>
      </c>
      <c r="M67" s="15">
        <f>HEX2DEC(F67)</f>
        <v>36</v>
      </c>
      <c r="N67" s="15">
        <f>HEX2DEC(G67)</f>
        <v>0</v>
      </c>
      <c r="O67" s="15">
        <f>HEX2DEC(H67)</f>
        <v>0</v>
      </c>
      <c r="P67" s="15">
        <f>SUM(K67:O67)</f>
        <v>197</v>
      </c>
      <c r="Q67" s="30" t="str">
        <f>REPT("0",2-LEN(RIGHT(DEC2HEX(P67), 2)))&amp;RIGHT(DEC2HEX(P67), 2)</f>
        <v>C5</v>
      </c>
      <c r="S67" s="72" t="s">
        <v>237</v>
      </c>
    </row>
    <row r="68" spans="2:19" s="2" customFormat="1" ht="16.5" customHeight="1">
      <c r="B68" s="64" t="s">
        <v>21</v>
      </c>
      <c r="C68" s="12" t="str">
        <f t="shared" si="66"/>
        <v>FF01A0240001C6</v>
      </c>
      <c r="D68" s="5" t="s">
        <v>24</v>
      </c>
      <c r="E68" s="3" t="s">
        <v>23</v>
      </c>
      <c r="F68" s="3">
        <v>24</v>
      </c>
      <c r="G68" s="5" t="s">
        <v>16</v>
      </c>
      <c r="H68" s="5" t="s">
        <v>24</v>
      </c>
      <c r="I68" s="3" t="str">
        <f>Q68</f>
        <v>C6</v>
      </c>
      <c r="J68" s="14" t="s">
        <v>9</v>
      </c>
      <c r="K68" s="15">
        <f t="shared" si="67"/>
        <v>1</v>
      </c>
      <c r="L68" s="15">
        <f t="shared" si="68"/>
        <v>160</v>
      </c>
      <c r="M68" s="15">
        <f t="shared" si="69"/>
        <v>36</v>
      </c>
      <c r="N68" s="15">
        <f t="shared" si="70"/>
        <v>0</v>
      </c>
      <c r="O68" s="15">
        <f t="shared" si="71"/>
        <v>1</v>
      </c>
      <c r="P68" s="15">
        <f>SUM(K68:O68)</f>
        <v>198</v>
      </c>
      <c r="Q68" s="30" t="str">
        <f>REPT("0",2-LEN(RIGHT(DEC2HEX(P68), 2)))&amp;RIGHT(DEC2HEX(P68), 2)</f>
        <v>C6</v>
      </c>
      <c r="S68" s="72" t="s">
        <v>236</v>
      </c>
    </row>
    <row r="69" spans="2:19" s="2" customFormat="1" ht="16.5" customHeight="1">
      <c r="B69" s="64" t="s">
        <v>50</v>
      </c>
      <c r="C69" s="12" t="str">
        <f t="shared" si="66"/>
        <v>FF01A0250000C6</v>
      </c>
      <c r="D69" s="5" t="s">
        <v>24</v>
      </c>
      <c r="E69" s="5" t="s">
        <v>23</v>
      </c>
      <c r="F69" s="5" t="s">
        <v>51</v>
      </c>
      <c r="G69" s="5" t="s">
        <v>16</v>
      </c>
      <c r="H69" s="5" t="s">
        <v>16</v>
      </c>
      <c r="I69" s="3" t="str">
        <f t="shared" ref="I69" si="102">Q69</f>
        <v>C6</v>
      </c>
      <c r="J69" s="14" t="s">
        <v>9</v>
      </c>
      <c r="K69" s="15">
        <f t="shared" si="67"/>
        <v>1</v>
      </c>
      <c r="L69" s="15">
        <f t="shared" si="68"/>
        <v>160</v>
      </c>
      <c r="M69" s="15">
        <f t="shared" si="69"/>
        <v>37</v>
      </c>
      <c r="N69" s="15">
        <f t="shared" si="70"/>
        <v>0</v>
      </c>
      <c r="O69" s="15">
        <f t="shared" si="71"/>
        <v>0</v>
      </c>
      <c r="P69" s="15">
        <f t="shared" si="97"/>
        <v>198</v>
      </c>
      <c r="Q69" s="30" t="str">
        <f t="shared" si="98"/>
        <v>C6</v>
      </c>
      <c r="S69" s="72" t="s">
        <v>238</v>
      </c>
    </row>
    <row r="70" spans="2:19" s="2" customFormat="1" ht="16.5" customHeight="1">
      <c r="B70" s="64" t="s">
        <v>52</v>
      </c>
      <c r="C70" s="12" t="str">
        <f t="shared" si="66"/>
        <v>FF01A0250001C7</v>
      </c>
      <c r="D70" s="5" t="s">
        <v>24</v>
      </c>
      <c r="E70" s="5" t="s">
        <v>23</v>
      </c>
      <c r="F70" s="5" t="s">
        <v>51</v>
      </c>
      <c r="G70" s="5" t="s">
        <v>16</v>
      </c>
      <c r="H70" s="5" t="s">
        <v>24</v>
      </c>
      <c r="I70" s="3" t="str">
        <f t="shared" ref="I70" si="103">Q70</f>
        <v>C7</v>
      </c>
      <c r="J70" s="14" t="s">
        <v>9</v>
      </c>
      <c r="K70" s="15">
        <f t="shared" si="67"/>
        <v>1</v>
      </c>
      <c r="L70" s="15">
        <f t="shared" si="68"/>
        <v>160</v>
      </c>
      <c r="M70" s="15">
        <f t="shared" si="69"/>
        <v>37</v>
      </c>
      <c r="N70" s="15">
        <f t="shared" si="70"/>
        <v>0</v>
      </c>
      <c r="O70" s="15">
        <f t="shared" si="71"/>
        <v>1</v>
      </c>
      <c r="P70" s="15">
        <f t="shared" si="97"/>
        <v>199</v>
      </c>
      <c r="Q70" s="30" t="str">
        <f t="shared" si="98"/>
        <v>C7</v>
      </c>
      <c r="S70" s="72" t="s">
        <v>239</v>
      </c>
    </row>
    <row r="71" spans="2:19" s="2" customFormat="1" ht="16.5" customHeight="1">
      <c r="B71" s="64" t="s">
        <v>53</v>
      </c>
      <c r="C71" s="12" t="str">
        <f t="shared" si="66"/>
        <v>FF01A0260000C7</v>
      </c>
      <c r="D71" s="5" t="s">
        <v>24</v>
      </c>
      <c r="E71" s="5" t="s">
        <v>23</v>
      </c>
      <c r="F71" s="5" t="s">
        <v>55</v>
      </c>
      <c r="G71" s="5" t="s">
        <v>16</v>
      </c>
      <c r="H71" s="5" t="s">
        <v>16</v>
      </c>
      <c r="I71" s="3" t="str">
        <f t="shared" ref="I71" si="104">Q71</f>
        <v>C7</v>
      </c>
      <c r="J71" s="14" t="s">
        <v>9</v>
      </c>
      <c r="K71" s="15">
        <f t="shared" si="67"/>
        <v>1</v>
      </c>
      <c r="L71" s="15">
        <f t="shared" si="68"/>
        <v>160</v>
      </c>
      <c r="M71" s="15">
        <f t="shared" si="69"/>
        <v>38</v>
      </c>
      <c r="N71" s="15">
        <f t="shared" si="70"/>
        <v>0</v>
      </c>
      <c r="O71" s="15">
        <f t="shared" si="71"/>
        <v>0</v>
      </c>
      <c r="P71" s="15">
        <f t="shared" si="97"/>
        <v>199</v>
      </c>
      <c r="Q71" s="30" t="str">
        <f t="shared" si="98"/>
        <v>C7</v>
      </c>
      <c r="S71" s="72" t="s">
        <v>240</v>
      </c>
    </row>
    <row r="72" spans="2:19" s="2" customFormat="1" ht="16.5" customHeight="1">
      <c r="B72" s="64" t="s">
        <v>54</v>
      </c>
      <c r="C72" s="12" t="str">
        <f t="shared" si="66"/>
        <v>FF01A0260001C8</v>
      </c>
      <c r="D72" s="5" t="s">
        <v>24</v>
      </c>
      <c r="E72" s="5" t="s">
        <v>23</v>
      </c>
      <c r="F72" s="5" t="s">
        <v>55</v>
      </c>
      <c r="G72" s="5" t="s">
        <v>16</v>
      </c>
      <c r="H72" s="5" t="s">
        <v>24</v>
      </c>
      <c r="I72" s="3" t="str">
        <f t="shared" ref="I72" si="105">Q72</f>
        <v>C8</v>
      </c>
      <c r="J72" s="14" t="s">
        <v>9</v>
      </c>
      <c r="K72" s="15">
        <f t="shared" si="67"/>
        <v>1</v>
      </c>
      <c r="L72" s="15">
        <f t="shared" si="68"/>
        <v>160</v>
      </c>
      <c r="M72" s="15">
        <f t="shared" si="69"/>
        <v>38</v>
      </c>
      <c r="N72" s="15">
        <f t="shared" si="70"/>
        <v>0</v>
      </c>
      <c r="O72" s="15">
        <f t="shared" si="71"/>
        <v>1</v>
      </c>
      <c r="P72" s="15">
        <f t="shared" si="97"/>
        <v>200</v>
      </c>
      <c r="Q72" s="30" t="str">
        <f t="shared" si="98"/>
        <v>C8</v>
      </c>
      <c r="S72" s="72" t="s">
        <v>241</v>
      </c>
    </row>
    <row r="73" spans="2:19" s="2" customFormat="1" ht="16.5" customHeight="1">
      <c r="B73" s="64" t="s">
        <v>56</v>
      </c>
      <c r="C73" s="12" t="str">
        <f t="shared" si="66"/>
        <v>FF01A0270000C8</v>
      </c>
      <c r="D73" s="5" t="s">
        <v>24</v>
      </c>
      <c r="E73" s="5" t="s">
        <v>23</v>
      </c>
      <c r="F73" s="5" t="s">
        <v>60</v>
      </c>
      <c r="G73" s="5" t="s">
        <v>16</v>
      </c>
      <c r="H73" s="5" t="s">
        <v>16</v>
      </c>
      <c r="I73" s="3" t="str">
        <f t="shared" ref="I73" si="106">Q73</f>
        <v>C8</v>
      </c>
      <c r="J73" s="14" t="s">
        <v>9</v>
      </c>
      <c r="K73" s="15">
        <f t="shared" si="67"/>
        <v>1</v>
      </c>
      <c r="L73" s="15">
        <f t="shared" si="68"/>
        <v>160</v>
      </c>
      <c r="M73" s="15">
        <f t="shared" si="69"/>
        <v>39</v>
      </c>
      <c r="N73" s="15">
        <f t="shared" si="70"/>
        <v>0</v>
      </c>
      <c r="O73" s="15">
        <f t="shared" si="71"/>
        <v>0</v>
      </c>
      <c r="P73" s="15">
        <f t="shared" si="97"/>
        <v>200</v>
      </c>
      <c r="Q73" s="30" t="str">
        <f t="shared" si="98"/>
        <v>C8</v>
      </c>
      <c r="S73" s="72" t="s">
        <v>242</v>
      </c>
    </row>
    <row r="74" spans="2:19" s="2" customFormat="1" ht="16.5" customHeight="1">
      <c r="B74" s="64" t="s">
        <v>57</v>
      </c>
      <c r="C74" s="12" t="str">
        <f t="shared" si="66"/>
        <v>FF01A027000AD2</v>
      </c>
      <c r="D74" s="5" t="s">
        <v>24</v>
      </c>
      <c r="E74" s="5" t="s">
        <v>23</v>
      </c>
      <c r="F74" s="5" t="s">
        <v>60</v>
      </c>
      <c r="G74" s="5" t="s">
        <v>16</v>
      </c>
      <c r="H74" s="5" t="s">
        <v>61</v>
      </c>
      <c r="I74" s="3" t="str">
        <f t="shared" ref="I74:I75" si="107">Q74</f>
        <v>D2</v>
      </c>
      <c r="J74" s="14" t="s">
        <v>9</v>
      </c>
      <c r="K74" s="15">
        <f t="shared" si="67"/>
        <v>1</v>
      </c>
      <c r="L74" s="15">
        <f t="shared" si="68"/>
        <v>160</v>
      </c>
      <c r="M74" s="15">
        <f t="shared" si="69"/>
        <v>39</v>
      </c>
      <c r="N74" s="15">
        <f t="shared" si="70"/>
        <v>0</v>
      </c>
      <c r="O74" s="15">
        <f t="shared" si="71"/>
        <v>10</v>
      </c>
      <c r="P74" s="15">
        <f t="shared" si="97"/>
        <v>210</v>
      </c>
      <c r="Q74" s="30" t="str">
        <f t="shared" si="98"/>
        <v>D2</v>
      </c>
      <c r="S74" s="72" t="s">
        <v>243</v>
      </c>
    </row>
    <row r="75" spans="2:19" s="2" customFormat="1" ht="16.5" customHeight="1">
      <c r="B75" s="64" t="s">
        <v>58</v>
      </c>
      <c r="C75" s="12" t="str">
        <f t="shared" si="66"/>
        <v>FF01A0270014DC</v>
      </c>
      <c r="D75" s="5" t="s">
        <v>24</v>
      </c>
      <c r="E75" s="5" t="s">
        <v>23</v>
      </c>
      <c r="F75" s="5" t="s">
        <v>60</v>
      </c>
      <c r="G75" s="5" t="s">
        <v>16</v>
      </c>
      <c r="H75" s="5" t="s">
        <v>62</v>
      </c>
      <c r="I75" s="3" t="str">
        <f t="shared" si="107"/>
        <v>DC</v>
      </c>
      <c r="J75" s="14" t="s">
        <v>9</v>
      </c>
      <c r="K75" s="15">
        <f t="shared" si="67"/>
        <v>1</v>
      </c>
      <c r="L75" s="15">
        <f t="shared" si="68"/>
        <v>160</v>
      </c>
      <c r="M75" s="15">
        <f t="shared" si="69"/>
        <v>39</v>
      </c>
      <c r="N75" s="15">
        <f t="shared" si="70"/>
        <v>0</v>
      </c>
      <c r="O75" s="15">
        <f t="shared" si="71"/>
        <v>20</v>
      </c>
      <c r="P75" s="15">
        <f t="shared" si="97"/>
        <v>220</v>
      </c>
      <c r="Q75" s="30" t="str">
        <f t="shared" si="98"/>
        <v>DC</v>
      </c>
      <c r="S75" s="72" t="s">
        <v>244</v>
      </c>
    </row>
    <row r="76" spans="2:19" s="2" customFormat="1" ht="16.5" customHeight="1" thickBot="1">
      <c r="B76" s="65" t="s">
        <v>59</v>
      </c>
      <c r="C76" s="35" t="str">
        <f t="shared" si="66"/>
        <v>FF01A027001EE6</v>
      </c>
      <c r="D76" s="34" t="s">
        <v>24</v>
      </c>
      <c r="E76" s="34" t="s">
        <v>23</v>
      </c>
      <c r="F76" s="34" t="s">
        <v>60</v>
      </c>
      <c r="G76" s="34" t="s">
        <v>16</v>
      </c>
      <c r="H76" s="34" t="s">
        <v>63</v>
      </c>
      <c r="I76" s="32" t="str">
        <f t="shared" ref="I76" si="108">Q76</f>
        <v>E6</v>
      </c>
      <c r="J76" s="36" t="s">
        <v>9</v>
      </c>
      <c r="K76" s="37">
        <f t="shared" si="67"/>
        <v>1</v>
      </c>
      <c r="L76" s="37">
        <f t="shared" si="68"/>
        <v>160</v>
      </c>
      <c r="M76" s="37">
        <f t="shared" si="69"/>
        <v>39</v>
      </c>
      <c r="N76" s="37">
        <f t="shared" si="70"/>
        <v>0</v>
      </c>
      <c r="O76" s="37">
        <f t="shared" si="71"/>
        <v>30</v>
      </c>
      <c r="P76" s="37">
        <f t="shared" si="97"/>
        <v>230</v>
      </c>
      <c r="Q76" s="38" t="str">
        <f t="shared" si="98"/>
        <v>E6</v>
      </c>
      <c r="S76" s="72" t="s">
        <v>245</v>
      </c>
    </row>
    <row r="77" spans="2:19" s="2" customFormat="1" ht="16.5" customHeight="1">
      <c r="B77" s="75" t="s">
        <v>135</v>
      </c>
      <c r="C77" s="14" t="str">
        <f t="shared" si="66"/>
        <v>FF01A1300000D2</v>
      </c>
      <c r="D77" s="67" t="s">
        <v>24</v>
      </c>
      <c r="E77" s="14" t="s">
        <v>80</v>
      </c>
      <c r="F77" s="14">
        <v>30</v>
      </c>
      <c r="G77" s="67" t="s">
        <v>16</v>
      </c>
      <c r="H77" s="67" t="s">
        <v>16</v>
      </c>
      <c r="I77" s="14" t="str">
        <f>Q77</f>
        <v>D2</v>
      </c>
      <c r="J77" s="14" t="s">
        <v>9</v>
      </c>
      <c r="K77" s="15">
        <f t="shared" si="67"/>
        <v>1</v>
      </c>
      <c r="L77" s="15">
        <f t="shared" si="68"/>
        <v>161</v>
      </c>
      <c r="M77" s="15">
        <f t="shared" si="69"/>
        <v>48</v>
      </c>
      <c r="N77" s="15">
        <f t="shared" si="70"/>
        <v>0</v>
      </c>
      <c r="O77" s="15">
        <f t="shared" si="71"/>
        <v>0</v>
      </c>
      <c r="P77" s="15">
        <f>SUM(K77:O77)</f>
        <v>210</v>
      </c>
      <c r="Q77" s="30" t="str">
        <f t="shared" si="98"/>
        <v>D2</v>
      </c>
      <c r="S77" s="72" t="s">
        <v>246</v>
      </c>
    </row>
    <row r="78" spans="2:19" s="2" customFormat="1" ht="16.5" customHeight="1">
      <c r="B78" s="64" t="s">
        <v>136</v>
      </c>
      <c r="C78" s="12" t="str">
        <f t="shared" si="66"/>
        <v>FF01A0310000D2</v>
      </c>
      <c r="D78" s="5" t="s">
        <v>24</v>
      </c>
      <c r="E78" s="3" t="s">
        <v>23</v>
      </c>
      <c r="F78" s="3">
        <v>31</v>
      </c>
      <c r="G78" s="5" t="s">
        <v>16</v>
      </c>
      <c r="H78" s="5" t="s">
        <v>16</v>
      </c>
      <c r="I78" s="3" t="str">
        <f t="shared" ref="I78:I95" si="109">Q78</f>
        <v>D2</v>
      </c>
      <c r="J78" s="14" t="s">
        <v>9</v>
      </c>
      <c r="K78" s="15">
        <f t="shared" si="67"/>
        <v>1</v>
      </c>
      <c r="L78" s="15">
        <f t="shared" si="68"/>
        <v>160</v>
      </c>
      <c r="M78" s="15">
        <f t="shared" si="69"/>
        <v>49</v>
      </c>
      <c r="N78" s="15">
        <f t="shared" si="70"/>
        <v>0</v>
      </c>
      <c r="O78" s="15">
        <f t="shared" si="71"/>
        <v>0</v>
      </c>
      <c r="P78" s="15">
        <f t="shared" ref="P78:P95" si="110">SUM(K78:O78)</f>
        <v>210</v>
      </c>
      <c r="Q78" s="30" t="str">
        <f t="shared" ref="Q78:Q103" si="111">REPT("0",2-LEN(RIGHT(DEC2HEX(P78), 2)))&amp;RIGHT(DEC2HEX(P78), 2)</f>
        <v>D2</v>
      </c>
      <c r="S78" s="72" t="s">
        <v>247</v>
      </c>
    </row>
    <row r="79" spans="2:19" s="2" customFormat="1" ht="16.5" customHeight="1">
      <c r="B79" s="64" t="s">
        <v>137</v>
      </c>
      <c r="C79" s="12" t="str">
        <f t="shared" ref="C79:C119" si="112">"FF01"&amp;E79&amp;""&amp;F79&amp;G79&amp;H79&amp;I79</f>
        <v>FF01A0310001D3</v>
      </c>
      <c r="D79" s="5" t="s">
        <v>24</v>
      </c>
      <c r="E79" s="3" t="s">
        <v>23</v>
      </c>
      <c r="F79" s="3">
        <v>31</v>
      </c>
      <c r="G79" s="5" t="s">
        <v>16</v>
      </c>
      <c r="H79" s="5" t="s">
        <v>24</v>
      </c>
      <c r="I79" s="3" t="str">
        <f t="shared" si="109"/>
        <v>D3</v>
      </c>
      <c r="J79" s="14" t="s">
        <v>9</v>
      </c>
      <c r="K79" s="15">
        <f t="shared" ref="K79:K116" si="113">HEX2DEC(D79)</f>
        <v>1</v>
      </c>
      <c r="L79" s="15">
        <f t="shared" ref="L79:L116" si="114">HEX2DEC(E79)</f>
        <v>160</v>
      </c>
      <c r="M79" s="15">
        <f t="shared" ref="M79:M116" si="115">HEX2DEC(F79)</f>
        <v>49</v>
      </c>
      <c r="N79" s="15">
        <f t="shared" ref="N79:N116" si="116">HEX2DEC(G79)</f>
        <v>0</v>
      </c>
      <c r="O79" s="15">
        <f t="shared" ref="O79:O116" si="117">HEX2DEC(H79)</f>
        <v>1</v>
      </c>
      <c r="P79" s="15">
        <f t="shared" si="110"/>
        <v>211</v>
      </c>
      <c r="Q79" s="30" t="str">
        <f t="shared" si="111"/>
        <v>D3</v>
      </c>
      <c r="S79" s="72" t="s">
        <v>248</v>
      </c>
    </row>
    <row r="80" spans="2:19" s="2" customFormat="1" ht="16.5" customHeight="1">
      <c r="B80" s="64" t="s">
        <v>138</v>
      </c>
      <c r="C80" s="12" t="str">
        <f t="shared" si="112"/>
        <v>FF01A0320000D3</v>
      </c>
      <c r="D80" s="5" t="s">
        <v>24</v>
      </c>
      <c r="E80" s="3" t="s">
        <v>23</v>
      </c>
      <c r="F80" s="3">
        <v>32</v>
      </c>
      <c r="G80" s="5" t="s">
        <v>16</v>
      </c>
      <c r="H80" s="5" t="s">
        <v>16</v>
      </c>
      <c r="I80" s="3" t="str">
        <f t="shared" si="109"/>
        <v>D3</v>
      </c>
      <c r="J80" s="14" t="s">
        <v>9</v>
      </c>
      <c r="K80" s="15">
        <f t="shared" si="113"/>
        <v>1</v>
      </c>
      <c r="L80" s="15">
        <f t="shared" si="114"/>
        <v>160</v>
      </c>
      <c r="M80" s="15">
        <f t="shared" si="115"/>
        <v>50</v>
      </c>
      <c r="N80" s="15">
        <f t="shared" si="116"/>
        <v>0</v>
      </c>
      <c r="O80" s="15">
        <f t="shared" si="117"/>
        <v>0</v>
      </c>
      <c r="P80" s="15">
        <f t="shared" si="110"/>
        <v>211</v>
      </c>
      <c r="Q80" s="30" t="str">
        <f t="shared" si="111"/>
        <v>D3</v>
      </c>
      <c r="S80" s="72" t="s">
        <v>249</v>
      </c>
    </row>
    <row r="81" spans="2:19" s="2" customFormat="1" ht="16.5" customHeight="1">
      <c r="B81" s="64" t="s">
        <v>1247</v>
      </c>
      <c r="C81" s="12" t="str">
        <f t="shared" ref="C81" si="118">"FF01"&amp;E81&amp;""&amp;F81&amp;G81&amp;H81&amp;I81</f>
        <v>FF01A0320014E7</v>
      </c>
      <c r="D81" s="5" t="s">
        <v>24</v>
      </c>
      <c r="E81" s="3" t="s">
        <v>23</v>
      </c>
      <c r="F81" s="3">
        <v>32</v>
      </c>
      <c r="G81" s="5" t="s">
        <v>16</v>
      </c>
      <c r="H81" s="5" t="s">
        <v>62</v>
      </c>
      <c r="I81" s="3" t="str">
        <f t="shared" ref="I81" si="119">Q81</f>
        <v>E7</v>
      </c>
      <c r="J81" s="14" t="s">
        <v>9</v>
      </c>
      <c r="K81" s="15">
        <f t="shared" ref="K81" si="120">HEX2DEC(D81)</f>
        <v>1</v>
      </c>
      <c r="L81" s="15">
        <f t="shared" ref="L81" si="121">HEX2DEC(E81)</f>
        <v>160</v>
      </c>
      <c r="M81" s="15">
        <f t="shared" ref="M81" si="122">HEX2DEC(F81)</f>
        <v>50</v>
      </c>
      <c r="N81" s="15">
        <f t="shared" ref="N81" si="123">HEX2DEC(G81)</f>
        <v>0</v>
      </c>
      <c r="O81" s="15">
        <f t="shared" ref="O81" si="124">HEX2DEC(H81)</f>
        <v>20</v>
      </c>
      <c r="P81" s="15">
        <f t="shared" ref="P81" si="125">SUM(K81:O81)</f>
        <v>231</v>
      </c>
      <c r="Q81" s="30" t="str">
        <f t="shared" ref="Q81" si="126">REPT("0",2-LEN(RIGHT(DEC2HEX(P81), 2)))&amp;RIGHT(DEC2HEX(P81), 2)</f>
        <v>E7</v>
      </c>
      <c r="S81" s="72" t="s">
        <v>249</v>
      </c>
    </row>
    <row r="82" spans="2:19" s="2" customFormat="1" ht="16.5" customHeight="1">
      <c r="B82" s="64" t="s">
        <v>139</v>
      </c>
      <c r="C82" s="12" t="str">
        <f t="shared" si="112"/>
        <v>FF01A0320028FB</v>
      </c>
      <c r="D82" s="5" t="s">
        <v>24</v>
      </c>
      <c r="E82" s="3" t="s">
        <v>23</v>
      </c>
      <c r="F82" s="3">
        <v>32</v>
      </c>
      <c r="G82" s="5" t="s">
        <v>16</v>
      </c>
      <c r="H82" s="5" t="s">
        <v>140</v>
      </c>
      <c r="I82" s="3" t="str">
        <f t="shared" si="109"/>
        <v>FB</v>
      </c>
      <c r="J82" s="14" t="s">
        <v>9</v>
      </c>
      <c r="K82" s="15">
        <f t="shared" si="113"/>
        <v>1</v>
      </c>
      <c r="L82" s="15">
        <f t="shared" si="114"/>
        <v>160</v>
      </c>
      <c r="M82" s="15">
        <f t="shared" si="115"/>
        <v>50</v>
      </c>
      <c r="N82" s="15">
        <f t="shared" si="116"/>
        <v>0</v>
      </c>
      <c r="O82" s="15">
        <f t="shared" si="117"/>
        <v>40</v>
      </c>
      <c r="P82" s="15">
        <f t="shared" si="110"/>
        <v>251</v>
      </c>
      <c r="Q82" s="30" t="str">
        <f t="shared" si="111"/>
        <v>FB</v>
      </c>
      <c r="S82" s="72" t="s">
        <v>250</v>
      </c>
    </row>
    <row r="83" spans="2:19" s="2" customFormat="1" ht="16.5" customHeight="1">
      <c r="B83" s="64" t="s">
        <v>141</v>
      </c>
      <c r="C83" s="12" t="str">
        <f t="shared" si="112"/>
        <v>FF01A0330000D4</v>
      </c>
      <c r="D83" s="5" t="s">
        <v>24</v>
      </c>
      <c r="E83" s="3" t="s">
        <v>23</v>
      </c>
      <c r="F83" s="3">
        <v>33</v>
      </c>
      <c r="G83" s="5" t="s">
        <v>16</v>
      </c>
      <c r="H83" s="5" t="s">
        <v>16</v>
      </c>
      <c r="I83" s="3" t="str">
        <f t="shared" si="109"/>
        <v>D4</v>
      </c>
      <c r="J83" s="14" t="s">
        <v>9</v>
      </c>
      <c r="K83" s="15">
        <f t="shared" si="113"/>
        <v>1</v>
      </c>
      <c r="L83" s="15">
        <f t="shared" si="114"/>
        <v>160</v>
      </c>
      <c r="M83" s="15">
        <f t="shared" si="115"/>
        <v>51</v>
      </c>
      <c r="N83" s="15">
        <f t="shared" si="116"/>
        <v>0</v>
      </c>
      <c r="O83" s="15">
        <f t="shared" si="117"/>
        <v>0</v>
      </c>
      <c r="P83" s="15">
        <f t="shared" si="110"/>
        <v>212</v>
      </c>
      <c r="Q83" s="30" t="str">
        <f t="shared" si="111"/>
        <v>D4</v>
      </c>
      <c r="S83" s="72" t="s">
        <v>251</v>
      </c>
    </row>
    <row r="84" spans="2:19" s="2" customFormat="1" ht="16.5" customHeight="1">
      <c r="B84" s="64" t="s">
        <v>1248</v>
      </c>
      <c r="C84" s="12" t="str">
        <f t="shared" ref="C84" si="127">"FF01"&amp;E84&amp;""&amp;F84&amp;G84&amp;H84&amp;I84</f>
        <v>FF01A0330014E8</v>
      </c>
      <c r="D84" s="5" t="s">
        <v>24</v>
      </c>
      <c r="E84" s="3" t="s">
        <v>23</v>
      </c>
      <c r="F84" s="3">
        <v>33</v>
      </c>
      <c r="G84" s="5" t="s">
        <v>16</v>
      </c>
      <c r="H84" s="5" t="s">
        <v>62</v>
      </c>
      <c r="I84" s="3" t="str">
        <f t="shared" ref="I84" si="128">Q84</f>
        <v>E8</v>
      </c>
      <c r="J84" s="14" t="s">
        <v>9</v>
      </c>
      <c r="K84" s="15">
        <f t="shared" ref="K84" si="129">HEX2DEC(D84)</f>
        <v>1</v>
      </c>
      <c r="L84" s="15">
        <f t="shared" ref="L84" si="130">HEX2DEC(E84)</f>
        <v>160</v>
      </c>
      <c r="M84" s="15">
        <f t="shared" ref="M84" si="131">HEX2DEC(F84)</f>
        <v>51</v>
      </c>
      <c r="N84" s="15">
        <f t="shared" ref="N84" si="132">HEX2DEC(G84)</f>
        <v>0</v>
      </c>
      <c r="O84" s="15">
        <f t="shared" ref="O84" si="133">HEX2DEC(H84)</f>
        <v>20</v>
      </c>
      <c r="P84" s="15">
        <f t="shared" ref="P84" si="134">SUM(K84:O84)</f>
        <v>232</v>
      </c>
      <c r="Q84" s="30" t="str">
        <f t="shared" ref="Q84" si="135">REPT("0",2-LEN(RIGHT(DEC2HEX(P84), 2)))&amp;RIGHT(DEC2HEX(P84), 2)</f>
        <v>E8</v>
      </c>
      <c r="S84" s="72" t="s">
        <v>251</v>
      </c>
    </row>
    <row r="85" spans="2:19" s="2" customFormat="1" ht="16.5" customHeight="1">
      <c r="B85" s="64" t="s">
        <v>142</v>
      </c>
      <c r="C85" s="12" t="str">
        <f t="shared" si="112"/>
        <v>FF01A0330028FC</v>
      </c>
      <c r="D85" s="5" t="s">
        <v>24</v>
      </c>
      <c r="E85" s="3" t="s">
        <v>23</v>
      </c>
      <c r="F85" s="3">
        <v>33</v>
      </c>
      <c r="G85" s="5" t="s">
        <v>16</v>
      </c>
      <c r="H85" s="5" t="s">
        <v>140</v>
      </c>
      <c r="I85" s="3" t="str">
        <f t="shared" si="109"/>
        <v>FC</v>
      </c>
      <c r="J85" s="14" t="s">
        <v>9</v>
      </c>
      <c r="K85" s="15">
        <f t="shared" si="113"/>
        <v>1</v>
      </c>
      <c r="L85" s="15">
        <f t="shared" si="114"/>
        <v>160</v>
      </c>
      <c r="M85" s="15">
        <f t="shared" si="115"/>
        <v>51</v>
      </c>
      <c r="N85" s="15">
        <f t="shared" si="116"/>
        <v>0</v>
      </c>
      <c r="O85" s="15">
        <f t="shared" si="117"/>
        <v>40</v>
      </c>
      <c r="P85" s="15">
        <f t="shared" si="110"/>
        <v>252</v>
      </c>
      <c r="Q85" s="30" t="str">
        <f t="shared" si="111"/>
        <v>FC</v>
      </c>
      <c r="S85" s="72" t="s">
        <v>252</v>
      </c>
    </row>
    <row r="86" spans="2:19" s="2" customFormat="1" ht="16.5" customHeight="1">
      <c r="B86" s="64" t="s">
        <v>143</v>
      </c>
      <c r="C86" s="12" t="str">
        <f t="shared" si="112"/>
        <v>FF01A0340000D5</v>
      </c>
      <c r="D86" s="5" t="s">
        <v>24</v>
      </c>
      <c r="E86" s="3" t="s">
        <v>23</v>
      </c>
      <c r="F86" s="3">
        <v>34</v>
      </c>
      <c r="G86" s="5" t="s">
        <v>16</v>
      </c>
      <c r="H86" s="5" t="s">
        <v>16</v>
      </c>
      <c r="I86" s="3" t="str">
        <f t="shared" si="109"/>
        <v>D5</v>
      </c>
      <c r="J86" s="14" t="s">
        <v>9</v>
      </c>
      <c r="K86" s="15">
        <f t="shared" si="113"/>
        <v>1</v>
      </c>
      <c r="L86" s="15">
        <f t="shared" si="114"/>
        <v>160</v>
      </c>
      <c r="M86" s="15">
        <f t="shared" si="115"/>
        <v>52</v>
      </c>
      <c r="N86" s="15">
        <f t="shared" si="116"/>
        <v>0</v>
      </c>
      <c r="O86" s="15">
        <f t="shared" si="117"/>
        <v>0</v>
      </c>
      <c r="P86" s="15">
        <f t="shared" si="110"/>
        <v>213</v>
      </c>
      <c r="Q86" s="30" t="str">
        <f t="shared" si="111"/>
        <v>D5</v>
      </c>
      <c r="S86" s="72" t="s">
        <v>253</v>
      </c>
    </row>
    <row r="87" spans="2:19" s="2" customFormat="1" ht="16.5" customHeight="1">
      <c r="B87" s="64" t="s">
        <v>144</v>
      </c>
      <c r="C87" s="12" t="str">
        <f t="shared" si="112"/>
        <v>FF01A0340001D6</v>
      </c>
      <c r="D87" s="5" t="s">
        <v>24</v>
      </c>
      <c r="E87" s="3" t="s">
        <v>23</v>
      </c>
      <c r="F87" s="3">
        <v>34</v>
      </c>
      <c r="G87" s="5" t="s">
        <v>16</v>
      </c>
      <c r="H87" s="5" t="s">
        <v>24</v>
      </c>
      <c r="I87" s="3" t="str">
        <f t="shared" si="109"/>
        <v>D6</v>
      </c>
      <c r="J87" s="14" t="s">
        <v>9</v>
      </c>
      <c r="K87" s="15">
        <f t="shared" si="113"/>
        <v>1</v>
      </c>
      <c r="L87" s="15">
        <f t="shared" si="114"/>
        <v>160</v>
      </c>
      <c r="M87" s="15">
        <f t="shared" si="115"/>
        <v>52</v>
      </c>
      <c r="N87" s="15">
        <f t="shared" si="116"/>
        <v>0</v>
      </c>
      <c r="O87" s="15">
        <f t="shared" si="117"/>
        <v>1</v>
      </c>
      <c r="P87" s="15">
        <f t="shared" si="110"/>
        <v>214</v>
      </c>
      <c r="Q87" s="30" t="str">
        <f t="shared" si="111"/>
        <v>D6</v>
      </c>
      <c r="S87" s="72" t="s">
        <v>254</v>
      </c>
    </row>
    <row r="88" spans="2:19" s="2" customFormat="1" ht="16.5" customHeight="1">
      <c r="B88" s="64" t="s">
        <v>25</v>
      </c>
      <c r="C88" s="12" t="str">
        <f t="shared" si="112"/>
        <v>FF01A0350000D6</v>
      </c>
      <c r="D88" s="5" t="s">
        <v>24</v>
      </c>
      <c r="E88" s="3" t="s">
        <v>23</v>
      </c>
      <c r="F88" s="3">
        <v>35</v>
      </c>
      <c r="G88" s="5" t="s">
        <v>16</v>
      </c>
      <c r="H88" s="5" t="s">
        <v>16</v>
      </c>
      <c r="I88" s="3" t="str">
        <f t="shared" si="109"/>
        <v>D6</v>
      </c>
      <c r="J88" s="14" t="s">
        <v>9</v>
      </c>
      <c r="K88" s="15">
        <f t="shared" si="113"/>
        <v>1</v>
      </c>
      <c r="L88" s="15">
        <f t="shared" si="114"/>
        <v>160</v>
      </c>
      <c r="M88" s="15">
        <f t="shared" si="115"/>
        <v>53</v>
      </c>
      <c r="N88" s="15">
        <f t="shared" si="116"/>
        <v>0</v>
      </c>
      <c r="O88" s="15">
        <f t="shared" si="117"/>
        <v>0</v>
      </c>
      <c r="P88" s="15">
        <f t="shared" si="110"/>
        <v>214</v>
      </c>
      <c r="Q88" s="30" t="str">
        <f t="shared" si="111"/>
        <v>D6</v>
      </c>
      <c r="S88" s="72" t="s">
        <v>255</v>
      </c>
    </row>
    <row r="89" spans="2:19" s="2" customFormat="1" ht="16.5" customHeight="1">
      <c r="B89" s="64" t="s">
        <v>26</v>
      </c>
      <c r="C89" s="12" t="str">
        <f t="shared" si="112"/>
        <v>FF01A0350001D7</v>
      </c>
      <c r="D89" s="5" t="s">
        <v>24</v>
      </c>
      <c r="E89" s="3" t="s">
        <v>23</v>
      </c>
      <c r="F89" s="3">
        <v>35</v>
      </c>
      <c r="G89" s="5" t="s">
        <v>16</v>
      </c>
      <c r="H89" s="5" t="s">
        <v>24</v>
      </c>
      <c r="I89" s="3" t="str">
        <f t="shared" si="109"/>
        <v>D7</v>
      </c>
      <c r="J89" s="14" t="s">
        <v>9</v>
      </c>
      <c r="K89" s="15">
        <f t="shared" si="113"/>
        <v>1</v>
      </c>
      <c r="L89" s="15">
        <f t="shared" si="114"/>
        <v>160</v>
      </c>
      <c r="M89" s="15">
        <f t="shared" si="115"/>
        <v>53</v>
      </c>
      <c r="N89" s="15">
        <f t="shared" si="116"/>
        <v>0</v>
      </c>
      <c r="O89" s="15">
        <f t="shared" si="117"/>
        <v>1</v>
      </c>
      <c r="P89" s="15">
        <f t="shared" si="110"/>
        <v>215</v>
      </c>
      <c r="Q89" s="30" t="str">
        <f t="shared" si="111"/>
        <v>D7</v>
      </c>
      <c r="S89" s="72" t="s">
        <v>256</v>
      </c>
    </row>
    <row r="90" spans="2:19" s="2" customFormat="1" ht="16.5" customHeight="1">
      <c r="B90" s="66" t="s">
        <v>27</v>
      </c>
      <c r="C90" s="19" t="str">
        <f t="shared" si="112"/>
        <v>FF01A0350002D8</v>
      </c>
      <c r="D90" s="18" t="s">
        <v>24</v>
      </c>
      <c r="E90" s="16" t="s">
        <v>23</v>
      </c>
      <c r="F90" s="16">
        <v>35</v>
      </c>
      <c r="G90" s="18" t="s">
        <v>16</v>
      </c>
      <c r="H90" s="18" t="s">
        <v>17</v>
      </c>
      <c r="I90" s="16" t="str">
        <f t="shared" si="109"/>
        <v>D8</v>
      </c>
      <c r="J90" s="20" t="s">
        <v>9</v>
      </c>
      <c r="K90" s="21">
        <f t="shared" si="113"/>
        <v>1</v>
      </c>
      <c r="L90" s="21">
        <f t="shared" si="114"/>
        <v>160</v>
      </c>
      <c r="M90" s="21">
        <f t="shared" si="115"/>
        <v>53</v>
      </c>
      <c r="N90" s="21">
        <f t="shared" si="116"/>
        <v>0</v>
      </c>
      <c r="O90" s="21">
        <f t="shared" si="117"/>
        <v>2</v>
      </c>
      <c r="P90" s="21">
        <f t="shared" si="110"/>
        <v>216</v>
      </c>
      <c r="Q90" s="61" t="str">
        <f t="shared" si="111"/>
        <v>D8</v>
      </c>
      <c r="S90" s="72" t="s">
        <v>257</v>
      </c>
    </row>
    <row r="91" spans="2:19" s="2" customFormat="1" ht="16.5" customHeight="1">
      <c r="B91" s="66" t="s">
        <v>145</v>
      </c>
      <c r="C91" s="19" t="str">
        <f t="shared" si="112"/>
        <v>FF01A0360000D7</v>
      </c>
      <c r="D91" s="18" t="s">
        <v>24</v>
      </c>
      <c r="E91" s="16" t="s">
        <v>23</v>
      </c>
      <c r="F91" s="16">
        <v>36</v>
      </c>
      <c r="G91" s="18" t="s">
        <v>16</v>
      </c>
      <c r="H91" s="18" t="s">
        <v>16</v>
      </c>
      <c r="I91" s="16" t="str">
        <f t="shared" si="109"/>
        <v>D7</v>
      </c>
      <c r="J91" s="20" t="s">
        <v>9</v>
      </c>
      <c r="K91" s="21">
        <f t="shared" si="113"/>
        <v>1</v>
      </c>
      <c r="L91" s="21">
        <f t="shared" si="114"/>
        <v>160</v>
      </c>
      <c r="M91" s="21">
        <f t="shared" si="115"/>
        <v>54</v>
      </c>
      <c r="N91" s="21">
        <f t="shared" si="116"/>
        <v>0</v>
      </c>
      <c r="O91" s="21">
        <f t="shared" si="117"/>
        <v>0</v>
      </c>
      <c r="P91" s="21">
        <f t="shared" si="110"/>
        <v>215</v>
      </c>
      <c r="Q91" s="61" t="str">
        <f t="shared" si="111"/>
        <v>D7</v>
      </c>
      <c r="S91" s="72" t="s">
        <v>258</v>
      </c>
    </row>
    <row r="92" spans="2:19" s="2" customFormat="1" ht="16.5" customHeight="1">
      <c r="B92" s="66" t="s">
        <v>146</v>
      </c>
      <c r="C92" s="19" t="str">
        <f t="shared" si="112"/>
        <v>FF01A0360001D8</v>
      </c>
      <c r="D92" s="18" t="s">
        <v>24</v>
      </c>
      <c r="E92" s="16" t="s">
        <v>23</v>
      </c>
      <c r="F92" s="16">
        <v>36</v>
      </c>
      <c r="G92" s="18" t="s">
        <v>16</v>
      </c>
      <c r="H92" s="18" t="s">
        <v>24</v>
      </c>
      <c r="I92" s="16" t="str">
        <f t="shared" si="109"/>
        <v>D8</v>
      </c>
      <c r="J92" s="20" t="s">
        <v>9</v>
      </c>
      <c r="K92" s="21">
        <f t="shared" si="113"/>
        <v>1</v>
      </c>
      <c r="L92" s="21">
        <f t="shared" si="114"/>
        <v>160</v>
      </c>
      <c r="M92" s="21">
        <f t="shared" si="115"/>
        <v>54</v>
      </c>
      <c r="N92" s="21">
        <f t="shared" si="116"/>
        <v>0</v>
      </c>
      <c r="O92" s="21">
        <f t="shared" si="117"/>
        <v>1</v>
      </c>
      <c r="P92" s="21">
        <f t="shared" si="110"/>
        <v>216</v>
      </c>
      <c r="Q92" s="61" t="str">
        <f t="shared" si="111"/>
        <v>D8</v>
      </c>
      <c r="S92" s="72" t="s">
        <v>259</v>
      </c>
    </row>
    <row r="93" spans="2:19" s="2" customFormat="1" ht="16.5" customHeight="1">
      <c r="B93" s="66" t="s">
        <v>147</v>
      </c>
      <c r="C93" s="19" t="str">
        <f t="shared" si="112"/>
        <v>FF01A0360002D9</v>
      </c>
      <c r="D93" s="18" t="s">
        <v>24</v>
      </c>
      <c r="E93" s="16" t="s">
        <v>23</v>
      </c>
      <c r="F93" s="16">
        <v>36</v>
      </c>
      <c r="G93" s="18" t="s">
        <v>16</v>
      </c>
      <c r="H93" s="18" t="s">
        <v>17</v>
      </c>
      <c r="I93" s="16" t="str">
        <f t="shared" si="109"/>
        <v>D9</v>
      </c>
      <c r="J93" s="20" t="s">
        <v>9</v>
      </c>
      <c r="K93" s="21">
        <f t="shared" si="113"/>
        <v>1</v>
      </c>
      <c r="L93" s="21">
        <f t="shared" si="114"/>
        <v>160</v>
      </c>
      <c r="M93" s="21">
        <f t="shared" si="115"/>
        <v>54</v>
      </c>
      <c r="N93" s="21">
        <f t="shared" si="116"/>
        <v>0</v>
      </c>
      <c r="O93" s="21">
        <f t="shared" si="117"/>
        <v>2</v>
      </c>
      <c r="P93" s="21">
        <f t="shared" si="110"/>
        <v>217</v>
      </c>
      <c r="Q93" s="61" t="str">
        <f t="shared" si="111"/>
        <v>D9</v>
      </c>
      <c r="S93" s="72" t="s">
        <v>260</v>
      </c>
    </row>
    <row r="94" spans="2:19" s="2" customFormat="1" ht="16.5" customHeight="1" thickBot="1">
      <c r="B94" s="65" t="s">
        <v>148</v>
      </c>
      <c r="C94" s="35" t="str">
        <f t="shared" si="112"/>
        <v>FF01A0360003DA</v>
      </c>
      <c r="D94" s="34" t="s">
        <v>24</v>
      </c>
      <c r="E94" s="32" t="s">
        <v>23</v>
      </c>
      <c r="F94" s="32">
        <v>36</v>
      </c>
      <c r="G94" s="34" t="s">
        <v>16</v>
      </c>
      <c r="H94" s="34" t="s">
        <v>91</v>
      </c>
      <c r="I94" s="32" t="str">
        <f t="shared" si="109"/>
        <v>DA</v>
      </c>
      <c r="J94" s="36" t="s">
        <v>9</v>
      </c>
      <c r="K94" s="37">
        <f t="shared" si="113"/>
        <v>1</v>
      </c>
      <c r="L94" s="37">
        <f t="shared" si="114"/>
        <v>160</v>
      </c>
      <c r="M94" s="37">
        <f t="shared" si="115"/>
        <v>54</v>
      </c>
      <c r="N94" s="37">
        <f t="shared" si="116"/>
        <v>0</v>
      </c>
      <c r="O94" s="37">
        <f t="shared" si="117"/>
        <v>3</v>
      </c>
      <c r="P94" s="37">
        <f t="shared" si="110"/>
        <v>218</v>
      </c>
      <c r="Q94" s="38" t="str">
        <f t="shared" si="111"/>
        <v>DA</v>
      </c>
      <c r="S94" s="72" t="s">
        <v>261</v>
      </c>
    </row>
    <row r="95" spans="2:19" s="2" customFormat="1" ht="16.5" customHeight="1">
      <c r="B95" s="70" t="s">
        <v>157</v>
      </c>
      <c r="C95" s="26" t="str">
        <f t="shared" ref="C95" si="136">"FF01"&amp;E95&amp;""&amp;F95&amp;G95&amp;H95&amp;I95</f>
        <v>FF01A1400000E2</v>
      </c>
      <c r="D95" s="68" t="s">
        <v>24</v>
      </c>
      <c r="E95" s="26" t="s">
        <v>80</v>
      </c>
      <c r="F95" s="26">
        <v>40</v>
      </c>
      <c r="G95" s="68" t="s">
        <v>16</v>
      </c>
      <c r="H95" s="68" t="s">
        <v>16</v>
      </c>
      <c r="I95" s="26" t="str">
        <f t="shared" si="109"/>
        <v>E2</v>
      </c>
      <c r="J95" s="26" t="s">
        <v>9</v>
      </c>
      <c r="K95" s="27">
        <f t="shared" ref="K95" si="137">HEX2DEC(D95)</f>
        <v>1</v>
      </c>
      <c r="L95" s="27">
        <f t="shared" ref="L95" si="138">HEX2DEC(E95)</f>
        <v>161</v>
      </c>
      <c r="M95" s="27">
        <f t="shared" ref="M95" si="139">HEX2DEC(F95)</f>
        <v>64</v>
      </c>
      <c r="N95" s="27">
        <f t="shared" ref="N95" si="140">HEX2DEC(G95)</f>
        <v>0</v>
      </c>
      <c r="O95" s="27">
        <f t="shared" ref="O95" si="141">HEX2DEC(H95)</f>
        <v>0</v>
      </c>
      <c r="P95" s="27">
        <f t="shared" si="110"/>
        <v>226</v>
      </c>
      <c r="Q95" s="28" t="str">
        <f t="shared" si="111"/>
        <v>E2</v>
      </c>
      <c r="S95" s="72" t="s">
        <v>262</v>
      </c>
    </row>
    <row r="96" spans="2:19" s="2" customFormat="1" ht="16.5" customHeight="1">
      <c r="B96" s="66" t="s">
        <v>150</v>
      </c>
      <c r="C96" s="19" t="str">
        <f t="shared" si="112"/>
        <v>FF01A0410000E2</v>
      </c>
      <c r="D96" s="18" t="s">
        <v>24</v>
      </c>
      <c r="E96" s="16" t="s">
        <v>23</v>
      </c>
      <c r="F96" s="16">
        <v>41</v>
      </c>
      <c r="G96" s="18" t="s">
        <v>16</v>
      </c>
      <c r="H96" s="18" t="s">
        <v>16</v>
      </c>
      <c r="I96" s="16" t="str">
        <f t="shared" ref="I96" si="142">Q96</f>
        <v>E2</v>
      </c>
      <c r="J96" s="20" t="s">
        <v>9</v>
      </c>
      <c r="K96" s="21">
        <f t="shared" si="113"/>
        <v>1</v>
      </c>
      <c r="L96" s="21">
        <f t="shared" si="114"/>
        <v>160</v>
      </c>
      <c r="M96" s="21">
        <f t="shared" si="115"/>
        <v>65</v>
      </c>
      <c r="N96" s="21">
        <f t="shared" si="116"/>
        <v>0</v>
      </c>
      <c r="O96" s="21">
        <f t="shared" si="117"/>
        <v>0</v>
      </c>
      <c r="P96" s="21">
        <f t="shared" ref="P96" si="143">SUM(K96:O96)</f>
        <v>226</v>
      </c>
      <c r="Q96" s="61" t="str">
        <f t="shared" si="111"/>
        <v>E2</v>
      </c>
      <c r="S96" s="72" t="s">
        <v>263</v>
      </c>
    </row>
    <row r="97" spans="2:19" s="2" customFormat="1" ht="16.5" customHeight="1">
      <c r="B97" s="66" t="s">
        <v>151</v>
      </c>
      <c r="C97" s="19" t="str">
        <f t="shared" si="112"/>
        <v>FF01A0420000E3</v>
      </c>
      <c r="D97" s="18" t="s">
        <v>24</v>
      </c>
      <c r="E97" s="16" t="s">
        <v>23</v>
      </c>
      <c r="F97" s="16">
        <v>42</v>
      </c>
      <c r="G97" s="18" t="s">
        <v>16</v>
      </c>
      <c r="H97" s="18" t="s">
        <v>16</v>
      </c>
      <c r="I97" s="16" t="str">
        <f t="shared" ref="I97:I107" si="144">Q97</f>
        <v>E3</v>
      </c>
      <c r="J97" s="20" t="s">
        <v>9</v>
      </c>
      <c r="K97" s="21">
        <f t="shared" si="113"/>
        <v>1</v>
      </c>
      <c r="L97" s="21">
        <f t="shared" si="114"/>
        <v>160</v>
      </c>
      <c r="M97" s="21">
        <f t="shared" si="115"/>
        <v>66</v>
      </c>
      <c r="N97" s="21">
        <f t="shared" si="116"/>
        <v>0</v>
      </c>
      <c r="O97" s="21">
        <f t="shared" si="117"/>
        <v>0</v>
      </c>
      <c r="P97" s="21">
        <f t="shared" ref="P97:P102" si="145">SUM(K97:O97)</f>
        <v>227</v>
      </c>
      <c r="Q97" s="61" t="str">
        <f t="shared" si="111"/>
        <v>E3</v>
      </c>
      <c r="S97" s="72" t="s">
        <v>264</v>
      </c>
    </row>
    <row r="98" spans="2:19" s="2" customFormat="1" ht="16.5" customHeight="1">
      <c r="B98" s="66" t="s">
        <v>152</v>
      </c>
      <c r="C98" s="19" t="str">
        <f t="shared" si="112"/>
        <v>FF01A0420001E4</v>
      </c>
      <c r="D98" s="18" t="s">
        <v>24</v>
      </c>
      <c r="E98" s="16" t="s">
        <v>23</v>
      </c>
      <c r="F98" s="16">
        <v>42</v>
      </c>
      <c r="G98" s="18" t="s">
        <v>16</v>
      </c>
      <c r="H98" s="18" t="s">
        <v>24</v>
      </c>
      <c r="I98" s="16" t="str">
        <f t="shared" si="144"/>
        <v>E4</v>
      </c>
      <c r="J98" s="20" t="s">
        <v>9</v>
      </c>
      <c r="K98" s="21">
        <f t="shared" si="113"/>
        <v>1</v>
      </c>
      <c r="L98" s="21">
        <f t="shared" si="114"/>
        <v>160</v>
      </c>
      <c r="M98" s="21">
        <f t="shared" si="115"/>
        <v>66</v>
      </c>
      <c r="N98" s="21">
        <f t="shared" si="116"/>
        <v>0</v>
      </c>
      <c r="O98" s="21">
        <f t="shared" si="117"/>
        <v>1</v>
      </c>
      <c r="P98" s="21">
        <f t="shared" si="145"/>
        <v>228</v>
      </c>
      <c r="Q98" s="61" t="str">
        <f t="shared" si="111"/>
        <v>E4</v>
      </c>
      <c r="S98" s="72" t="s">
        <v>265</v>
      </c>
    </row>
    <row r="99" spans="2:19" s="2" customFormat="1" ht="16.5" customHeight="1">
      <c r="B99" s="66" t="s">
        <v>153</v>
      </c>
      <c r="C99" s="19" t="str">
        <f t="shared" si="112"/>
        <v>FF01A0420002E5</v>
      </c>
      <c r="D99" s="18" t="s">
        <v>24</v>
      </c>
      <c r="E99" s="16" t="s">
        <v>23</v>
      </c>
      <c r="F99" s="16">
        <v>42</v>
      </c>
      <c r="G99" s="18" t="s">
        <v>16</v>
      </c>
      <c r="H99" s="18" t="s">
        <v>17</v>
      </c>
      <c r="I99" s="16" t="str">
        <f t="shared" si="144"/>
        <v>E5</v>
      </c>
      <c r="J99" s="20" t="s">
        <v>9</v>
      </c>
      <c r="K99" s="21">
        <f t="shared" si="113"/>
        <v>1</v>
      </c>
      <c r="L99" s="21">
        <f t="shared" si="114"/>
        <v>160</v>
      </c>
      <c r="M99" s="21">
        <f t="shared" si="115"/>
        <v>66</v>
      </c>
      <c r="N99" s="21">
        <f t="shared" si="116"/>
        <v>0</v>
      </c>
      <c r="O99" s="21">
        <f t="shared" si="117"/>
        <v>2</v>
      </c>
      <c r="P99" s="21">
        <f t="shared" si="145"/>
        <v>229</v>
      </c>
      <c r="Q99" s="61" t="str">
        <f t="shared" si="111"/>
        <v>E5</v>
      </c>
      <c r="S99" s="72" t="s">
        <v>266</v>
      </c>
    </row>
    <row r="100" spans="2:19" s="2" customFormat="1" ht="16.5" customHeight="1">
      <c r="B100" s="66" t="s">
        <v>154</v>
      </c>
      <c r="C100" s="19" t="str">
        <f t="shared" si="112"/>
        <v>FF01A0430001E5</v>
      </c>
      <c r="D100" s="18" t="s">
        <v>24</v>
      </c>
      <c r="E100" s="16" t="s">
        <v>23</v>
      </c>
      <c r="F100" s="16">
        <v>43</v>
      </c>
      <c r="G100" s="18" t="s">
        <v>16</v>
      </c>
      <c r="H100" s="18" t="s">
        <v>24</v>
      </c>
      <c r="I100" s="16" t="str">
        <f t="shared" si="144"/>
        <v>E5</v>
      </c>
      <c r="J100" s="20" t="s">
        <v>9</v>
      </c>
      <c r="K100" s="21">
        <f t="shared" si="113"/>
        <v>1</v>
      </c>
      <c r="L100" s="21">
        <f t="shared" si="114"/>
        <v>160</v>
      </c>
      <c r="M100" s="21">
        <f t="shared" si="115"/>
        <v>67</v>
      </c>
      <c r="N100" s="21">
        <f t="shared" si="116"/>
        <v>0</v>
      </c>
      <c r="O100" s="21">
        <f t="shared" si="117"/>
        <v>1</v>
      </c>
      <c r="P100" s="21">
        <f t="shared" si="145"/>
        <v>229</v>
      </c>
      <c r="Q100" s="61" t="str">
        <f t="shared" si="111"/>
        <v>E5</v>
      </c>
      <c r="S100" s="72" t="s">
        <v>267</v>
      </c>
    </row>
    <row r="101" spans="2:19" s="2" customFormat="1" ht="16.5" customHeight="1">
      <c r="B101" s="66" t="s">
        <v>1249</v>
      </c>
      <c r="C101" s="19" t="str">
        <f t="shared" ref="C101" si="146">"FF01"&amp;E101&amp;""&amp;F101&amp;G101&amp;H101&amp;I101</f>
        <v>FF01A043001E02</v>
      </c>
      <c r="D101" s="18" t="s">
        <v>24</v>
      </c>
      <c r="E101" s="16" t="s">
        <v>23</v>
      </c>
      <c r="F101" s="16">
        <v>43</v>
      </c>
      <c r="G101" s="18" t="s">
        <v>16</v>
      </c>
      <c r="H101" s="18" t="s">
        <v>63</v>
      </c>
      <c r="I101" s="16" t="str">
        <f t="shared" ref="I101" si="147">Q101</f>
        <v>02</v>
      </c>
      <c r="J101" s="20" t="s">
        <v>9</v>
      </c>
      <c r="K101" s="21">
        <f t="shared" ref="K101" si="148">HEX2DEC(D101)</f>
        <v>1</v>
      </c>
      <c r="L101" s="21">
        <f t="shared" ref="L101" si="149">HEX2DEC(E101)</f>
        <v>160</v>
      </c>
      <c r="M101" s="21">
        <f t="shared" ref="M101" si="150">HEX2DEC(F101)</f>
        <v>67</v>
      </c>
      <c r="N101" s="21">
        <f t="shared" ref="N101" si="151">HEX2DEC(G101)</f>
        <v>0</v>
      </c>
      <c r="O101" s="21">
        <f t="shared" ref="O101" si="152">HEX2DEC(H101)</f>
        <v>30</v>
      </c>
      <c r="P101" s="21">
        <f t="shared" ref="P101" si="153">SUM(K101:O101)</f>
        <v>258</v>
      </c>
      <c r="Q101" s="61" t="str">
        <f t="shared" ref="Q101" si="154">REPT("0",2-LEN(RIGHT(DEC2HEX(P101), 2)))&amp;RIGHT(DEC2HEX(P101), 2)</f>
        <v>02</v>
      </c>
      <c r="S101" s="72" t="s">
        <v>267</v>
      </c>
    </row>
    <row r="102" spans="2:19" s="2" customFormat="1" ht="16.5" customHeight="1" thickBot="1">
      <c r="B102" s="65" t="s">
        <v>155</v>
      </c>
      <c r="C102" s="35" t="str">
        <f t="shared" si="112"/>
        <v>FF01A04300B498</v>
      </c>
      <c r="D102" s="34" t="s">
        <v>24</v>
      </c>
      <c r="E102" s="32" t="s">
        <v>23</v>
      </c>
      <c r="F102" s="34">
        <v>43</v>
      </c>
      <c r="G102" s="34" t="s">
        <v>16</v>
      </c>
      <c r="H102" s="34" t="s">
        <v>124</v>
      </c>
      <c r="I102" s="32" t="str">
        <f t="shared" si="144"/>
        <v>98</v>
      </c>
      <c r="J102" s="36" t="s">
        <v>9</v>
      </c>
      <c r="K102" s="37">
        <f t="shared" si="113"/>
        <v>1</v>
      </c>
      <c r="L102" s="37">
        <f t="shared" si="114"/>
        <v>160</v>
      </c>
      <c r="M102" s="37">
        <f t="shared" si="115"/>
        <v>67</v>
      </c>
      <c r="N102" s="37">
        <f t="shared" si="116"/>
        <v>0</v>
      </c>
      <c r="O102" s="37">
        <f t="shared" si="117"/>
        <v>180</v>
      </c>
      <c r="P102" s="37">
        <f t="shared" si="145"/>
        <v>408</v>
      </c>
      <c r="Q102" s="38" t="str">
        <f t="shared" si="111"/>
        <v>98</v>
      </c>
      <c r="S102" s="72" t="s">
        <v>268</v>
      </c>
    </row>
    <row r="103" spans="2:19" s="2" customFormat="1" ht="16.5" customHeight="1">
      <c r="B103" s="122" t="s">
        <v>158</v>
      </c>
      <c r="C103" s="98" t="str">
        <f t="shared" ref="C103" si="155">"FF01"&amp;E103&amp;""&amp;F103&amp;G103&amp;H103&amp;I103</f>
        <v>FF01A1500000F2</v>
      </c>
      <c r="D103" s="111" t="s">
        <v>24</v>
      </c>
      <c r="E103" s="98" t="s">
        <v>80</v>
      </c>
      <c r="F103" s="111" t="s">
        <v>162</v>
      </c>
      <c r="G103" s="111" t="s">
        <v>16</v>
      </c>
      <c r="H103" s="111" t="s">
        <v>16</v>
      </c>
      <c r="I103" s="98" t="str">
        <f>Q103</f>
        <v>F2</v>
      </c>
      <c r="J103" s="98" t="s">
        <v>9</v>
      </c>
      <c r="K103" s="99">
        <f t="shared" ref="K103" si="156">HEX2DEC(D103)</f>
        <v>1</v>
      </c>
      <c r="L103" s="99">
        <f t="shared" ref="L103" si="157">HEX2DEC(E103)</f>
        <v>161</v>
      </c>
      <c r="M103" s="99">
        <f t="shared" ref="M103" si="158">HEX2DEC(F103)</f>
        <v>80</v>
      </c>
      <c r="N103" s="99">
        <f t="shared" ref="N103" si="159">HEX2DEC(G103)</f>
        <v>0</v>
      </c>
      <c r="O103" s="99">
        <f t="shared" ref="O103" si="160">HEX2DEC(H103)</f>
        <v>0</v>
      </c>
      <c r="P103" s="99">
        <f>SUM(K103:O103)</f>
        <v>242</v>
      </c>
      <c r="Q103" s="100" t="str">
        <f t="shared" si="111"/>
        <v>F2</v>
      </c>
      <c r="S103" s="72" t="s">
        <v>269</v>
      </c>
    </row>
    <row r="104" spans="2:19" s="2" customFormat="1" ht="16.5" customHeight="1">
      <c r="B104" s="71" t="s">
        <v>163</v>
      </c>
      <c r="C104" s="14" t="str">
        <f t="shared" si="112"/>
        <v>FF01A0510000F2</v>
      </c>
      <c r="D104" s="67" t="s">
        <v>24</v>
      </c>
      <c r="E104" s="14" t="s">
        <v>23</v>
      </c>
      <c r="F104" s="67" t="s">
        <v>166</v>
      </c>
      <c r="G104" s="67" t="s">
        <v>16</v>
      </c>
      <c r="H104" s="67" t="s">
        <v>16</v>
      </c>
      <c r="I104" s="14" t="str">
        <f t="shared" ref="I104:I105" si="161">Q104</f>
        <v>F2</v>
      </c>
      <c r="J104" s="14" t="s">
        <v>9</v>
      </c>
      <c r="K104" s="15">
        <f t="shared" si="113"/>
        <v>1</v>
      </c>
      <c r="L104" s="15">
        <f t="shared" si="114"/>
        <v>160</v>
      </c>
      <c r="M104" s="15">
        <f t="shared" si="115"/>
        <v>81</v>
      </c>
      <c r="N104" s="15">
        <f t="shared" si="116"/>
        <v>0</v>
      </c>
      <c r="O104" s="15">
        <f t="shared" si="117"/>
        <v>0</v>
      </c>
      <c r="P104" s="15">
        <f t="shared" ref="P104:P105" si="162">SUM(K104:O104)</f>
        <v>242</v>
      </c>
      <c r="Q104" s="30" t="str">
        <f t="shared" ref="Q104:Q105" si="163">REPT("0",2-LEN(RIGHT(DEC2HEX(P104), 2)))&amp;RIGHT(DEC2HEX(P104), 2)</f>
        <v>F2</v>
      </c>
      <c r="S104" s="72" t="s">
        <v>270</v>
      </c>
    </row>
    <row r="105" spans="2:19" s="2" customFormat="1" ht="16.5" customHeight="1">
      <c r="B105" s="71" t="s">
        <v>164</v>
      </c>
      <c r="C105" s="14" t="str">
        <f t="shared" si="112"/>
        <v>FF01A0520000F3</v>
      </c>
      <c r="D105" s="67" t="s">
        <v>24</v>
      </c>
      <c r="E105" s="14" t="s">
        <v>23</v>
      </c>
      <c r="F105" s="67" t="s">
        <v>167</v>
      </c>
      <c r="G105" s="67" t="s">
        <v>16</v>
      </c>
      <c r="H105" s="67" t="s">
        <v>16</v>
      </c>
      <c r="I105" s="14" t="str">
        <f t="shared" si="161"/>
        <v>F3</v>
      </c>
      <c r="J105" s="14" t="s">
        <v>9</v>
      </c>
      <c r="K105" s="15">
        <f t="shared" si="113"/>
        <v>1</v>
      </c>
      <c r="L105" s="15">
        <f t="shared" si="114"/>
        <v>160</v>
      </c>
      <c r="M105" s="15">
        <f t="shared" si="115"/>
        <v>82</v>
      </c>
      <c r="N105" s="15">
        <f t="shared" si="116"/>
        <v>0</v>
      </c>
      <c r="O105" s="15">
        <f t="shared" si="117"/>
        <v>0</v>
      </c>
      <c r="P105" s="15">
        <f t="shared" si="162"/>
        <v>243</v>
      </c>
      <c r="Q105" s="30" t="str">
        <f t="shared" si="163"/>
        <v>F3</v>
      </c>
      <c r="S105" s="72" t="s">
        <v>271</v>
      </c>
    </row>
    <row r="106" spans="2:19" s="2" customFormat="1" ht="16.5" customHeight="1">
      <c r="B106" s="71" t="s">
        <v>165</v>
      </c>
      <c r="C106" s="14" t="str">
        <f t="shared" si="112"/>
        <v>FF01A0520001F4</v>
      </c>
      <c r="D106" s="67" t="s">
        <v>24</v>
      </c>
      <c r="E106" s="14" t="s">
        <v>23</v>
      </c>
      <c r="F106" s="67" t="s">
        <v>167</v>
      </c>
      <c r="G106" s="67" t="s">
        <v>16</v>
      </c>
      <c r="H106" s="67" t="s">
        <v>24</v>
      </c>
      <c r="I106" s="14" t="str">
        <f t="shared" si="144"/>
        <v>F4</v>
      </c>
      <c r="J106" s="14" t="s">
        <v>9</v>
      </c>
      <c r="K106" s="15">
        <f t="shared" si="113"/>
        <v>1</v>
      </c>
      <c r="L106" s="15">
        <f t="shared" si="114"/>
        <v>160</v>
      </c>
      <c r="M106" s="15">
        <f t="shared" si="115"/>
        <v>82</v>
      </c>
      <c r="N106" s="15">
        <f t="shared" si="116"/>
        <v>0</v>
      </c>
      <c r="O106" s="15">
        <f t="shared" si="117"/>
        <v>1</v>
      </c>
      <c r="P106" s="15">
        <f t="shared" ref="P106:P107" si="164">SUM(K106:O106)</f>
        <v>244</v>
      </c>
      <c r="Q106" s="30" t="str">
        <f t="shared" ref="Q106:Q107" si="165">REPT("0",2-LEN(RIGHT(DEC2HEX(P106), 2)))&amp;RIGHT(DEC2HEX(P106), 2)</f>
        <v>F4</v>
      </c>
      <c r="S106" s="72" t="s">
        <v>272</v>
      </c>
    </row>
    <row r="107" spans="2:19" s="2" customFormat="1" ht="16.5" customHeight="1">
      <c r="B107" s="71" t="s">
        <v>169</v>
      </c>
      <c r="C107" s="14" t="str">
        <f t="shared" si="112"/>
        <v>FF01A0530000F4</v>
      </c>
      <c r="D107" s="67" t="s">
        <v>24</v>
      </c>
      <c r="E107" s="14" t="s">
        <v>23</v>
      </c>
      <c r="F107" s="67" t="s">
        <v>168</v>
      </c>
      <c r="G107" s="67" t="s">
        <v>16</v>
      </c>
      <c r="H107" s="67" t="s">
        <v>16</v>
      </c>
      <c r="I107" s="14" t="str">
        <f t="shared" si="144"/>
        <v>F4</v>
      </c>
      <c r="J107" s="14" t="s">
        <v>9</v>
      </c>
      <c r="K107" s="15">
        <f t="shared" si="113"/>
        <v>1</v>
      </c>
      <c r="L107" s="15">
        <f t="shared" si="114"/>
        <v>160</v>
      </c>
      <c r="M107" s="15">
        <f t="shared" si="115"/>
        <v>83</v>
      </c>
      <c r="N107" s="15">
        <f t="shared" si="116"/>
        <v>0</v>
      </c>
      <c r="O107" s="15">
        <f t="shared" si="117"/>
        <v>0</v>
      </c>
      <c r="P107" s="15">
        <f t="shared" si="164"/>
        <v>244</v>
      </c>
      <c r="Q107" s="30" t="str">
        <f t="shared" si="165"/>
        <v>F4</v>
      </c>
      <c r="S107" s="72" t="s">
        <v>273</v>
      </c>
    </row>
    <row r="108" spans="2:19" s="2" customFormat="1" ht="16.5" customHeight="1" thickBot="1">
      <c r="B108" s="73" t="s">
        <v>170</v>
      </c>
      <c r="C108" s="20" t="str">
        <f t="shared" si="112"/>
        <v>FF01A0530001F5</v>
      </c>
      <c r="D108" s="74" t="s">
        <v>24</v>
      </c>
      <c r="E108" s="20" t="s">
        <v>23</v>
      </c>
      <c r="F108" s="74" t="s">
        <v>168</v>
      </c>
      <c r="G108" s="74" t="s">
        <v>16</v>
      </c>
      <c r="H108" s="74" t="s">
        <v>24</v>
      </c>
      <c r="I108" s="20" t="str">
        <f t="shared" ref="I108" si="166">Q108</f>
        <v>F5</v>
      </c>
      <c r="J108" s="20" t="s">
        <v>9</v>
      </c>
      <c r="K108" s="21">
        <f t="shared" si="113"/>
        <v>1</v>
      </c>
      <c r="L108" s="21">
        <f t="shared" si="114"/>
        <v>160</v>
      </c>
      <c r="M108" s="21">
        <f t="shared" si="115"/>
        <v>83</v>
      </c>
      <c r="N108" s="21">
        <f t="shared" si="116"/>
        <v>0</v>
      </c>
      <c r="O108" s="21">
        <f t="shared" si="117"/>
        <v>1</v>
      </c>
      <c r="P108" s="21">
        <f t="shared" ref="P108" si="167">SUM(K108:O108)</f>
        <v>245</v>
      </c>
      <c r="Q108" s="61" t="str">
        <f t="shared" ref="Q108" si="168">REPT("0",2-LEN(RIGHT(DEC2HEX(P108), 2)))&amp;RIGHT(DEC2HEX(P108), 2)</f>
        <v>F5</v>
      </c>
      <c r="S108" s="72" t="s">
        <v>274</v>
      </c>
    </row>
    <row r="109" spans="2:19" s="2" customFormat="1" ht="15.75" customHeight="1">
      <c r="B109" s="70" t="s">
        <v>159</v>
      </c>
      <c r="C109" s="26" t="str">
        <f t="shared" ref="C109" si="169">"FF01"&amp;E109&amp;""&amp;F109&amp;G109&amp;H109&amp;I109</f>
        <v>FF01E1000000E2</v>
      </c>
      <c r="D109" s="68" t="s">
        <v>24</v>
      </c>
      <c r="E109" s="26" t="s">
        <v>161</v>
      </c>
      <c r="F109" s="68" t="s">
        <v>16</v>
      </c>
      <c r="G109" s="68" t="s">
        <v>16</v>
      </c>
      <c r="H109" s="68" t="s">
        <v>16</v>
      </c>
      <c r="I109" s="26" t="str">
        <f>Q109</f>
        <v>E2</v>
      </c>
      <c r="J109" s="26" t="s">
        <v>9</v>
      </c>
      <c r="K109" s="27">
        <f t="shared" ref="K109" si="170">HEX2DEC(D109)</f>
        <v>1</v>
      </c>
      <c r="L109" s="27">
        <f t="shared" ref="L109" si="171">HEX2DEC(E109)</f>
        <v>225</v>
      </c>
      <c r="M109" s="27">
        <f t="shared" ref="M109" si="172">HEX2DEC(F109)</f>
        <v>0</v>
      </c>
      <c r="N109" s="27">
        <f t="shared" ref="N109" si="173">HEX2DEC(G109)</f>
        <v>0</v>
      </c>
      <c r="O109" s="27">
        <f t="shared" ref="O109" si="174">HEX2DEC(H109)</f>
        <v>0</v>
      </c>
      <c r="P109" s="27">
        <f t="shared" ref="P109" si="175">SUM(K109:O109)</f>
        <v>226</v>
      </c>
      <c r="Q109" s="28" t="str">
        <f>REPT("0",2-LEN(RIGHT(DEC2HEX(P109), 2)))&amp;RIGHT(DEC2HEX(P109), 2)</f>
        <v>E2</v>
      </c>
      <c r="S109" s="72" t="s">
        <v>173</v>
      </c>
    </row>
    <row r="110" spans="2:19" s="2" customFormat="1" ht="16.5" customHeight="1">
      <c r="B110" s="75" t="s">
        <v>73</v>
      </c>
      <c r="C110" s="14" t="str">
        <f t="shared" si="112"/>
        <v>FF010055000056</v>
      </c>
      <c r="D110" s="67" t="s">
        <v>24</v>
      </c>
      <c r="E110" s="67" t="s">
        <v>16</v>
      </c>
      <c r="F110" s="67" t="s">
        <v>74</v>
      </c>
      <c r="G110" s="67" t="s">
        <v>16</v>
      </c>
      <c r="H110" s="67" t="s">
        <v>16</v>
      </c>
      <c r="I110" s="14" t="str">
        <f t="shared" ref="I110" si="176">Q110</f>
        <v>56</v>
      </c>
      <c r="J110" s="14" t="s">
        <v>9</v>
      </c>
      <c r="K110" s="15">
        <f t="shared" si="113"/>
        <v>1</v>
      </c>
      <c r="L110" s="15">
        <f t="shared" si="114"/>
        <v>0</v>
      </c>
      <c r="M110" s="15">
        <f t="shared" si="115"/>
        <v>85</v>
      </c>
      <c r="N110" s="15">
        <f t="shared" si="116"/>
        <v>0</v>
      </c>
      <c r="O110" s="15">
        <f t="shared" si="117"/>
        <v>0</v>
      </c>
      <c r="P110" s="15">
        <f t="shared" ref="P110" si="177">SUM(K110:O110)</f>
        <v>86</v>
      </c>
      <c r="Q110" s="30" t="str">
        <f t="shared" ref="Q110" si="178">REPT("0",2-LEN(RIGHT(DEC2HEX(P110), 2)))&amp;RIGHT(DEC2HEX(P110), 2)</f>
        <v>56</v>
      </c>
      <c r="S110" s="72" t="s">
        <v>188</v>
      </c>
    </row>
    <row r="111" spans="2:19" s="2" customFormat="1" ht="16.5" customHeight="1">
      <c r="B111" s="75" t="s">
        <v>75</v>
      </c>
      <c r="C111" s="14" t="str">
        <f t="shared" si="112"/>
        <v>FF010155000057</v>
      </c>
      <c r="D111" s="67" t="s">
        <v>24</v>
      </c>
      <c r="E111" s="67" t="s">
        <v>24</v>
      </c>
      <c r="F111" s="67" t="s">
        <v>74</v>
      </c>
      <c r="G111" s="67" t="s">
        <v>16</v>
      </c>
      <c r="H111" s="67" t="s">
        <v>16</v>
      </c>
      <c r="I111" s="14" t="str">
        <f>Q111</f>
        <v>57</v>
      </c>
      <c r="J111" s="14" t="s">
        <v>9</v>
      </c>
      <c r="K111" s="15">
        <f t="shared" si="113"/>
        <v>1</v>
      </c>
      <c r="L111" s="15">
        <f t="shared" si="114"/>
        <v>1</v>
      </c>
      <c r="M111" s="15">
        <f t="shared" si="115"/>
        <v>85</v>
      </c>
      <c r="N111" s="15">
        <f t="shared" si="116"/>
        <v>0</v>
      </c>
      <c r="O111" s="15">
        <f t="shared" si="117"/>
        <v>0</v>
      </c>
      <c r="P111" s="15">
        <f>SUM(K111:O111)</f>
        <v>87</v>
      </c>
      <c r="Q111" s="30" t="str">
        <f>REPT("0",2-LEN(RIGHT(DEC2HEX(P111), 2)))&amp;RIGHT(DEC2HEX(P111), 2)</f>
        <v>57</v>
      </c>
      <c r="S111" s="72" t="s">
        <v>192</v>
      </c>
    </row>
    <row r="112" spans="2:19" s="2" customFormat="1" ht="16.5" customHeight="1">
      <c r="B112" s="75" t="s">
        <v>108</v>
      </c>
      <c r="C112" s="14" t="str">
        <f t="shared" si="112"/>
        <v>FF01A1100000B2</v>
      </c>
      <c r="D112" s="67" t="s">
        <v>24</v>
      </c>
      <c r="E112" s="67" t="s">
        <v>80</v>
      </c>
      <c r="F112" s="67" t="s">
        <v>109</v>
      </c>
      <c r="G112" s="67" t="s">
        <v>16</v>
      </c>
      <c r="H112" s="67" t="s">
        <v>16</v>
      </c>
      <c r="I112" s="14" t="str">
        <f>Q112</f>
        <v>B2</v>
      </c>
      <c r="J112" s="14" t="s">
        <v>9</v>
      </c>
      <c r="K112" s="15">
        <f t="shared" si="113"/>
        <v>1</v>
      </c>
      <c r="L112" s="15">
        <f t="shared" si="114"/>
        <v>161</v>
      </c>
      <c r="M112" s="15">
        <f t="shared" si="115"/>
        <v>16</v>
      </c>
      <c r="N112" s="15">
        <f t="shared" si="116"/>
        <v>0</v>
      </c>
      <c r="O112" s="15">
        <f t="shared" si="117"/>
        <v>0</v>
      </c>
      <c r="P112" s="15">
        <f>SUM(K112:O112)</f>
        <v>178</v>
      </c>
      <c r="Q112" s="30" t="str">
        <f>REPT("0",2-LEN(RIGHT(DEC2HEX(P112), 2)))&amp;RIGHT(DEC2HEX(P112), 2)</f>
        <v>B2</v>
      </c>
      <c r="S112" s="72" t="s">
        <v>195</v>
      </c>
    </row>
    <row r="113" spans="2:19" s="2" customFormat="1" ht="16.5" customHeight="1">
      <c r="B113" s="75" t="s">
        <v>171</v>
      </c>
      <c r="C113" s="14" t="str">
        <f t="shared" si="112"/>
        <v>FF01E130000012</v>
      </c>
      <c r="D113" s="67" t="s">
        <v>24</v>
      </c>
      <c r="E113" s="14" t="s">
        <v>161</v>
      </c>
      <c r="F113" s="67" t="s">
        <v>172</v>
      </c>
      <c r="G113" s="67" t="s">
        <v>16</v>
      </c>
      <c r="H113" s="67" t="s">
        <v>16</v>
      </c>
      <c r="I113" s="14" t="str">
        <f>Q113</f>
        <v>12</v>
      </c>
      <c r="J113" s="14" t="s">
        <v>9</v>
      </c>
      <c r="K113" s="15">
        <f t="shared" si="113"/>
        <v>1</v>
      </c>
      <c r="L113" s="15">
        <f t="shared" si="114"/>
        <v>225</v>
      </c>
      <c r="M113" s="15">
        <f t="shared" si="115"/>
        <v>48</v>
      </c>
      <c r="N113" s="15">
        <f t="shared" si="116"/>
        <v>0</v>
      </c>
      <c r="O113" s="15">
        <f t="shared" si="117"/>
        <v>0</v>
      </c>
      <c r="P113" s="15">
        <f>SUM(K113:O113)</f>
        <v>274</v>
      </c>
      <c r="Q113" s="30" t="str">
        <f>REPT("0",2-LEN(RIGHT(DEC2HEX(P113), 2)))&amp;RIGHT(DEC2HEX(P113), 2)</f>
        <v>12</v>
      </c>
      <c r="S113" s="72" t="s">
        <v>276</v>
      </c>
    </row>
    <row r="114" spans="2:19" s="2" customFormat="1" ht="16.5" customHeight="1">
      <c r="B114" s="75" t="s">
        <v>156</v>
      </c>
      <c r="C114" s="14" t="str">
        <f t="shared" si="112"/>
        <v>FF01A1200000C2</v>
      </c>
      <c r="D114" s="67" t="s">
        <v>24</v>
      </c>
      <c r="E114" s="67" t="s">
        <v>80</v>
      </c>
      <c r="F114" s="67" t="s">
        <v>133</v>
      </c>
      <c r="G114" s="67" t="s">
        <v>16</v>
      </c>
      <c r="H114" s="67" t="s">
        <v>16</v>
      </c>
      <c r="I114" s="14" t="str">
        <f>Q114</f>
        <v>C2</v>
      </c>
      <c r="J114" s="14" t="s">
        <v>9</v>
      </c>
      <c r="K114" s="15">
        <f t="shared" si="113"/>
        <v>1</v>
      </c>
      <c r="L114" s="15">
        <f t="shared" si="114"/>
        <v>161</v>
      </c>
      <c r="M114" s="15">
        <f t="shared" si="115"/>
        <v>32</v>
      </c>
      <c r="N114" s="15">
        <f t="shared" si="116"/>
        <v>0</v>
      </c>
      <c r="O114" s="15">
        <f t="shared" si="117"/>
        <v>0</v>
      </c>
      <c r="P114" s="15">
        <f>SUM(K114:O114)</f>
        <v>194</v>
      </c>
      <c r="Q114" s="30" t="str">
        <f>REPT("0",2-LEN(RIGHT(DEC2HEX(P114), 2)))&amp;RIGHT(DEC2HEX(P114), 2)</f>
        <v>C2</v>
      </c>
      <c r="S114" s="72" t="s">
        <v>229</v>
      </c>
    </row>
    <row r="115" spans="2:19" s="2" customFormat="1" ht="16.5" customHeight="1">
      <c r="B115" s="75" t="s">
        <v>158</v>
      </c>
      <c r="C115" s="14" t="str">
        <f t="shared" si="112"/>
        <v>FF01A1500000F2</v>
      </c>
      <c r="D115" s="67" t="s">
        <v>24</v>
      </c>
      <c r="E115" s="14" t="s">
        <v>80</v>
      </c>
      <c r="F115" s="67" t="s">
        <v>162</v>
      </c>
      <c r="G115" s="67" t="s">
        <v>16</v>
      </c>
      <c r="H115" s="67" t="s">
        <v>16</v>
      </c>
      <c r="I115" s="14" t="str">
        <f>Q115</f>
        <v>F2</v>
      </c>
      <c r="J115" s="14" t="s">
        <v>9</v>
      </c>
      <c r="K115" s="15">
        <f t="shared" si="113"/>
        <v>1</v>
      </c>
      <c r="L115" s="15">
        <f t="shared" si="114"/>
        <v>161</v>
      </c>
      <c r="M115" s="15">
        <f t="shared" si="115"/>
        <v>80</v>
      </c>
      <c r="N115" s="15">
        <f t="shared" si="116"/>
        <v>0</v>
      </c>
      <c r="O115" s="15">
        <f t="shared" si="117"/>
        <v>0</v>
      </c>
      <c r="P115" s="15">
        <f>SUM(K115:O115)</f>
        <v>242</v>
      </c>
      <c r="Q115" s="30" t="str">
        <f t="shared" ref="Q115:Q118" si="179">REPT("0",2-LEN(RIGHT(DEC2HEX(P115), 2)))&amp;RIGHT(DEC2HEX(P115), 2)</f>
        <v>F2</v>
      </c>
      <c r="S115" s="72" t="s">
        <v>269</v>
      </c>
    </row>
    <row r="116" spans="2:19" s="2" customFormat="1" ht="16.5" customHeight="1">
      <c r="B116" s="75" t="s">
        <v>157</v>
      </c>
      <c r="C116" s="14" t="str">
        <f t="shared" si="112"/>
        <v>FF01A1400000E2</v>
      </c>
      <c r="D116" s="67" t="s">
        <v>24</v>
      </c>
      <c r="E116" s="14" t="s">
        <v>80</v>
      </c>
      <c r="F116" s="14">
        <v>40</v>
      </c>
      <c r="G116" s="67" t="s">
        <v>16</v>
      </c>
      <c r="H116" s="67" t="s">
        <v>16</v>
      </c>
      <c r="I116" s="14" t="str">
        <f t="shared" ref="I116" si="180">Q116</f>
        <v>E2</v>
      </c>
      <c r="J116" s="14" t="s">
        <v>9</v>
      </c>
      <c r="K116" s="15">
        <f t="shared" si="113"/>
        <v>1</v>
      </c>
      <c r="L116" s="15">
        <f t="shared" si="114"/>
        <v>161</v>
      </c>
      <c r="M116" s="15">
        <f t="shared" si="115"/>
        <v>64</v>
      </c>
      <c r="N116" s="15">
        <f t="shared" si="116"/>
        <v>0</v>
      </c>
      <c r="O116" s="15">
        <f t="shared" si="117"/>
        <v>0</v>
      </c>
      <c r="P116" s="15">
        <f t="shared" ref="P116" si="181">SUM(K116:O116)</f>
        <v>226</v>
      </c>
      <c r="Q116" s="30" t="str">
        <f t="shared" si="179"/>
        <v>E2</v>
      </c>
      <c r="S116" s="72" t="s">
        <v>262</v>
      </c>
    </row>
    <row r="117" spans="2:19" s="2" customFormat="1" ht="16.5" customHeight="1">
      <c r="B117" s="75" t="s">
        <v>135</v>
      </c>
      <c r="C117" s="14" t="str">
        <f t="shared" si="112"/>
        <v>FF01A1300000D2</v>
      </c>
      <c r="D117" s="67" t="s">
        <v>24</v>
      </c>
      <c r="E117" s="14" t="s">
        <v>80</v>
      </c>
      <c r="F117" s="14">
        <v>30</v>
      </c>
      <c r="G117" s="67" t="s">
        <v>16</v>
      </c>
      <c r="H117" s="67" t="s">
        <v>16</v>
      </c>
      <c r="I117" s="14" t="str">
        <f>Q117</f>
        <v>D2</v>
      </c>
      <c r="J117" s="14" t="s">
        <v>9</v>
      </c>
      <c r="K117" s="15">
        <f t="shared" ref="K117:O117" si="182">HEX2DEC(D117)</f>
        <v>1</v>
      </c>
      <c r="L117" s="15">
        <f t="shared" si="182"/>
        <v>161</v>
      </c>
      <c r="M117" s="15">
        <f t="shared" si="182"/>
        <v>48</v>
      </c>
      <c r="N117" s="15">
        <f t="shared" si="182"/>
        <v>0</v>
      </c>
      <c r="O117" s="15">
        <f t="shared" si="182"/>
        <v>0</v>
      </c>
      <c r="P117" s="15">
        <f>SUM(K117:O117)</f>
        <v>210</v>
      </c>
      <c r="Q117" s="30" t="str">
        <f t="shared" si="179"/>
        <v>D2</v>
      </c>
      <c r="S117" s="72" t="s">
        <v>246</v>
      </c>
    </row>
    <row r="118" spans="2:19" s="2" customFormat="1" ht="16.5" customHeight="1">
      <c r="B118" s="75" t="s">
        <v>134</v>
      </c>
      <c r="C118" s="14" t="str">
        <f t="shared" si="112"/>
        <v>FF01A1000000A2</v>
      </c>
      <c r="D118" s="67" t="s">
        <v>16</v>
      </c>
      <c r="E118" s="67" t="s">
        <v>80</v>
      </c>
      <c r="F118" s="67" t="s">
        <v>16</v>
      </c>
      <c r="G118" s="67" t="s">
        <v>16</v>
      </c>
      <c r="H118" s="67" t="s">
        <v>16</v>
      </c>
      <c r="I118" s="14" t="str">
        <f>Q118</f>
        <v>A2</v>
      </c>
      <c r="J118" s="14" t="s">
        <v>9</v>
      </c>
      <c r="K118" s="15">
        <v>1</v>
      </c>
      <c r="L118" s="15">
        <f t="shared" ref="L118:O118" si="183">HEX2DEC(E118)</f>
        <v>161</v>
      </c>
      <c r="M118" s="15">
        <f t="shared" si="183"/>
        <v>0</v>
      </c>
      <c r="N118" s="15">
        <f t="shared" si="183"/>
        <v>0</v>
      </c>
      <c r="O118" s="15">
        <f t="shared" si="183"/>
        <v>0</v>
      </c>
      <c r="P118" s="15">
        <f>SUM(K118:O118)</f>
        <v>162</v>
      </c>
      <c r="Q118" s="30" t="str">
        <f t="shared" si="179"/>
        <v>A2</v>
      </c>
      <c r="S118" s="72" t="s">
        <v>210</v>
      </c>
    </row>
    <row r="119" spans="2:19" s="2" customFormat="1" ht="16.5" customHeight="1" thickBot="1">
      <c r="B119" s="76" t="s">
        <v>160</v>
      </c>
      <c r="C119" s="36" t="str">
        <f t="shared" si="112"/>
        <v>FF01E1100000F2</v>
      </c>
      <c r="D119" s="69" t="s">
        <v>24</v>
      </c>
      <c r="E119" s="36" t="s">
        <v>161</v>
      </c>
      <c r="F119" s="69" t="s">
        <v>109</v>
      </c>
      <c r="G119" s="69" t="s">
        <v>16</v>
      </c>
      <c r="H119" s="69" t="s">
        <v>16</v>
      </c>
      <c r="I119" s="36" t="str">
        <f>Q119</f>
        <v>F2</v>
      </c>
      <c r="J119" s="36" t="s">
        <v>9</v>
      </c>
      <c r="K119" s="37">
        <f>HEX2DEC(D119)</f>
        <v>1</v>
      </c>
      <c r="L119" s="37">
        <f>HEX2DEC(E119)</f>
        <v>225</v>
      </c>
      <c r="M119" s="37">
        <f>HEX2DEC(F119)</f>
        <v>16</v>
      </c>
      <c r="N119" s="37">
        <f>HEX2DEC(G119)</f>
        <v>0</v>
      </c>
      <c r="O119" s="37">
        <f>HEX2DEC(H119)</f>
        <v>0</v>
      </c>
      <c r="P119" s="37">
        <f>SUM(K119:O119)</f>
        <v>242</v>
      </c>
      <c r="Q119" s="38" t="str">
        <f>REPT("0",2-LEN(RIGHT(DEC2HEX(P119), 2)))&amp;RIGHT(DEC2HEX(P119), 2)</f>
        <v>F2</v>
      </c>
      <c r="S119" s="72" t="s">
        <v>275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H1 H120:H1048576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92AE5-296A-4A53-A69F-D6F31FDFEA61}">
  <dimension ref="B1:T157"/>
  <sheetViews>
    <sheetView zoomScaleNormal="100" workbookViewId="0">
      <selection activeCell="O92" sqref="O92"/>
    </sheetView>
  </sheetViews>
  <sheetFormatPr defaultColWidth="11.5546875" defaultRowHeight="17.25"/>
  <cols>
    <col min="1" max="1" width="2.6640625" customWidth="1"/>
    <col min="2" max="2" width="17.33203125" bestFit="1" customWidth="1"/>
    <col min="3" max="3" width="14.44140625" customWidth="1"/>
    <col min="5" max="6" width="0" hidden="1" customWidth="1"/>
    <col min="7" max="7" width="21.88671875" bestFit="1" customWidth="1"/>
    <col min="8" max="8" width="6.44140625" bestFit="1" customWidth="1"/>
    <col min="14" max="14" width="7.109375" bestFit="1" customWidth="1"/>
    <col min="15" max="15" width="11.5546875" style="6"/>
    <col min="20" max="20" width="14.44140625" customWidth="1"/>
  </cols>
  <sheetData>
    <row r="1" spans="2:20">
      <c r="B1" s="79"/>
      <c r="C1" s="79" t="s">
        <v>539</v>
      </c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85"/>
      <c r="P1" s="79"/>
      <c r="Q1" s="79"/>
      <c r="R1" s="79"/>
      <c r="S1" s="79"/>
      <c r="T1" s="79" t="s">
        <v>8</v>
      </c>
    </row>
    <row r="2" spans="2:20" s="2" customFormat="1">
      <c r="B2" s="86" t="s">
        <v>705</v>
      </c>
      <c r="C2" s="86" t="s">
        <v>180</v>
      </c>
      <c r="D2" s="86" t="s">
        <v>844</v>
      </c>
      <c r="E2" s="86" t="s">
        <v>845</v>
      </c>
      <c r="F2" s="86" t="s">
        <v>846</v>
      </c>
      <c r="G2" s="86" t="s">
        <v>847</v>
      </c>
      <c r="H2" s="86" t="s">
        <v>848</v>
      </c>
      <c r="I2" s="86" t="s">
        <v>849</v>
      </c>
      <c r="J2" s="86" t="s">
        <v>850</v>
      </c>
      <c r="K2" s="86" t="s">
        <v>851</v>
      </c>
      <c r="L2" s="86" t="s">
        <v>852</v>
      </c>
      <c r="M2" s="86" t="s">
        <v>853</v>
      </c>
      <c r="N2" s="86" t="s">
        <v>854</v>
      </c>
      <c r="O2" s="87" t="s">
        <v>855</v>
      </c>
      <c r="P2" s="86" t="s">
        <v>856</v>
      </c>
      <c r="Q2" s="86" t="s">
        <v>857</v>
      </c>
      <c r="R2" s="86"/>
      <c r="S2" s="86" t="s">
        <v>858</v>
      </c>
      <c r="T2" s="86" t="s">
        <v>7</v>
      </c>
    </row>
    <row r="3" spans="2:20" s="2" customFormat="1" ht="27">
      <c r="B3" s="88" t="s">
        <v>859</v>
      </c>
      <c r="C3" s="88" t="str">
        <f>T3</f>
        <v>FF002012000032</v>
      </c>
      <c r="D3" s="88" t="s">
        <v>860</v>
      </c>
      <c r="E3" s="88" t="s">
        <v>861</v>
      </c>
      <c r="F3" s="88" t="s">
        <v>862</v>
      </c>
      <c r="G3" s="88" t="s">
        <v>863</v>
      </c>
      <c r="H3" s="89">
        <v>0</v>
      </c>
      <c r="I3" s="88" t="s">
        <v>864</v>
      </c>
      <c r="J3" s="88" t="s">
        <v>865</v>
      </c>
      <c r="K3" s="88" t="str">
        <f xml:space="preserve"> SUBSTITUTE(D3, "0x","")</f>
        <v>2012</v>
      </c>
      <c r="L3" s="88" t="str">
        <f>LEFT(K3,2)</f>
        <v>20</v>
      </c>
      <c r="M3" s="88" t="str">
        <f>RIGHT(K3,2)</f>
        <v>12</v>
      </c>
      <c r="N3" s="88"/>
      <c r="O3" s="90" t="s">
        <v>866</v>
      </c>
      <c r="P3" s="88" t="str">
        <f t="shared" ref="P3:P53" si="0">LEFT(O3, 2)</f>
        <v>00</v>
      </c>
      <c r="Q3" s="88" t="str">
        <f t="shared" ref="Q3:Q53" si="1">RIGHT(O3, 2)</f>
        <v>00</v>
      </c>
      <c r="R3" s="88" t="str">
        <f t="shared" ref="R3:R52" si="2">DEC2HEX(SUM(HEX2DEC(L3), HEX2DEC(M3), HEX2DEC(P3), HEX2DEC(Q3)))</f>
        <v>32</v>
      </c>
      <c r="S3" s="88" t="str">
        <f t="shared" ref="S3:S54" si="3">RIGHT(R3,2)</f>
        <v>32</v>
      </c>
      <c r="T3" s="88" t="str">
        <f t="shared" ref="T3:T53" si="4">"FF00"&amp;K3&amp;""&amp;P3&amp;Q3&amp;S3</f>
        <v>FF002012000032</v>
      </c>
    </row>
    <row r="4" spans="2:20" s="2" customFormat="1" ht="27">
      <c r="B4" s="88" t="s">
        <v>867</v>
      </c>
      <c r="C4" s="88" t="str">
        <f t="shared" ref="C4:C74" si="5">T4</f>
        <v>FF002012000133</v>
      </c>
      <c r="D4" s="88" t="s">
        <v>860</v>
      </c>
      <c r="E4" s="88" t="s">
        <v>861</v>
      </c>
      <c r="F4" s="88" t="s">
        <v>862</v>
      </c>
      <c r="G4" s="88" t="s">
        <v>863</v>
      </c>
      <c r="H4" s="89">
        <v>0</v>
      </c>
      <c r="I4" s="88" t="s">
        <v>864</v>
      </c>
      <c r="J4" s="88" t="s">
        <v>865</v>
      </c>
      <c r="K4" s="88" t="str">
        <f xml:space="preserve"> SUBSTITUTE(D4, "0x","")</f>
        <v>2012</v>
      </c>
      <c r="L4" s="88" t="str">
        <f t="shared" ref="L4:L54" si="6">LEFT(K4,2)</f>
        <v>20</v>
      </c>
      <c r="M4" s="88" t="str">
        <f t="shared" ref="M4:M54" si="7">RIGHT(K4,2)</f>
        <v>12</v>
      </c>
      <c r="N4" s="88"/>
      <c r="O4" s="90" t="s">
        <v>868</v>
      </c>
      <c r="P4" s="88" t="str">
        <f t="shared" si="0"/>
        <v>00</v>
      </c>
      <c r="Q4" s="88" t="str">
        <f t="shared" si="1"/>
        <v>01</v>
      </c>
      <c r="R4" s="88" t="str">
        <f t="shared" si="2"/>
        <v>33</v>
      </c>
      <c r="S4" s="88" t="str">
        <f t="shared" si="3"/>
        <v>33</v>
      </c>
      <c r="T4" s="88" t="str">
        <f t="shared" si="4"/>
        <v>FF002012000133</v>
      </c>
    </row>
    <row r="5" spans="2:20" s="2" customFormat="1">
      <c r="B5" s="88" t="s">
        <v>869</v>
      </c>
      <c r="C5" s="88" t="str">
        <f t="shared" si="5"/>
        <v>FF002022000042</v>
      </c>
      <c r="D5" s="88" t="s">
        <v>870</v>
      </c>
      <c r="E5" s="88" t="s">
        <v>871</v>
      </c>
      <c r="F5" s="88" t="s">
        <v>862</v>
      </c>
      <c r="G5" s="88" t="s">
        <v>872</v>
      </c>
      <c r="H5" s="89">
        <v>0</v>
      </c>
      <c r="I5" s="91"/>
      <c r="J5" s="88" t="s">
        <v>865</v>
      </c>
      <c r="K5" s="88" t="str">
        <f xml:space="preserve"> SUBSTITUTE(D5, "0x","")</f>
        <v>2022</v>
      </c>
      <c r="L5" s="88" t="str">
        <f t="shared" si="6"/>
        <v>20</v>
      </c>
      <c r="M5" s="88" t="str">
        <f t="shared" si="7"/>
        <v>22</v>
      </c>
      <c r="N5" s="88"/>
      <c r="O5" s="90" t="s">
        <v>866</v>
      </c>
      <c r="P5" s="88" t="str">
        <f t="shared" si="0"/>
        <v>00</v>
      </c>
      <c r="Q5" s="88" t="str">
        <f t="shared" si="1"/>
        <v>00</v>
      </c>
      <c r="R5" s="88" t="str">
        <f t="shared" si="2"/>
        <v>42</v>
      </c>
      <c r="S5" s="88" t="str">
        <f t="shared" si="3"/>
        <v>42</v>
      </c>
      <c r="T5" s="88" t="str">
        <f t="shared" si="4"/>
        <v>FF002022000042</v>
      </c>
    </row>
    <row r="6" spans="2:20" s="2" customFormat="1">
      <c r="B6" s="88" t="s">
        <v>873</v>
      </c>
      <c r="C6" s="88" t="str">
        <f t="shared" si="5"/>
        <v>FF002022000143</v>
      </c>
      <c r="D6" s="88" t="s">
        <v>870</v>
      </c>
      <c r="E6" s="88" t="s">
        <v>871</v>
      </c>
      <c r="F6" s="88" t="s">
        <v>862</v>
      </c>
      <c r="G6" s="88" t="s">
        <v>872</v>
      </c>
      <c r="H6" s="89">
        <v>0</v>
      </c>
      <c r="I6" s="91"/>
      <c r="J6" s="88" t="s">
        <v>865</v>
      </c>
      <c r="K6" s="88" t="str">
        <f xml:space="preserve"> SUBSTITUTE(D6, "0x","")</f>
        <v>2022</v>
      </c>
      <c r="L6" s="88" t="str">
        <f t="shared" si="6"/>
        <v>20</v>
      </c>
      <c r="M6" s="88" t="str">
        <f t="shared" si="7"/>
        <v>22</v>
      </c>
      <c r="N6" s="88"/>
      <c r="O6" s="90" t="s">
        <v>868</v>
      </c>
      <c r="P6" s="88" t="str">
        <f t="shared" si="0"/>
        <v>00</v>
      </c>
      <c r="Q6" s="88" t="str">
        <f t="shared" si="1"/>
        <v>01</v>
      </c>
      <c r="R6" s="88" t="str">
        <f t="shared" si="2"/>
        <v>43</v>
      </c>
      <c r="S6" s="88" t="str">
        <f t="shared" si="3"/>
        <v>43</v>
      </c>
      <c r="T6" s="88" t="str">
        <f t="shared" si="4"/>
        <v>FF002022000143</v>
      </c>
    </row>
    <row r="7" spans="2:20" s="2" customFormat="1">
      <c r="B7" s="88" t="s">
        <v>874</v>
      </c>
      <c r="C7" s="88" t="str">
        <f t="shared" si="5"/>
        <v>FF002023000043</v>
      </c>
      <c r="D7" s="88" t="s">
        <v>875</v>
      </c>
      <c r="E7" s="88" t="s">
        <v>871</v>
      </c>
      <c r="F7" s="88" t="s">
        <v>862</v>
      </c>
      <c r="G7" s="88" t="s">
        <v>872</v>
      </c>
      <c r="H7" s="89">
        <v>0</v>
      </c>
      <c r="I7" s="88" t="s">
        <v>876</v>
      </c>
      <c r="J7" s="88" t="s">
        <v>865</v>
      </c>
      <c r="K7" s="88" t="str">
        <f t="shared" ref="K7:K54" si="8" xml:space="preserve"> SUBSTITUTE(D7, "0x","")</f>
        <v>2023</v>
      </c>
      <c r="L7" s="88" t="str">
        <f t="shared" si="6"/>
        <v>20</v>
      </c>
      <c r="M7" s="88" t="str">
        <f t="shared" si="7"/>
        <v>23</v>
      </c>
      <c r="N7" s="88"/>
      <c r="O7" s="90" t="s">
        <v>866</v>
      </c>
      <c r="P7" s="88" t="str">
        <f t="shared" si="0"/>
        <v>00</v>
      </c>
      <c r="Q7" s="88" t="str">
        <f t="shared" si="1"/>
        <v>00</v>
      </c>
      <c r="R7" s="88" t="str">
        <f t="shared" si="2"/>
        <v>43</v>
      </c>
      <c r="S7" s="88" t="str">
        <f t="shared" si="3"/>
        <v>43</v>
      </c>
      <c r="T7" s="88" t="str">
        <f t="shared" si="4"/>
        <v>FF002023000043</v>
      </c>
    </row>
    <row r="8" spans="2:20" s="2" customFormat="1">
      <c r="B8" s="88" t="s">
        <v>877</v>
      </c>
      <c r="C8" s="88" t="str">
        <f t="shared" si="5"/>
        <v>FF002023000144</v>
      </c>
      <c r="D8" s="88" t="s">
        <v>875</v>
      </c>
      <c r="E8" s="88" t="s">
        <v>871</v>
      </c>
      <c r="F8" s="88" t="s">
        <v>862</v>
      </c>
      <c r="G8" s="88" t="s">
        <v>872</v>
      </c>
      <c r="H8" s="89">
        <v>0</v>
      </c>
      <c r="I8" s="88" t="s">
        <v>876</v>
      </c>
      <c r="J8" s="88" t="s">
        <v>865</v>
      </c>
      <c r="K8" s="88" t="str">
        <f t="shared" si="8"/>
        <v>2023</v>
      </c>
      <c r="L8" s="88" t="str">
        <f t="shared" si="6"/>
        <v>20</v>
      </c>
      <c r="M8" s="88" t="str">
        <f t="shared" si="7"/>
        <v>23</v>
      </c>
      <c r="N8" s="88"/>
      <c r="O8" s="90" t="s">
        <v>868</v>
      </c>
      <c r="P8" s="88" t="str">
        <f t="shared" si="0"/>
        <v>00</v>
      </c>
      <c r="Q8" s="88" t="str">
        <f t="shared" si="1"/>
        <v>01</v>
      </c>
      <c r="R8" s="88" t="str">
        <f t="shared" si="2"/>
        <v>44</v>
      </c>
      <c r="S8" s="88" t="str">
        <f t="shared" si="3"/>
        <v>44</v>
      </c>
      <c r="T8" s="88" t="str">
        <f t="shared" si="4"/>
        <v>FF002023000144</v>
      </c>
    </row>
    <row r="9" spans="2:20" s="2" customFormat="1">
      <c r="B9" s="88" t="s">
        <v>878</v>
      </c>
      <c r="C9" s="88" t="str">
        <f t="shared" si="5"/>
        <v>FF002024000044</v>
      </c>
      <c r="D9" s="88" t="s">
        <v>879</v>
      </c>
      <c r="E9" s="88" t="s">
        <v>871</v>
      </c>
      <c r="F9" s="88" t="s">
        <v>862</v>
      </c>
      <c r="G9" s="88" t="s">
        <v>872</v>
      </c>
      <c r="H9" s="89">
        <v>0</v>
      </c>
      <c r="I9" s="91"/>
      <c r="J9" s="88" t="s">
        <v>865</v>
      </c>
      <c r="K9" s="88" t="str">
        <f t="shared" si="8"/>
        <v>2024</v>
      </c>
      <c r="L9" s="88" t="str">
        <f t="shared" si="6"/>
        <v>20</v>
      </c>
      <c r="M9" s="88" t="str">
        <f t="shared" si="7"/>
        <v>24</v>
      </c>
      <c r="N9" s="88"/>
      <c r="O9" s="90" t="s">
        <v>866</v>
      </c>
      <c r="P9" s="88" t="str">
        <f t="shared" si="0"/>
        <v>00</v>
      </c>
      <c r="Q9" s="88" t="str">
        <f t="shared" si="1"/>
        <v>00</v>
      </c>
      <c r="R9" s="88" t="str">
        <f t="shared" si="2"/>
        <v>44</v>
      </c>
      <c r="S9" s="88" t="str">
        <f t="shared" si="3"/>
        <v>44</v>
      </c>
      <c r="T9" s="88" t="str">
        <f t="shared" si="4"/>
        <v>FF002024000044</v>
      </c>
    </row>
    <row r="10" spans="2:20" s="2" customFormat="1">
      <c r="B10" s="88" t="s">
        <v>880</v>
      </c>
      <c r="C10" s="88" t="str">
        <f t="shared" si="5"/>
        <v>FF002024000145</v>
      </c>
      <c r="D10" s="88" t="s">
        <v>879</v>
      </c>
      <c r="E10" s="88" t="s">
        <v>871</v>
      </c>
      <c r="F10" s="88" t="s">
        <v>862</v>
      </c>
      <c r="G10" s="88" t="s">
        <v>872</v>
      </c>
      <c r="H10" s="89">
        <v>0</v>
      </c>
      <c r="I10" s="91"/>
      <c r="J10" s="88" t="s">
        <v>865</v>
      </c>
      <c r="K10" s="88" t="str">
        <f t="shared" si="8"/>
        <v>2024</v>
      </c>
      <c r="L10" s="88" t="str">
        <f t="shared" si="6"/>
        <v>20</v>
      </c>
      <c r="M10" s="88" t="str">
        <f t="shared" si="7"/>
        <v>24</v>
      </c>
      <c r="N10" s="88"/>
      <c r="O10" s="90" t="s">
        <v>868</v>
      </c>
      <c r="P10" s="88" t="str">
        <f t="shared" si="0"/>
        <v>00</v>
      </c>
      <c r="Q10" s="88" t="str">
        <f t="shared" si="1"/>
        <v>01</v>
      </c>
      <c r="R10" s="88" t="str">
        <f t="shared" si="2"/>
        <v>45</v>
      </c>
      <c r="S10" s="88" t="str">
        <f t="shared" si="3"/>
        <v>45</v>
      </c>
      <c r="T10" s="88" t="str">
        <f t="shared" si="4"/>
        <v>FF002024000145</v>
      </c>
    </row>
    <row r="11" spans="2:20" s="2" customFormat="1">
      <c r="B11" s="88" t="s">
        <v>881</v>
      </c>
      <c r="C11" s="88" t="str">
        <f t="shared" si="5"/>
        <v>FF002030000050</v>
      </c>
      <c r="D11" s="88" t="s">
        <v>882</v>
      </c>
      <c r="E11" s="88" t="s">
        <v>883</v>
      </c>
      <c r="F11" s="88" t="s">
        <v>884</v>
      </c>
      <c r="G11" s="88" t="s">
        <v>885</v>
      </c>
      <c r="H11" s="92">
        <v>0</v>
      </c>
      <c r="I11" s="91"/>
      <c r="J11" s="88" t="s">
        <v>865</v>
      </c>
      <c r="K11" s="88" t="str">
        <f t="shared" si="8"/>
        <v>2030</v>
      </c>
      <c r="L11" s="88" t="str">
        <f t="shared" si="6"/>
        <v>20</v>
      </c>
      <c r="M11" s="88" t="str">
        <f t="shared" si="7"/>
        <v>30</v>
      </c>
      <c r="N11" s="88"/>
      <c r="O11" s="90" t="s">
        <v>866</v>
      </c>
      <c r="P11" s="88" t="str">
        <f t="shared" si="0"/>
        <v>00</v>
      </c>
      <c r="Q11" s="88" t="str">
        <f t="shared" si="1"/>
        <v>00</v>
      </c>
      <c r="R11" s="88" t="str">
        <f t="shared" si="2"/>
        <v>50</v>
      </c>
      <c r="S11" s="88" t="str">
        <f t="shared" si="3"/>
        <v>50</v>
      </c>
      <c r="T11" s="88" t="str">
        <f t="shared" si="4"/>
        <v>FF002030000050</v>
      </c>
    </row>
    <row r="12" spans="2:20" s="2" customFormat="1">
      <c r="B12" s="88" t="s">
        <v>886</v>
      </c>
      <c r="C12" s="88" t="str">
        <f t="shared" si="5"/>
        <v>FF002030000151</v>
      </c>
      <c r="D12" s="88" t="s">
        <v>882</v>
      </c>
      <c r="E12" s="88" t="s">
        <v>883</v>
      </c>
      <c r="F12" s="88" t="s">
        <v>884</v>
      </c>
      <c r="G12" s="88" t="s">
        <v>885</v>
      </c>
      <c r="H12" s="92">
        <v>0</v>
      </c>
      <c r="I12" s="91"/>
      <c r="J12" s="88" t="s">
        <v>865</v>
      </c>
      <c r="K12" s="88" t="str">
        <f t="shared" si="8"/>
        <v>2030</v>
      </c>
      <c r="L12" s="88" t="str">
        <f t="shared" si="6"/>
        <v>20</v>
      </c>
      <c r="M12" s="88" t="str">
        <f t="shared" si="7"/>
        <v>30</v>
      </c>
      <c r="N12" s="88"/>
      <c r="O12" s="90" t="s">
        <v>868</v>
      </c>
      <c r="P12" s="88" t="str">
        <f t="shared" si="0"/>
        <v>00</v>
      </c>
      <c r="Q12" s="88" t="str">
        <f t="shared" si="1"/>
        <v>01</v>
      </c>
      <c r="R12" s="88" t="str">
        <f t="shared" si="2"/>
        <v>51</v>
      </c>
      <c r="S12" s="88" t="str">
        <f t="shared" si="3"/>
        <v>51</v>
      </c>
      <c r="T12" s="88" t="str">
        <f t="shared" si="4"/>
        <v>FF002030000151</v>
      </c>
    </row>
    <row r="13" spans="2:20" s="2" customFormat="1">
      <c r="B13" s="88" t="s">
        <v>887</v>
      </c>
      <c r="C13" s="88" t="str">
        <f t="shared" si="5"/>
        <v>FF002031000051</v>
      </c>
      <c r="D13" s="88" t="s">
        <v>888</v>
      </c>
      <c r="E13" s="88" t="s">
        <v>889</v>
      </c>
      <c r="F13" s="88" t="s">
        <v>862</v>
      </c>
      <c r="G13" s="88" t="s">
        <v>890</v>
      </c>
      <c r="H13" s="89">
        <v>1</v>
      </c>
      <c r="I13" s="91"/>
      <c r="J13" s="88" t="s">
        <v>865</v>
      </c>
      <c r="K13" s="88" t="str">
        <f t="shared" si="8"/>
        <v>2031</v>
      </c>
      <c r="L13" s="88" t="str">
        <f t="shared" si="6"/>
        <v>20</v>
      </c>
      <c r="M13" s="88" t="str">
        <f t="shared" si="7"/>
        <v>31</v>
      </c>
      <c r="N13" s="88"/>
      <c r="O13" s="90" t="s">
        <v>866</v>
      </c>
      <c r="P13" s="88" t="str">
        <f t="shared" si="0"/>
        <v>00</v>
      </c>
      <c r="Q13" s="88" t="str">
        <f t="shared" si="1"/>
        <v>00</v>
      </c>
      <c r="R13" s="88" t="str">
        <f t="shared" si="2"/>
        <v>51</v>
      </c>
      <c r="S13" s="88" t="str">
        <f t="shared" si="3"/>
        <v>51</v>
      </c>
      <c r="T13" s="88" t="str">
        <f t="shared" si="4"/>
        <v>FF002031000051</v>
      </c>
    </row>
    <row r="14" spans="2:20" s="2" customFormat="1">
      <c r="B14" s="88" t="s">
        <v>891</v>
      </c>
      <c r="C14" s="88" t="str">
        <f t="shared" si="5"/>
        <v>FF002031000152</v>
      </c>
      <c r="D14" s="88" t="s">
        <v>888</v>
      </c>
      <c r="E14" s="88" t="s">
        <v>889</v>
      </c>
      <c r="F14" s="88" t="s">
        <v>862</v>
      </c>
      <c r="G14" s="88" t="s">
        <v>890</v>
      </c>
      <c r="H14" s="89">
        <v>1</v>
      </c>
      <c r="I14" s="91"/>
      <c r="J14" s="88" t="s">
        <v>865</v>
      </c>
      <c r="K14" s="88" t="str">
        <f t="shared" si="8"/>
        <v>2031</v>
      </c>
      <c r="L14" s="88" t="str">
        <f t="shared" si="6"/>
        <v>20</v>
      </c>
      <c r="M14" s="88" t="str">
        <f t="shared" si="7"/>
        <v>31</v>
      </c>
      <c r="N14" s="88"/>
      <c r="O14" s="90" t="s">
        <v>868</v>
      </c>
      <c r="P14" s="88" t="str">
        <f t="shared" si="0"/>
        <v>00</v>
      </c>
      <c r="Q14" s="88" t="str">
        <f t="shared" si="1"/>
        <v>01</v>
      </c>
      <c r="R14" s="88" t="str">
        <f t="shared" si="2"/>
        <v>52</v>
      </c>
      <c r="S14" s="88" t="str">
        <f t="shared" si="3"/>
        <v>52</v>
      </c>
      <c r="T14" s="88" t="str">
        <f t="shared" si="4"/>
        <v>FF002031000152</v>
      </c>
    </row>
    <row r="15" spans="2:20" s="2" customFormat="1">
      <c r="B15" s="88" t="s">
        <v>892</v>
      </c>
      <c r="C15" s="88" t="str">
        <f t="shared" si="5"/>
        <v>FF002031000253</v>
      </c>
      <c r="D15" s="88" t="s">
        <v>888</v>
      </c>
      <c r="E15" s="88" t="s">
        <v>889</v>
      </c>
      <c r="F15" s="88" t="s">
        <v>862</v>
      </c>
      <c r="G15" s="88" t="s">
        <v>890</v>
      </c>
      <c r="H15" s="89">
        <v>1</v>
      </c>
      <c r="I15" s="91"/>
      <c r="J15" s="88" t="s">
        <v>865</v>
      </c>
      <c r="K15" s="88" t="str">
        <f t="shared" si="8"/>
        <v>2031</v>
      </c>
      <c r="L15" s="88" t="str">
        <f t="shared" si="6"/>
        <v>20</v>
      </c>
      <c r="M15" s="88" t="str">
        <f t="shared" si="7"/>
        <v>31</v>
      </c>
      <c r="N15" s="88"/>
      <c r="O15" s="90" t="s">
        <v>893</v>
      </c>
      <c r="P15" s="88" t="str">
        <f t="shared" si="0"/>
        <v>00</v>
      </c>
      <c r="Q15" s="88" t="str">
        <f t="shared" si="1"/>
        <v>02</v>
      </c>
      <c r="R15" s="88" t="str">
        <f t="shared" si="2"/>
        <v>53</v>
      </c>
      <c r="S15" s="88" t="str">
        <f t="shared" si="3"/>
        <v>53</v>
      </c>
      <c r="T15" s="88" t="str">
        <f t="shared" si="4"/>
        <v>FF002031000253</v>
      </c>
    </row>
    <row r="16" spans="2:20" s="2" customFormat="1">
      <c r="B16" s="88" t="s">
        <v>894</v>
      </c>
      <c r="C16" s="88" t="str">
        <f t="shared" si="5"/>
        <v>FF002032000A5C</v>
      </c>
      <c r="D16" s="88" t="s">
        <v>895</v>
      </c>
      <c r="E16" s="88" t="s">
        <v>889</v>
      </c>
      <c r="F16" s="88" t="s">
        <v>862</v>
      </c>
      <c r="G16" s="88" t="s">
        <v>890</v>
      </c>
      <c r="H16" s="89">
        <v>300</v>
      </c>
      <c r="I16" s="91"/>
      <c r="J16" s="88" t="s">
        <v>865</v>
      </c>
      <c r="K16" s="88" t="str">
        <f t="shared" si="8"/>
        <v>2032</v>
      </c>
      <c r="L16" s="88" t="str">
        <f t="shared" si="6"/>
        <v>20</v>
      </c>
      <c r="M16" s="88" t="str">
        <f t="shared" si="7"/>
        <v>32</v>
      </c>
      <c r="N16" s="88">
        <v>10</v>
      </c>
      <c r="O16" s="88" t="str">
        <f>REPT("0", 4 - LEN(DEC2HEX(N16))) &amp; DEC2HEX(N16)</f>
        <v>000A</v>
      </c>
      <c r="P16" s="88" t="str">
        <f t="shared" si="0"/>
        <v>00</v>
      </c>
      <c r="Q16" s="88" t="str">
        <f t="shared" si="1"/>
        <v>0A</v>
      </c>
      <c r="R16" s="88" t="str">
        <f t="shared" si="2"/>
        <v>5C</v>
      </c>
      <c r="S16" s="88" t="str">
        <f t="shared" si="3"/>
        <v>5C</v>
      </c>
      <c r="T16" s="88" t="str">
        <f t="shared" si="4"/>
        <v>FF002032000A5C</v>
      </c>
    </row>
    <row r="17" spans="2:20" s="2" customFormat="1">
      <c r="B17" s="88" t="s">
        <v>896</v>
      </c>
      <c r="C17" s="88" t="str">
        <f t="shared" si="5"/>
        <v>FF0020320258AC</v>
      </c>
      <c r="D17" s="88" t="s">
        <v>895</v>
      </c>
      <c r="E17" s="88" t="s">
        <v>889</v>
      </c>
      <c r="F17" s="88" t="s">
        <v>862</v>
      </c>
      <c r="G17" s="88" t="s">
        <v>890</v>
      </c>
      <c r="H17" s="89">
        <v>300</v>
      </c>
      <c r="I17" s="91"/>
      <c r="J17" s="88" t="s">
        <v>865</v>
      </c>
      <c r="K17" s="88" t="str">
        <f t="shared" si="8"/>
        <v>2032</v>
      </c>
      <c r="L17" s="88" t="str">
        <f t="shared" si="6"/>
        <v>20</v>
      </c>
      <c r="M17" s="88" t="str">
        <f t="shared" si="7"/>
        <v>32</v>
      </c>
      <c r="N17" s="88">
        <v>600</v>
      </c>
      <c r="O17" s="88" t="str">
        <f>REPT("0", 4 - LEN(DEC2HEX(N17))) &amp; DEC2HEX(N17)</f>
        <v>0258</v>
      </c>
      <c r="P17" s="88" t="str">
        <f t="shared" si="0"/>
        <v>02</v>
      </c>
      <c r="Q17" s="88" t="str">
        <f t="shared" si="1"/>
        <v>58</v>
      </c>
      <c r="R17" s="88" t="str">
        <f t="shared" si="2"/>
        <v>AC</v>
      </c>
      <c r="S17" s="88" t="str">
        <f t="shared" si="3"/>
        <v>AC</v>
      </c>
      <c r="T17" s="88" t="str">
        <f t="shared" si="4"/>
        <v>FF0020320258AC</v>
      </c>
    </row>
    <row r="18" spans="2:20" s="2" customFormat="1">
      <c r="B18" s="88" t="s">
        <v>897</v>
      </c>
      <c r="C18" s="88" t="str">
        <f t="shared" si="5"/>
        <v>FF0021B00000D1</v>
      </c>
      <c r="D18" s="88" t="s">
        <v>898</v>
      </c>
      <c r="E18" s="88" t="s">
        <v>899</v>
      </c>
      <c r="F18" s="91"/>
      <c r="G18" s="88" t="s">
        <v>900</v>
      </c>
      <c r="H18" s="89">
        <v>0</v>
      </c>
      <c r="I18" s="91"/>
      <c r="J18" s="88" t="s">
        <v>865</v>
      </c>
      <c r="K18" s="88" t="str">
        <f t="shared" si="8"/>
        <v>21B0</v>
      </c>
      <c r="L18" s="88" t="str">
        <f t="shared" si="6"/>
        <v>21</v>
      </c>
      <c r="M18" s="88" t="str">
        <f t="shared" si="7"/>
        <v>B0</v>
      </c>
      <c r="N18" s="88"/>
      <c r="O18" s="90" t="s">
        <v>866</v>
      </c>
      <c r="P18" s="88" t="str">
        <f t="shared" si="0"/>
        <v>00</v>
      </c>
      <c r="Q18" s="88" t="str">
        <f t="shared" si="1"/>
        <v>00</v>
      </c>
      <c r="R18" s="88" t="str">
        <f t="shared" si="2"/>
        <v>D1</v>
      </c>
      <c r="S18" s="88" t="str">
        <f t="shared" si="3"/>
        <v>D1</v>
      </c>
      <c r="T18" s="88" t="str">
        <f t="shared" si="4"/>
        <v>FF0021B00000D1</v>
      </c>
    </row>
    <row r="19" spans="2:20" s="2" customFormat="1">
      <c r="B19" s="88" t="s">
        <v>901</v>
      </c>
      <c r="C19" s="88" t="str">
        <f t="shared" si="5"/>
        <v>FF0021B00001D2</v>
      </c>
      <c r="D19" s="88" t="s">
        <v>898</v>
      </c>
      <c r="E19" s="88" t="s">
        <v>899</v>
      </c>
      <c r="F19" s="91"/>
      <c r="G19" s="88" t="s">
        <v>900</v>
      </c>
      <c r="H19" s="89">
        <v>0</v>
      </c>
      <c r="I19" s="91"/>
      <c r="J19" s="88" t="s">
        <v>865</v>
      </c>
      <c r="K19" s="88" t="str">
        <f t="shared" si="8"/>
        <v>21B0</v>
      </c>
      <c r="L19" s="88" t="str">
        <f t="shared" si="6"/>
        <v>21</v>
      </c>
      <c r="M19" s="88" t="str">
        <f t="shared" si="7"/>
        <v>B0</v>
      </c>
      <c r="N19" s="88"/>
      <c r="O19" s="90" t="s">
        <v>868</v>
      </c>
      <c r="P19" s="88" t="str">
        <f t="shared" si="0"/>
        <v>00</v>
      </c>
      <c r="Q19" s="88" t="str">
        <f t="shared" si="1"/>
        <v>01</v>
      </c>
      <c r="R19" s="88" t="str">
        <f t="shared" si="2"/>
        <v>D2</v>
      </c>
      <c r="S19" s="88" t="str">
        <f t="shared" si="3"/>
        <v>D2</v>
      </c>
      <c r="T19" s="88" t="str">
        <f t="shared" si="4"/>
        <v>FF0021B00001D2</v>
      </c>
    </row>
    <row r="20" spans="2:20" s="2" customFormat="1">
      <c r="B20" s="88" t="s">
        <v>902</v>
      </c>
      <c r="C20" s="88" t="str">
        <f t="shared" si="5"/>
        <v>FF0021B00002D3</v>
      </c>
      <c r="D20" s="88" t="s">
        <v>898</v>
      </c>
      <c r="E20" s="88" t="s">
        <v>899</v>
      </c>
      <c r="F20" s="91"/>
      <c r="G20" s="88" t="s">
        <v>900</v>
      </c>
      <c r="H20" s="89">
        <v>0</v>
      </c>
      <c r="I20" s="91"/>
      <c r="J20" s="88" t="s">
        <v>865</v>
      </c>
      <c r="K20" s="88" t="str">
        <f t="shared" si="8"/>
        <v>21B0</v>
      </c>
      <c r="L20" s="88" t="str">
        <f t="shared" si="6"/>
        <v>21</v>
      </c>
      <c r="M20" s="88" t="str">
        <f t="shared" si="7"/>
        <v>B0</v>
      </c>
      <c r="N20" s="88"/>
      <c r="O20" s="90" t="s">
        <v>893</v>
      </c>
      <c r="P20" s="88" t="str">
        <f t="shared" si="0"/>
        <v>00</v>
      </c>
      <c r="Q20" s="88" t="str">
        <f t="shared" si="1"/>
        <v>02</v>
      </c>
      <c r="R20" s="88" t="str">
        <f t="shared" si="2"/>
        <v>D3</v>
      </c>
      <c r="S20" s="88" t="str">
        <f t="shared" si="3"/>
        <v>D3</v>
      </c>
      <c r="T20" s="88" t="str">
        <f t="shared" si="4"/>
        <v>FF0021B00002D3</v>
      </c>
    </row>
    <row r="21" spans="2:20" s="2" customFormat="1" ht="54">
      <c r="B21" s="88" t="s">
        <v>903</v>
      </c>
      <c r="C21" s="88" t="str">
        <f t="shared" si="5"/>
        <v>FF002100000021</v>
      </c>
      <c r="D21" s="88" t="s">
        <v>904</v>
      </c>
      <c r="E21" s="88" t="s">
        <v>889</v>
      </c>
      <c r="F21" s="88" t="s">
        <v>862</v>
      </c>
      <c r="G21" s="88" t="s">
        <v>905</v>
      </c>
      <c r="H21" s="89">
        <v>2</v>
      </c>
      <c r="I21" s="91"/>
      <c r="J21" s="88" t="s">
        <v>865</v>
      </c>
      <c r="K21" s="88" t="str">
        <f t="shared" si="8"/>
        <v>2100</v>
      </c>
      <c r="L21" s="88" t="str">
        <f t="shared" si="6"/>
        <v>21</v>
      </c>
      <c r="M21" s="88" t="str">
        <f t="shared" si="7"/>
        <v>00</v>
      </c>
      <c r="N21" s="88"/>
      <c r="O21" s="90" t="s">
        <v>866</v>
      </c>
      <c r="P21" s="88" t="str">
        <f t="shared" si="0"/>
        <v>00</v>
      </c>
      <c r="Q21" s="88" t="str">
        <f t="shared" si="1"/>
        <v>00</v>
      </c>
      <c r="R21" s="88" t="str">
        <f t="shared" si="2"/>
        <v>21</v>
      </c>
      <c r="S21" s="88" t="str">
        <f t="shared" si="3"/>
        <v>21</v>
      </c>
      <c r="T21" s="88" t="str">
        <f t="shared" si="4"/>
        <v>FF002100000021</v>
      </c>
    </row>
    <row r="22" spans="2:20" s="2" customFormat="1">
      <c r="B22" s="88" t="s">
        <v>906</v>
      </c>
      <c r="C22" s="88" t="str">
        <f t="shared" si="5"/>
        <v>FF002100000122</v>
      </c>
      <c r="D22" s="88" t="s">
        <v>904</v>
      </c>
      <c r="E22" s="88" t="s">
        <v>889</v>
      </c>
      <c r="F22" s="88" t="s">
        <v>862</v>
      </c>
      <c r="G22" s="88"/>
      <c r="H22" s="89">
        <v>2</v>
      </c>
      <c r="I22" s="91"/>
      <c r="J22" s="88" t="s">
        <v>865</v>
      </c>
      <c r="K22" s="88" t="str">
        <f t="shared" si="8"/>
        <v>2100</v>
      </c>
      <c r="L22" s="88" t="str">
        <f t="shared" si="6"/>
        <v>21</v>
      </c>
      <c r="M22" s="88" t="str">
        <f t="shared" si="7"/>
        <v>00</v>
      </c>
      <c r="N22" s="88"/>
      <c r="O22" s="90" t="s">
        <v>868</v>
      </c>
      <c r="P22" s="88" t="str">
        <f t="shared" si="0"/>
        <v>00</v>
      </c>
      <c r="Q22" s="88" t="str">
        <f t="shared" si="1"/>
        <v>01</v>
      </c>
      <c r="R22" s="88" t="str">
        <f t="shared" si="2"/>
        <v>22</v>
      </c>
      <c r="S22" s="88" t="str">
        <f t="shared" si="3"/>
        <v>22</v>
      </c>
      <c r="T22" s="88" t="str">
        <f t="shared" si="4"/>
        <v>FF002100000122</v>
      </c>
    </row>
    <row r="23" spans="2:20" s="2" customFormat="1">
      <c r="B23" s="88" t="s">
        <v>907</v>
      </c>
      <c r="C23" s="88" t="str">
        <f t="shared" si="5"/>
        <v>FF002100000223</v>
      </c>
      <c r="D23" s="88" t="s">
        <v>904</v>
      </c>
      <c r="E23" s="88" t="s">
        <v>889</v>
      </c>
      <c r="F23" s="88" t="s">
        <v>862</v>
      </c>
      <c r="G23" s="88"/>
      <c r="H23" s="89">
        <v>2</v>
      </c>
      <c r="I23" s="91"/>
      <c r="J23" s="88" t="s">
        <v>865</v>
      </c>
      <c r="K23" s="88" t="str">
        <f t="shared" si="8"/>
        <v>2100</v>
      </c>
      <c r="L23" s="88" t="str">
        <f t="shared" si="6"/>
        <v>21</v>
      </c>
      <c r="M23" s="88" t="str">
        <f t="shared" si="7"/>
        <v>00</v>
      </c>
      <c r="N23" s="88"/>
      <c r="O23" s="90" t="s">
        <v>893</v>
      </c>
      <c r="P23" s="88" t="str">
        <f t="shared" si="0"/>
        <v>00</v>
      </c>
      <c r="Q23" s="88" t="str">
        <f t="shared" si="1"/>
        <v>02</v>
      </c>
      <c r="R23" s="88" t="str">
        <f t="shared" si="2"/>
        <v>23</v>
      </c>
      <c r="S23" s="88" t="str">
        <f t="shared" si="3"/>
        <v>23</v>
      </c>
      <c r="T23" s="88" t="str">
        <f t="shared" si="4"/>
        <v>FF002100000223</v>
      </c>
    </row>
    <row r="24" spans="2:20" s="2" customFormat="1">
      <c r="B24" s="88" t="s">
        <v>908</v>
      </c>
      <c r="C24" s="88" t="str">
        <f t="shared" si="5"/>
        <v>FF002100000324</v>
      </c>
      <c r="D24" s="88" t="s">
        <v>904</v>
      </c>
      <c r="E24" s="88" t="s">
        <v>889</v>
      </c>
      <c r="F24" s="88" t="s">
        <v>862</v>
      </c>
      <c r="G24" s="88"/>
      <c r="H24" s="89">
        <v>2</v>
      </c>
      <c r="I24" s="91"/>
      <c r="J24" s="88" t="s">
        <v>865</v>
      </c>
      <c r="K24" s="88" t="str">
        <f t="shared" si="8"/>
        <v>2100</v>
      </c>
      <c r="L24" s="88" t="str">
        <f t="shared" si="6"/>
        <v>21</v>
      </c>
      <c r="M24" s="88" t="str">
        <f t="shared" si="7"/>
        <v>00</v>
      </c>
      <c r="N24" s="88"/>
      <c r="O24" s="90" t="s">
        <v>909</v>
      </c>
      <c r="P24" s="88" t="str">
        <f t="shared" si="0"/>
        <v>00</v>
      </c>
      <c r="Q24" s="88" t="str">
        <f t="shared" si="1"/>
        <v>03</v>
      </c>
      <c r="R24" s="88" t="str">
        <f t="shared" si="2"/>
        <v>24</v>
      </c>
      <c r="S24" s="88" t="str">
        <f t="shared" si="3"/>
        <v>24</v>
      </c>
      <c r="T24" s="88" t="str">
        <f t="shared" si="4"/>
        <v>FF002100000324</v>
      </c>
    </row>
    <row r="25" spans="2:20" s="2" customFormat="1">
      <c r="B25" s="88" t="s">
        <v>910</v>
      </c>
      <c r="C25" s="88" t="str">
        <f t="shared" si="5"/>
        <v>FF002101000527</v>
      </c>
      <c r="D25" s="88" t="s">
        <v>911</v>
      </c>
      <c r="E25" s="88" t="s">
        <v>889</v>
      </c>
      <c r="F25" s="88" t="s">
        <v>862</v>
      </c>
      <c r="G25" s="88" t="s">
        <v>912</v>
      </c>
      <c r="H25" s="89">
        <v>50</v>
      </c>
      <c r="I25" s="91"/>
      <c r="J25" s="88" t="s">
        <v>865</v>
      </c>
      <c r="K25" s="88" t="str">
        <f t="shared" si="8"/>
        <v>2101</v>
      </c>
      <c r="L25" s="88" t="str">
        <f t="shared" si="6"/>
        <v>21</v>
      </c>
      <c r="M25" s="88" t="str">
        <f t="shared" si="7"/>
        <v>01</v>
      </c>
      <c r="N25" s="88"/>
      <c r="O25" s="90" t="s">
        <v>913</v>
      </c>
      <c r="P25" s="88" t="str">
        <f t="shared" si="0"/>
        <v>00</v>
      </c>
      <c r="Q25" s="88" t="str">
        <f t="shared" si="1"/>
        <v>05</v>
      </c>
      <c r="R25" s="88" t="str">
        <f t="shared" si="2"/>
        <v>27</v>
      </c>
      <c r="S25" s="88" t="str">
        <f t="shared" si="3"/>
        <v>27</v>
      </c>
      <c r="T25" s="88" t="str">
        <f t="shared" si="4"/>
        <v>FF002101000527</v>
      </c>
    </row>
    <row r="26" spans="2:20" s="2" customFormat="1">
      <c r="B26" s="88" t="s">
        <v>1109</v>
      </c>
      <c r="C26" s="88" t="str">
        <f t="shared" ref="C26" si="9">T26</f>
        <v>FF002101003254</v>
      </c>
      <c r="D26" s="88" t="s">
        <v>911</v>
      </c>
      <c r="E26" s="88" t="s">
        <v>889</v>
      </c>
      <c r="F26" s="88" t="s">
        <v>862</v>
      </c>
      <c r="G26" s="88"/>
      <c r="H26" s="89">
        <v>50</v>
      </c>
      <c r="I26" s="91"/>
      <c r="J26" s="88" t="s">
        <v>865</v>
      </c>
      <c r="K26" s="88" t="str">
        <f t="shared" ref="K26" si="10" xml:space="preserve"> SUBSTITUTE(D26, "0x","")</f>
        <v>2101</v>
      </c>
      <c r="L26" s="88" t="str">
        <f t="shared" ref="L26" si="11">LEFT(K26,2)</f>
        <v>21</v>
      </c>
      <c r="M26" s="88" t="str">
        <f t="shared" ref="M26" si="12">RIGHT(K26,2)</f>
        <v>01</v>
      </c>
      <c r="N26" s="88">
        <v>50</v>
      </c>
      <c r="O26" s="88" t="str">
        <f>REPT("0", 4 - LEN(DEC2HEX(N26))) &amp; DEC2HEX(N26)</f>
        <v>0032</v>
      </c>
      <c r="P26" s="88" t="str">
        <f t="shared" ref="P26" si="13">LEFT(O26, 2)</f>
        <v>00</v>
      </c>
      <c r="Q26" s="88" t="str">
        <f t="shared" ref="Q26" si="14">RIGHT(O26, 2)</f>
        <v>32</v>
      </c>
      <c r="R26" s="88" t="str">
        <f t="shared" ref="R26" si="15">DEC2HEX(SUM(HEX2DEC(L26), HEX2DEC(M26), HEX2DEC(P26), HEX2DEC(Q26)))</f>
        <v>54</v>
      </c>
      <c r="S26" s="88" t="str">
        <f t="shared" ref="S26" si="16">RIGHT(R26,2)</f>
        <v>54</v>
      </c>
      <c r="T26" s="88" t="str">
        <f t="shared" ref="T26" si="17">"FF00"&amp;K26&amp;""&amp;P26&amp;Q26&amp;S26</f>
        <v>FF002101003254</v>
      </c>
    </row>
    <row r="27" spans="2:20" s="2" customFormat="1">
      <c r="B27" s="88" t="s">
        <v>914</v>
      </c>
      <c r="C27" s="88" t="str">
        <f t="shared" si="5"/>
        <v>FF002101003C5E</v>
      </c>
      <c r="D27" s="88" t="s">
        <v>911</v>
      </c>
      <c r="E27" s="88" t="s">
        <v>889</v>
      </c>
      <c r="F27" s="88" t="s">
        <v>862</v>
      </c>
      <c r="G27" s="88"/>
      <c r="H27" s="89">
        <v>50</v>
      </c>
      <c r="I27" s="91"/>
      <c r="J27" s="88" t="s">
        <v>865</v>
      </c>
      <c r="K27" s="88" t="str">
        <f t="shared" si="8"/>
        <v>2101</v>
      </c>
      <c r="L27" s="88" t="str">
        <f t="shared" si="6"/>
        <v>21</v>
      </c>
      <c r="M27" s="88" t="str">
        <f t="shared" si="7"/>
        <v>01</v>
      </c>
      <c r="N27" s="88">
        <v>60</v>
      </c>
      <c r="O27" s="88" t="str">
        <f>REPT("0", 4 - LEN(DEC2HEX(N27))) &amp; DEC2HEX(N27)</f>
        <v>003C</v>
      </c>
      <c r="P27" s="88" t="str">
        <f t="shared" si="0"/>
        <v>00</v>
      </c>
      <c r="Q27" s="88" t="str">
        <f t="shared" si="1"/>
        <v>3C</v>
      </c>
      <c r="R27" s="88" t="str">
        <f t="shared" si="2"/>
        <v>5E</v>
      </c>
      <c r="S27" s="88" t="str">
        <f t="shared" si="3"/>
        <v>5E</v>
      </c>
      <c r="T27" s="88" t="str">
        <f t="shared" si="4"/>
        <v>FF002101003C5E</v>
      </c>
    </row>
    <row r="28" spans="2:20" s="2" customFormat="1">
      <c r="B28" s="88" t="s">
        <v>915</v>
      </c>
      <c r="C28" s="88" t="str">
        <f t="shared" si="5"/>
        <v>FF0021028001A4</v>
      </c>
      <c r="D28" s="88" t="s">
        <v>916</v>
      </c>
      <c r="E28" s="88" t="s">
        <v>889</v>
      </c>
      <c r="F28" s="88" t="s">
        <v>862</v>
      </c>
      <c r="G28" s="88"/>
      <c r="H28" s="89">
        <v>10</v>
      </c>
      <c r="I28" s="91"/>
      <c r="J28" s="88" t="s">
        <v>865</v>
      </c>
      <c r="K28" s="88" t="str">
        <f t="shared" si="8"/>
        <v>2102</v>
      </c>
      <c r="L28" s="88" t="str">
        <f t="shared" si="6"/>
        <v>21</v>
      </c>
      <c r="M28" s="88" t="str">
        <f t="shared" si="7"/>
        <v>02</v>
      </c>
      <c r="N28" s="88">
        <v>-32767</v>
      </c>
      <c r="O28" s="88" t="str">
        <f>TEXT(DEC2HEX(65536 + N28), "0000")</f>
        <v>8001</v>
      </c>
      <c r="P28" s="88" t="str">
        <f t="shared" si="0"/>
        <v>80</v>
      </c>
      <c r="Q28" s="88" t="str">
        <f t="shared" si="1"/>
        <v>01</v>
      </c>
      <c r="R28" s="88" t="str">
        <f t="shared" si="2"/>
        <v>A4</v>
      </c>
      <c r="S28" s="88" t="str">
        <f t="shared" si="3"/>
        <v>A4</v>
      </c>
      <c r="T28" s="88" t="str">
        <f t="shared" si="4"/>
        <v>FF0021028001A4</v>
      </c>
    </row>
    <row r="29" spans="2:20" s="2" customFormat="1">
      <c r="B29" s="88" t="s">
        <v>917</v>
      </c>
      <c r="C29" s="88" t="str">
        <f t="shared" si="5"/>
        <v>FF0021027FFFA1</v>
      </c>
      <c r="D29" s="88" t="s">
        <v>916</v>
      </c>
      <c r="E29" s="88" t="s">
        <v>889</v>
      </c>
      <c r="F29" s="88" t="s">
        <v>862</v>
      </c>
      <c r="G29" s="88"/>
      <c r="H29" s="89">
        <v>10</v>
      </c>
      <c r="I29" s="91"/>
      <c r="J29" s="88" t="s">
        <v>865</v>
      </c>
      <c r="K29" s="88" t="str">
        <f t="shared" si="8"/>
        <v>2102</v>
      </c>
      <c r="L29" s="88" t="str">
        <f t="shared" si="6"/>
        <v>21</v>
      </c>
      <c r="M29" s="88" t="str">
        <f t="shared" si="7"/>
        <v>02</v>
      </c>
      <c r="N29" s="88">
        <v>32767</v>
      </c>
      <c r="O29" s="88" t="str">
        <f>REPT("0", 4 - LEN(DEC2HEX(N29))) &amp; DEC2HEX(N29)</f>
        <v>7FFF</v>
      </c>
      <c r="P29" s="88" t="str">
        <f t="shared" si="0"/>
        <v>7F</v>
      </c>
      <c r="Q29" s="88" t="str">
        <f t="shared" si="1"/>
        <v>FF</v>
      </c>
      <c r="R29" s="88" t="str">
        <f t="shared" si="2"/>
        <v>1A1</v>
      </c>
      <c r="S29" s="88" t="str">
        <f t="shared" si="3"/>
        <v>A1</v>
      </c>
      <c r="T29" s="88" t="str">
        <f t="shared" si="4"/>
        <v>FF0021027FFFA1</v>
      </c>
    </row>
    <row r="30" spans="2:20" s="2" customFormat="1">
      <c r="B30" s="88" t="s">
        <v>918</v>
      </c>
      <c r="C30" s="88" t="str">
        <f t="shared" si="5"/>
        <v>FF0021038001A5</v>
      </c>
      <c r="D30" s="88" t="s">
        <v>919</v>
      </c>
      <c r="E30" s="88" t="s">
        <v>889</v>
      </c>
      <c r="F30" s="88" t="s">
        <v>862</v>
      </c>
      <c r="G30" s="88"/>
      <c r="H30" s="89">
        <v>35</v>
      </c>
      <c r="I30" s="91"/>
      <c r="J30" s="88" t="s">
        <v>865</v>
      </c>
      <c r="K30" s="88" t="str">
        <f t="shared" si="8"/>
        <v>2103</v>
      </c>
      <c r="L30" s="88" t="str">
        <f t="shared" si="6"/>
        <v>21</v>
      </c>
      <c r="M30" s="88" t="str">
        <f t="shared" si="7"/>
        <v>03</v>
      </c>
      <c r="N30" s="88">
        <v>-32767</v>
      </c>
      <c r="O30" s="88" t="str">
        <f>TEXT(DEC2HEX(65536 + N30), "0000")</f>
        <v>8001</v>
      </c>
      <c r="P30" s="88" t="str">
        <f t="shared" si="0"/>
        <v>80</v>
      </c>
      <c r="Q30" s="88" t="str">
        <f t="shared" si="1"/>
        <v>01</v>
      </c>
      <c r="R30" s="88" t="str">
        <f t="shared" si="2"/>
        <v>A5</v>
      </c>
      <c r="S30" s="88" t="str">
        <f t="shared" si="3"/>
        <v>A5</v>
      </c>
      <c r="T30" s="88" t="str">
        <f t="shared" si="4"/>
        <v>FF0021038001A5</v>
      </c>
    </row>
    <row r="31" spans="2:20" s="2" customFormat="1">
      <c r="B31" s="88" t="s">
        <v>920</v>
      </c>
      <c r="C31" s="88" t="str">
        <f t="shared" si="5"/>
        <v>FF0021037FFFA2</v>
      </c>
      <c r="D31" s="88" t="s">
        <v>919</v>
      </c>
      <c r="E31" s="88" t="s">
        <v>889</v>
      </c>
      <c r="F31" s="88" t="s">
        <v>862</v>
      </c>
      <c r="G31" s="88"/>
      <c r="H31" s="89">
        <v>35</v>
      </c>
      <c r="I31" s="91"/>
      <c r="J31" s="88" t="s">
        <v>865</v>
      </c>
      <c r="K31" s="88" t="str">
        <f t="shared" si="8"/>
        <v>2103</v>
      </c>
      <c r="L31" s="88" t="str">
        <f t="shared" si="6"/>
        <v>21</v>
      </c>
      <c r="M31" s="88" t="str">
        <f t="shared" si="7"/>
        <v>03</v>
      </c>
      <c r="N31" s="88">
        <v>32767</v>
      </c>
      <c r="O31" s="88" t="str">
        <f>REPT("0", 4 - LEN(DEC2HEX(N31))) &amp; DEC2HEX(N31)</f>
        <v>7FFF</v>
      </c>
      <c r="P31" s="88" t="str">
        <f t="shared" si="0"/>
        <v>7F</v>
      </c>
      <c r="Q31" s="88" t="str">
        <f t="shared" si="1"/>
        <v>FF</v>
      </c>
      <c r="R31" s="88" t="str">
        <f t="shared" si="2"/>
        <v>1A2</v>
      </c>
      <c r="S31" s="88" t="str">
        <f t="shared" si="3"/>
        <v>A2</v>
      </c>
      <c r="T31" s="88" t="str">
        <f t="shared" si="4"/>
        <v>FF0021037FFFA2</v>
      </c>
    </row>
    <row r="32" spans="2:20" s="2" customFormat="1">
      <c r="B32" s="88" t="s">
        <v>921</v>
      </c>
      <c r="C32" s="88" t="str">
        <f t="shared" si="5"/>
        <v>FF002104FFCEF2</v>
      </c>
      <c r="D32" s="88" t="s">
        <v>922</v>
      </c>
      <c r="E32" s="88" t="s">
        <v>889</v>
      </c>
      <c r="F32" s="88" t="s">
        <v>862</v>
      </c>
      <c r="G32" s="88"/>
      <c r="H32" s="89">
        <v>0</v>
      </c>
      <c r="I32" s="91"/>
      <c r="J32" s="88" t="s">
        <v>865</v>
      </c>
      <c r="K32" s="88" t="str">
        <f t="shared" si="8"/>
        <v>2104</v>
      </c>
      <c r="L32" s="88" t="str">
        <f t="shared" si="6"/>
        <v>21</v>
      </c>
      <c r="M32" s="88" t="str">
        <f t="shared" si="7"/>
        <v>04</v>
      </c>
      <c r="N32" s="88">
        <v>-50</v>
      </c>
      <c r="O32" s="88" t="str">
        <f>TEXT(DEC2HEX(65536 + N32), "0000")</f>
        <v>FFCE</v>
      </c>
      <c r="P32" s="88" t="str">
        <f t="shared" si="0"/>
        <v>FF</v>
      </c>
      <c r="Q32" s="88" t="str">
        <f t="shared" si="1"/>
        <v>CE</v>
      </c>
      <c r="R32" s="88" t="str">
        <f t="shared" si="2"/>
        <v>1F2</v>
      </c>
      <c r="S32" s="88" t="str">
        <f t="shared" si="3"/>
        <v>F2</v>
      </c>
      <c r="T32" s="88" t="str">
        <f t="shared" si="4"/>
        <v>FF002104FFCEF2</v>
      </c>
    </row>
    <row r="33" spans="2:20" s="2" customFormat="1">
      <c r="B33" s="88" t="s">
        <v>1107</v>
      </c>
      <c r="C33" s="88" t="str">
        <f t="shared" ref="C33" si="18">T33</f>
        <v>FF002104000025</v>
      </c>
      <c r="D33" s="88" t="s">
        <v>922</v>
      </c>
      <c r="E33" s="88" t="s">
        <v>889</v>
      </c>
      <c r="F33" s="88" t="s">
        <v>862</v>
      </c>
      <c r="G33" s="88"/>
      <c r="H33" s="89">
        <v>0</v>
      </c>
      <c r="I33" s="91"/>
      <c r="J33" s="88" t="s">
        <v>865</v>
      </c>
      <c r="K33" s="88" t="str">
        <f t="shared" ref="K33" si="19" xml:space="preserve"> SUBSTITUTE(D33, "0x","")</f>
        <v>2104</v>
      </c>
      <c r="L33" s="88" t="str">
        <f t="shared" ref="L33" si="20">LEFT(K33,2)</f>
        <v>21</v>
      </c>
      <c r="M33" s="88" t="str">
        <f t="shared" ref="M33" si="21">RIGHT(K33,2)</f>
        <v>04</v>
      </c>
      <c r="N33" s="88">
        <v>0</v>
      </c>
      <c r="O33" s="88" t="str">
        <f>REPT("0", 4 - LEN(DEC2HEX(N33))) &amp; DEC2HEX(N33)</f>
        <v>0000</v>
      </c>
      <c r="P33" s="88" t="str">
        <f t="shared" ref="P33" si="22">LEFT(O33, 2)</f>
        <v>00</v>
      </c>
      <c r="Q33" s="88" t="str">
        <f t="shared" ref="Q33" si="23">RIGHT(O33, 2)</f>
        <v>00</v>
      </c>
      <c r="R33" s="88" t="str">
        <f t="shared" ref="R33" si="24">DEC2HEX(SUM(HEX2DEC(L33), HEX2DEC(M33), HEX2DEC(P33), HEX2DEC(Q33)))</f>
        <v>25</v>
      </c>
      <c r="S33" s="88" t="str">
        <f t="shared" ref="S33" si="25">RIGHT(R33,2)</f>
        <v>25</v>
      </c>
      <c r="T33" s="88" t="str">
        <f t="shared" ref="T33" si="26">"FF00"&amp;K33&amp;""&amp;P33&amp;Q33&amp;S33</f>
        <v>FF002104000025</v>
      </c>
    </row>
    <row r="34" spans="2:20" s="2" customFormat="1">
      <c r="B34" s="88" t="s">
        <v>923</v>
      </c>
      <c r="C34" s="88" t="str">
        <f t="shared" si="5"/>
        <v>FF002104003257</v>
      </c>
      <c r="D34" s="88" t="s">
        <v>922</v>
      </c>
      <c r="E34" s="88" t="s">
        <v>889</v>
      </c>
      <c r="F34" s="88" t="s">
        <v>862</v>
      </c>
      <c r="G34" s="88"/>
      <c r="H34" s="89">
        <v>0</v>
      </c>
      <c r="I34" s="91"/>
      <c r="J34" s="88" t="s">
        <v>865</v>
      </c>
      <c r="K34" s="88" t="str">
        <f t="shared" si="8"/>
        <v>2104</v>
      </c>
      <c r="L34" s="88" t="str">
        <f t="shared" si="6"/>
        <v>21</v>
      </c>
      <c r="M34" s="88" t="str">
        <f t="shared" si="7"/>
        <v>04</v>
      </c>
      <c r="N34" s="88">
        <v>50</v>
      </c>
      <c r="O34" s="88" t="str">
        <f>REPT("0", 4 - LEN(DEC2HEX(N34))) &amp; DEC2HEX(N34)</f>
        <v>0032</v>
      </c>
      <c r="P34" s="88" t="str">
        <f t="shared" si="0"/>
        <v>00</v>
      </c>
      <c r="Q34" s="88" t="str">
        <f t="shared" si="1"/>
        <v>32</v>
      </c>
      <c r="R34" s="88" t="str">
        <f t="shared" si="2"/>
        <v>57</v>
      </c>
      <c r="S34" s="88" t="str">
        <f t="shared" si="3"/>
        <v>57</v>
      </c>
      <c r="T34" s="88" t="str">
        <f t="shared" si="4"/>
        <v>FF002104003257</v>
      </c>
    </row>
    <row r="35" spans="2:20" s="2" customFormat="1">
      <c r="B35" s="88" t="s">
        <v>1104</v>
      </c>
      <c r="C35" s="88" t="str">
        <f t="shared" ref="C35:C37" si="27">T35</f>
        <v>FF002105FFCEF3</v>
      </c>
      <c r="D35" s="88" t="s">
        <v>1106</v>
      </c>
      <c r="E35" s="88" t="s">
        <v>889</v>
      </c>
      <c r="F35" s="88" t="s">
        <v>862</v>
      </c>
      <c r="G35" s="88"/>
      <c r="H35" s="89">
        <v>0</v>
      </c>
      <c r="I35" s="91"/>
      <c r="J35" s="88" t="s">
        <v>865</v>
      </c>
      <c r="K35" s="88" t="str">
        <f t="shared" ref="K35:K37" si="28" xml:space="preserve"> SUBSTITUTE(D35, "0x","")</f>
        <v>2105</v>
      </c>
      <c r="L35" s="88" t="str">
        <f t="shared" ref="L35:L37" si="29">LEFT(K35,2)</f>
        <v>21</v>
      </c>
      <c r="M35" s="88" t="str">
        <f t="shared" ref="M35:M37" si="30">RIGHT(K35,2)</f>
        <v>05</v>
      </c>
      <c r="N35" s="88">
        <v>-50</v>
      </c>
      <c r="O35" s="88" t="str">
        <f>TEXT(DEC2HEX(65536 + N35), "0000")</f>
        <v>FFCE</v>
      </c>
      <c r="P35" s="88" t="str">
        <f t="shared" ref="P35:P37" si="31">LEFT(O35, 2)</f>
        <v>FF</v>
      </c>
      <c r="Q35" s="88" t="str">
        <f t="shared" ref="Q35:Q37" si="32">RIGHT(O35, 2)</f>
        <v>CE</v>
      </c>
      <c r="R35" s="88" t="str">
        <f t="shared" ref="R35:R37" si="33">DEC2HEX(SUM(HEX2DEC(L35), HEX2DEC(M35), HEX2DEC(P35), HEX2DEC(Q35)))</f>
        <v>1F3</v>
      </c>
      <c r="S35" s="88" t="str">
        <f t="shared" ref="S35:S37" si="34">RIGHT(R35,2)</f>
        <v>F3</v>
      </c>
      <c r="T35" s="88" t="str">
        <f t="shared" ref="T35:T37" si="35">"FF00"&amp;K35&amp;""&amp;P35&amp;Q35&amp;S35</f>
        <v>FF002105FFCEF3</v>
      </c>
    </row>
    <row r="36" spans="2:20" s="2" customFormat="1">
      <c r="B36" s="88" t="s">
        <v>1108</v>
      </c>
      <c r="C36" s="88" t="str">
        <f t="shared" ref="C36" si="36">T36</f>
        <v>FF002105000026</v>
      </c>
      <c r="D36" s="88" t="s">
        <v>1106</v>
      </c>
      <c r="E36" s="88" t="s">
        <v>889</v>
      </c>
      <c r="F36" s="88" t="s">
        <v>862</v>
      </c>
      <c r="G36" s="88"/>
      <c r="H36" s="89">
        <v>0</v>
      </c>
      <c r="I36" s="91"/>
      <c r="J36" s="88" t="s">
        <v>865</v>
      </c>
      <c r="K36" s="88" t="str">
        <f t="shared" ref="K36" si="37" xml:space="preserve"> SUBSTITUTE(D36, "0x","")</f>
        <v>2105</v>
      </c>
      <c r="L36" s="88" t="str">
        <f t="shared" ref="L36" si="38">LEFT(K36,2)</f>
        <v>21</v>
      </c>
      <c r="M36" s="88" t="str">
        <f t="shared" ref="M36" si="39">RIGHT(K36,2)</f>
        <v>05</v>
      </c>
      <c r="N36" s="88">
        <v>0</v>
      </c>
      <c r="O36" s="88" t="str">
        <f>REPT("0", 4 - LEN(DEC2HEX(N36))) &amp; DEC2HEX(N36)</f>
        <v>0000</v>
      </c>
      <c r="P36" s="88" t="str">
        <f t="shared" ref="P36" si="40">LEFT(O36, 2)</f>
        <v>00</v>
      </c>
      <c r="Q36" s="88" t="str">
        <f t="shared" ref="Q36" si="41">RIGHT(O36, 2)</f>
        <v>00</v>
      </c>
      <c r="R36" s="88" t="str">
        <f t="shared" ref="R36" si="42">DEC2HEX(SUM(HEX2DEC(L36), HEX2DEC(M36), HEX2DEC(P36), HEX2DEC(Q36)))</f>
        <v>26</v>
      </c>
      <c r="S36" s="88" t="str">
        <f t="shared" ref="S36" si="43">RIGHT(R36,2)</f>
        <v>26</v>
      </c>
      <c r="T36" s="88" t="str">
        <f t="shared" ref="T36" si="44">"FF00"&amp;K36&amp;""&amp;P36&amp;Q36&amp;S36</f>
        <v>FF002105000026</v>
      </c>
    </row>
    <row r="37" spans="2:20" s="2" customFormat="1">
      <c r="B37" s="88" t="s">
        <v>1105</v>
      </c>
      <c r="C37" s="88" t="str">
        <f t="shared" si="27"/>
        <v>FF002105003258</v>
      </c>
      <c r="D37" s="88" t="s">
        <v>1106</v>
      </c>
      <c r="E37" s="88" t="s">
        <v>889</v>
      </c>
      <c r="F37" s="88" t="s">
        <v>862</v>
      </c>
      <c r="G37" s="88"/>
      <c r="H37" s="89">
        <v>0</v>
      </c>
      <c r="I37" s="91"/>
      <c r="J37" s="88" t="s">
        <v>865</v>
      </c>
      <c r="K37" s="88" t="str">
        <f t="shared" si="28"/>
        <v>2105</v>
      </c>
      <c r="L37" s="88" t="str">
        <f t="shared" si="29"/>
        <v>21</v>
      </c>
      <c r="M37" s="88" t="str">
        <f t="shared" si="30"/>
        <v>05</v>
      </c>
      <c r="N37" s="88">
        <v>50</v>
      </c>
      <c r="O37" s="88" t="str">
        <f>REPT("0", 4 - LEN(DEC2HEX(N37))) &amp; DEC2HEX(N37)</f>
        <v>0032</v>
      </c>
      <c r="P37" s="88" t="str">
        <f t="shared" si="31"/>
        <v>00</v>
      </c>
      <c r="Q37" s="88" t="str">
        <f t="shared" si="32"/>
        <v>32</v>
      </c>
      <c r="R37" s="88" t="str">
        <f t="shared" si="33"/>
        <v>58</v>
      </c>
      <c r="S37" s="88" t="str">
        <f t="shared" si="34"/>
        <v>58</v>
      </c>
      <c r="T37" s="88" t="str">
        <f t="shared" si="35"/>
        <v>FF002105003258</v>
      </c>
    </row>
    <row r="38" spans="2:20" s="2" customFormat="1">
      <c r="B38" s="88" t="s">
        <v>924</v>
      </c>
      <c r="C38" s="88" t="str">
        <f t="shared" si="5"/>
        <v>FF002110000031</v>
      </c>
      <c r="D38" s="88" t="s">
        <v>925</v>
      </c>
      <c r="E38" s="88" t="s">
        <v>889</v>
      </c>
      <c r="F38" s="88" t="s">
        <v>862</v>
      </c>
      <c r="G38" s="88"/>
      <c r="H38" s="89">
        <v>15</v>
      </c>
      <c r="I38" s="91"/>
      <c r="J38" s="88" t="s">
        <v>865</v>
      </c>
      <c r="K38" s="88" t="str">
        <f t="shared" si="8"/>
        <v>2110</v>
      </c>
      <c r="L38" s="88" t="str">
        <f t="shared" si="6"/>
        <v>21</v>
      </c>
      <c r="M38" s="88" t="str">
        <f t="shared" si="7"/>
        <v>10</v>
      </c>
      <c r="N38" s="88">
        <v>0</v>
      </c>
      <c r="O38" s="88" t="str">
        <f>REPT("0", 4 - LEN(DEC2HEX(N38))) &amp; DEC2HEX(N38)</f>
        <v>0000</v>
      </c>
      <c r="P38" s="88" t="str">
        <f t="shared" si="0"/>
        <v>00</v>
      </c>
      <c r="Q38" s="88" t="str">
        <f t="shared" si="1"/>
        <v>00</v>
      </c>
      <c r="R38" s="88" t="str">
        <f t="shared" si="2"/>
        <v>31</v>
      </c>
      <c r="S38" s="88" t="str">
        <f t="shared" si="3"/>
        <v>31</v>
      </c>
      <c r="T38" s="88" t="str">
        <f t="shared" si="4"/>
        <v>FF002110000031</v>
      </c>
    </row>
    <row r="39" spans="2:20" s="2" customFormat="1">
      <c r="B39" s="88" t="s">
        <v>1101</v>
      </c>
      <c r="C39" s="88" t="str">
        <f t="shared" ref="C39" si="45">T39</f>
        <v>FF002110000A3B</v>
      </c>
      <c r="D39" s="88" t="s">
        <v>925</v>
      </c>
      <c r="E39" s="88" t="s">
        <v>889</v>
      </c>
      <c r="F39" s="88" t="s">
        <v>862</v>
      </c>
      <c r="G39" s="88"/>
      <c r="H39" s="89">
        <v>15</v>
      </c>
      <c r="I39" s="91"/>
      <c r="J39" s="88" t="s">
        <v>865</v>
      </c>
      <c r="K39" s="88" t="str">
        <f t="shared" ref="K39" si="46" xml:space="preserve"> SUBSTITUTE(D39, "0x","")</f>
        <v>2110</v>
      </c>
      <c r="L39" s="88" t="str">
        <f t="shared" ref="L39" si="47">LEFT(K39,2)</f>
        <v>21</v>
      </c>
      <c r="M39" s="88" t="str">
        <f t="shared" ref="M39" si="48">RIGHT(K39,2)</f>
        <v>10</v>
      </c>
      <c r="N39" s="88">
        <v>10</v>
      </c>
      <c r="O39" s="88" t="str">
        <f>REPT("0", 4 - LEN(DEC2HEX(N39))) &amp; DEC2HEX(N39)</f>
        <v>000A</v>
      </c>
      <c r="P39" s="88" t="str">
        <f t="shared" ref="P39" si="49">LEFT(O39, 2)</f>
        <v>00</v>
      </c>
      <c r="Q39" s="88" t="str">
        <f t="shared" ref="Q39" si="50">RIGHT(O39, 2)</f>
        <v>0A</v>
      </c>
      <c r="R39" s="88" t="str">
        <f t="shared" ref="R39" si="51">DEC2HEX(SUM(HEX2DEC(L39), HEX2DEC(M39), HEX2DEC(P39), HEX2DEC(Q39)))</f>
        <v>3B</v>
      </c>
      <c r="S39" s="88" t="str">
        <f t="shared" ref="S39" si="52">RIGHT(R39,2)</f>
        <v>3B</v>
      </c>
      <c r="T39" s="88" t="str">
        <f t="shared" ref="T39" si="53">"FF00"&amp;K39&amp;""&amp;P39&amp;Q39&amp;S39</f>
        <v>FF002110000A3B</v>
      </c>
    </row>
    <row r="40" spans="2:20" s="2" customFormat="1">
      <c r="B40" s="88" t="s">
        <v>926</v>
      </c>
      <c r="C40" s="88" t="str">
        <f t="shared" si="5"/>
        <v>FF002110001E4F</v>
      </c>
      <c r="D40" s="88" t="s">
        <v>925</v>
      </c>
      <c r="E40" s="88" t="s">
        <v>889</v>
      </c>
      <c r="F40" s="88" t="s">
        <v>862</v>
      </c>
      <c r="G40" s="88"/>
      <c r="H40" s="89">
        <v>15</v>
      </c>
      <c r="I40" s="91"/>
      <c r="J40" s="88" t="s">
        <v>865</v>
      </c>
      <c r="K40" s="88" t="str">
        <f t="shared" si="8"/>
        <v>2110</v>
      </c>
      <c r="L40" s="88" t="str">
        <f t="shared" si="6"/>
        <v>21</v>
      </c>
      <c r="M40" s="88" t="str">
        <f t="shared" si="7"/>
        <v>10</v>
      </c>
      <c r="N40" s="88">
        <v>30</v>
      </c>
      <c r="O40" s="88" t="str">
        <f>REPT("0", 4 - LEN(DEC2HEX(N40))) &amp; DEC2HEX(N40)</f>
        <v>001E</v>
      </c>
      <c r="P40" s="88" t="str">
        <f t="shared" si="0"/>
        <v>00</v>
      </c>
      <c r="Q40" s="88" t="str">
        <f t="shared" si="1"/>
        <v>1E</v>
      </c>
      <c r="R40" s="88" t="str">
        <f t="shared" si="2"/>
        <v>4F</v>
      </c>
      <c r="S40" s="88" t="str">
        <f t="shared" si="3"/>
        <v>4F</v>
      </c>
      <c r="T40" s="88" t="str">
        <f t="shared" si="4"/>
        <v>FF002110001E4F</v>
      </c>
    </row>
    <row r="41" spans="2:20" s="2" customFormat="1">
      <c r="B41" s="88" t="s">
        <v>927</v>
      </c>
      <c r="C41" s="88" t="str">
        <f t="shared" si="5"/>
        <v>FF002112000033</v>
      </c>
      <c r="D41" s="88" t="s">
        <v>928</v>
      </c>
      <c r="E41" s="88" t="s">
        <v>889</v>
      </c>
      <c r="F41" s="88" t="s">
        <v>862</v>
      </c>
      <c r="G41" s="88"/>
      <c r="H41" s="89">
        <v>3</v>
      </c>
      <c r="I41" s="91"/>
      <c r="J41" s="88" t="s">
        <v>865</v>
      </c>
      <c r="K41" s="88" t="str">
        <f t="shared" si="8"/>
        <v>2112</v>
      </c>
      <c r="L41" s="88" t="str">
        <f t="shared" si="6"/>
        <v>21</v>
      </c>
      <c r="M41" s="88" t="str">
        <f t="shared" si="7"/>
        <v>12</v>
      </c>
      <c r="N41" s="88">
        <v>0</v>
      </c>
      <c r="O41" s="90" t="s">
        <v>866</v>
      </c>
      <c r="P41" s="88" t="str">
        <f t="shared" si="0"/>
        <v>00</v>
      </c>
      <c r="Q41" s="88" t="str">
        <f t="shared" si="1"/>
        <v>00</v>
      </c>
      <c r="R41" s="88" t="str">
        <f t="shared" si="2"/>
        <v>33</v>
      </c>
      <c r="S41" s="88" t="str">
        <f t="shared" si="3"/>
        <v>33</v>
      </c>
      <c r="T41" s="88" t="str">
        <f t="shared" si="4"/>
        <v>FF002112000033</v>
      </c>
    </row>
    <row r="42" spans="2:20" s="2" customFormat="1">
      <c r="B42" s="88" t="s">
        <v>1111</v>
      </c>
      <c r="C42" s="88" t="str">
        <f t="shared" ref="C42" si="54">T42</f>
        <v>FF002112000336</v>
      </c>
      <c r="D42" s="88" t="s">
        <v>928</v>
      </c>
      <c r="E42" s="88" t="s">
        <v>889</v>
      </c>
      <c r="F42" s="88" t="s">
        <v>862</v>
      </c>
      <c r="G42" s="88"/>
      <c r="H42" s="89">
        <v>3</v>
      </c>
      <c r="I42" s="91"/>
      <c r="J42" s="88" t="s">
        <v>865</v>
      </c>
      <c r="K42" s="88" t="str">
        <f t="shared" ref="K42" si="55" xml:space="preserve"> SUBSTITUTE(D42, "0x","")</f>
        <v>2112</v>
      </c>
      <c r="L42" s="88" t="str">
        <f t="shared" ref="L42" si="56">LEFT(K42,2)</f>
        <v>21</v>
      </c>
      <c r="M42" s="88" t="str">
        <f t="shared" ref="M42" si="57">RIGHT(K42,2)</f>
        <v>12</v>
      </c>
      <c r="N42" s="88">
        <v>3</v>
      </c>
      <c r="O42" s="90" t="s">
        <v>909</v>
      </c>
      <c r="P42" s="88" t="str">
        <f t="shared" ref="P42" si="58">LEFT(O42, 2)</f>
        <v>00</v>
      </c>
      <c r="Q42" s="88" t="str">
        <f t="shared" ref="Q42" si="59">RIGHT(O42, 2)</f>
        <v>03</v>
      </c>
      <c r="R42" s="88" t="str">
        <f t="shared" ref="R42" si="60">DEC2HEX(SUM(HEX2DEC(L42), HEX2DEC(M42), HEX2DEC(P42), HEX2DEC(Q42)))</f>
        <v>36</v>
      </c>
      <c r="S42" s="88" t="str">
        <f t="shared" ref="S42" si="61">RIGHT(R42,2)</f>
        <v>36</v>
      </c>
      <c r="T42" s="88" t="str">
        <f t="shared" ref="T42" si="62">"FF00"&amp;K42&amp;""&amp;P42&amp;Q42&amp;S42</f>
        <v>FF002112000336</v>
      </c>
    </row>
    <row r="43" spans="2:20" s="2" customFormat="1">
      <c r="B43" s="88" t="s">
        <v>929</v>
      </c>
      <c r="C43" s="88" t="str">
        <f t="shared" si="5"/>
        <v>FF00211200073A</v>
      </c>
      <c r="D43" s="88" t="s">
        <v>928</v>
      </c>
      <c r="E43" s="88" t="s">
        <v>889</v>
      </c>
      <c r="F43" s="88" t="s">
        <v>862</v>
      </c>
      <c r="G43" s="88"/>
      <c r="H43" s="89">
        <v>3</v>
      </c>
      <c r="I43" s="91"/>
      <c r="J43" s="88" t="s">
        <v>865</v>
      </c>
      <c r="K43" s="88" t="str">
        <f t="shared" si="8"/>
        <v>2112</v>
      </c>
      <c r="L43" s="88" t="str">
        <f t="shared" si="6"/>
        <v>21</v>
      </c>
      <c r="M43" s="88" t="str">
        <f t="shared" si="7"/>
        <v>12</v>
      </c>
      <c r="N43" s="88">
        <v>7</v>
      </c>
      <c r="O43" s="90" t="s">
        <v>930</v>
      </c>
      <c r="P43" s="88" t="str">
        <f t="shared" si="0"/>
        <v>00</v>
      </c>
      <c r="Q43" s="88" t="str">
        <f t="shared" si="1"/>
        <v>07</v>
      </c>
      <c r="R43" s="88" t="str">
        <f t="shared" si="2"/>
        <v>3A</v>
      </c>
      <c r="S43" s="88" t="str">
        <f t="shared" si="3"/>
        <v>3A</v>
      </c>
      <c r="T43" s="88" t="str">
        <f t="shared" si="4"/>
        <v>FF00211200073A</v>
      </c>
    </row>
    <row r="44" spans="2:20" s="2" customFormat="1" ht="99" customHeight="1">
      <c r="B44" s="88" t="s">
        <v>931</v>
      </c>
      <c r="C44" s="88" t="str">
        <f t="shared" si="5"/>
        <v>FF002113000034</v>
      </c>
      <c r="D44" s="88" t="s">
        <v>932</v>
      </c>
      <c r="E44" s="88" t="s">
        <v>933</v>
      </c>
      <c r="F44" s="88" t="s">
        <v>862</v>
      </c>
      <c r="G44" s="88" t="s">
        <v>934</v>
      </c>
      <c r="H44" s="89">
        <v>0</v>
      </c>
      <c r="I44" s="91"/>
      <c r="J44" s="88" t="s">
        <v>865</v>
      </c>
      <c r="K44" s="88" t="str">
        <f t="shared" si="8"/>
        <v>2113</v>
      </c>
      <c r="L44" s="88" t="str">
        <f t="shared" si="6"/>
        <v>21</v>
      </c>
      <c r="M44" s="88" t="str">
        <f t="shared" si="7"/>
        <v>13</v>
      </c>
      <c r="N44" s="88"/>
      <c r="O44" s="90" t="s">
        <v>866</v>
      </c>
      <c r="P44" s="88" t="str">
        <f t="shared" si="0"/>
        <v>00</v>
      </c>
      <c r="Q44" s="88" t="str">
        <f t="shared" si="1"/>
        <v>00</v>
      </c>
      <c r="R44" s="88" t="str">
        <f t="shared" si="2"/>
        <v>34</v>
      </c>
      <c r="S44" s="88" t="str">
        <f t="shared" si="3"/>
        <v>34</v>
      </c>
      <c r="T44" s="88" t="str">
        <f t="shared" si="4"/>
        <v>FF002113000034</v>
      </c>
    </row>
    <row r="45" spans="2:20" s="2" customFormat="1">
      <c r="B45" s="88" t="s">
        <v>935</v>
      </c>
      <c r="C45" s="88" t="str">
        <f t="shared" si="5"/>
        <v>FF002113000135</v>
      </c>
      <c r="D45" s="88" t="s">
        <v>932</v>
      </c>
      <c r="E45" s="88" t="s">
        <v>933</v>
      </c>
      <c r="F45" s="88" t="s">
        <v>862</v>
      </c>
      <c r="G45" s="88"/>
      <c r="H45" s="89">
        <v>0</v>
      </c>
      <c r="I45" s="91"/>
      <c r="J45" s="88" t="s">
        <v>865</v>
      </c>
      <c r="K45" s="88" t="str">
        <f t="shared" si="8"/>
        <v>2113</v>
      </c>
      <c r="L45" s="88" t="str">
        <f t="shared" si="6"/>
        <v>21</v>
      </c>
      <c r="M45" s="88" t="str">
        <f t="shared" si="7"/>
        <v>13</v>
      </c>
      <c r="N45" s="88"/>
      <c r="O45" s="90" t="s">
        <v>936</v>
      </c>
      <c r="P45" s="88" t="str">
        <f t="shared" si="0"/>
        <v>00</v>
      </c>
      <c r="Q45" s="88" t="str">
        <f t="shared" si="1"/>
        <v>01</v>
      </c>
      <c r="R45" s="88" t="str">
        <f t="shared" si="2"/>
        <v>35</v>
      </c>
      <c r="S45" s="88" t="str">
        <f t="shared" si="3"/>
        <v>35</v>
      </c>
      <c r="T45" s="88" t="str">
        <f t="shared" si="4"/>
        <v>FF002113000135</v>
      </c>
    </row>
    <row r="46" spans="2:20" s="2" customFormat="1">
      <c r="B46" s="88" t="s">
        <v>937</v>
      </c>
      <c r="C46" s="88" t="str">
        <f t="shared" si="5"/>
        <v>FF002113000236</v>
      </c>
      <c r="D46" s="88" t="s">
        <v>932</v>
      </c>
      <c r="E46" s="88" t="s">
        <v>933</v>
      </c>
      <c r="F46" s="88" t="s">
        <v>862</v>
      </c>
      <c r="G46" s="88"/>
      <c r="H46" s="89">
        <v>0</v>
      </c>
      <c r="I46" s="91"/>
      <c r="J46" s="88" t="s">
        <v>865</v>
      </c>
      <c r="K46" s="88" t="str">
        <f t="shared" si="8"/>
        <v>2113</v>
      </c>
      <c r="L46" s="88" t="str">
        <f t="shared" si="6"/>
        <v>21</v>
      </c>
      <c r="M46" s="88" t="str">
        <f t="shared" si="7"/>
        <v>13</v>
      </c>
      <c r="N46" s="88"/>
      <c r="O46" s="90" t="s">
        <v>938</v>
      </c>
      <c r="P46" s="88" t="str">
        <f t="shared" si="0"/>
        <v>00</v>
      </c>
      <c r="Q46" s="88" t="str">
        <f t="shared" si="1"/>
        <v>02</v>
      </c>
      <c r="R46" s="88" t="str">
        <f t="shared" si="2"/>
        <v>36</v>
      </c>
      <c r="S46" s="88" t="str">
        <f t="shared" si="3"/>
        <v>36</v>
      </c>
      <c r="T46" s="88" t="str">
        <f t="shared" si="4"/>
        <v>FF002113000236</v>
      </c>
    </row>
    <row r="47" spans="2:20" s="2" customFormat="1">
      <c r="B47" s="88" t="s">
        <v>939</v>
      </c>
      <c r="C47" s="88" t="str">
        <f t="shared" si="5"/>
        <v>FF002113000337</v>
      </c>
      <c r="D47" s="88" t="s">
        <v>932</v>
      </c>
      <c r="E47" s="88" t="s">
        <v>933</v>
      </c>
      <c r="F47" s="88" t="s">
        <v>862</v>
      </c>
      <c r="G47" s="88"/>
      <c r="H47" s="89">
        <v>0</v>
      </c>
      <c r="I47" s="91"/>
      <c r="J47" s="88" t="s">
        <v>865</v>
      </c>
      <c r="K47" s="88" t="str">
        <f t="shared" si="8"/>
        <v>2113</v>
      </c>
      <c r="L47" s="88" t="str">
        <f t="shared" si="6"/>
        <v>21</v>
      </c>
      <c r="M47" s="88" t="str">
        <f t="shared" si="7"/>
        <v>13</v>
      </c>
      <c r="N47" s="88"/>
      <c r="O47" s="90" t="s">
        <v>940</v>
      </c>
      <c r="P47" s="88" t="str">
        <f t="shared" si="0"/>
        <v>00</v>
      </c>
      <c r="Q47" s="88" t="str">
        <f t="shared" si="1"/>
        <v>03</v>
      </c>
      <c r="R47" s="88" t="str">
        <f t="shared" si="2"/>
        <v>37</v>
      </c>
      <c r="S47" s="88" t="str">
        <f t="shared" si="3"/>
        <v>37</v>
      </c>
      <c r="T47" s="88" t="str">
        <f t="shared" si="4"/>
        <v>FF002113000337</v>
      </c>
    </row>
    <row r="48" spans="2:20" s="2" customFormat="1">
      <c r="B48" s="88" t="s">
        <v>941</v>
      </c>
      <c r="C48" s="88" t="str">
        <f t="shared" si="5"/>
        <v>FF002113000438</v>
      </c>
      <c r="D48" s="88" t="s">
        <v>932</v>
      </c>
      <c r="E48" s="88" t="s">
        <v>933</v>
      </c>
      <c r="F48" s="88" t="s">
        <v>862</v>
      </c>
      <c r="G48" s="88"/>
      <c r="H48" s="89">
        <v>0</v>
      </c>
      <c r="I48" s="91"/>
      <c r="J48" s="88" t="s">
        <v>865</v>
      </c>
      <c r="K48" s="88" t="str">
        <f t="shared" si="8"/>
        <v>2113</v>
      </c>
      <c r="L48" s="88" t="str">
        <f t="shared" si="6"/>
        <v>21</v>
      </c>
      <c r="M48" s="88" t="str">
        <f t="shared" si="7"/>
        <v>13</v>
      </c>
      <c r="N48" s="88"/>
      <c r="O48" s="90" t="s">
        <v>942</v>
      </c>
      <c r="P48" s="88" t="str">
        <f t="shared" si="0"/>
        <v>00</v>
      </c>
      <c r="Q48" s="88" t="str">
        <f t="shared" si="1"/>
        <v>04</v>
      </c>
      <c r="R48" s="88" t="str">
        <f t="shared" si="2"/>
        <v>38</v>
      </c>
      <c r="S48" s="88" t="str">
        <f t="shared" si="3"/>
        <v>38</v>
      </c>
      <c r="T48" s="88" t="str">
        <f t="shared" si="4"/>
        <v>FF002113000438</v>
      </c>
    </row>
    <row r="49" spans="2:20" s="2" customFormat="1">
      <c r="B49" s="88" t="s">
        <v>1098</v>
      </c>
      <c r="C49" s="88" t="str">
        <f t="shared" si="5"/>
        <v>FF002113000539</v>
      </c>
      <c r="D49" s="88" t="s">
        <v>932</v>
      </c>
      <c r="E49" s="88" t="s">
        <v>933</v>
      </c>
      <c r="F49" s="88" t="s">
        <v>862</v>
      </c>
      <c r="G49" s="88"/>
      <c r="H49" s="89">
        <v>0</v>
      </c>
      <c r="I49" s="91"/>
      <c r="J49" s="88" t="s">
        <v>865</v>
      </c>
      <c r="K49" s="88" t="str">
        <f t="shared" si="8"/>
        <v>2113</v>
      </c>
      <c r="L49" s="88" t="str">
        <f t="shared" si="6"/>
        <v>21</v>
      </c>
      <c r="M49" s="88" t="str">
        <f t="shared" si="7"/>
        <v>13</v>
      </c>
      <c r="N49" s="88"/>
      <c r="O49" s="90" t="s">
        <v>943</v>
      </c>
      <c r="P49" s="88" t="str">
        <f t="shared" si="0"/>
        <v>00</v>
      </c>
      <c r="Q49" s="88" t="str">
        <f t="shared" si="1"/>
        <v>05</v>
      </c>
      <c r="R49" s="88" t="str">
        <f t="shared" si="2"/>
        <v>39</v>
      </c>
      <c r="S49" s="88" t="str">
        <f t="shared" si="3"/>
        <v>39</v>
      </c>
      <c r="T49" s="88" t="str">
        <f t="shared" si="4"/>
        <v>FF002113000539</v>
      </c>
    </row>
    <row r="50" spans="2:20" s="2" customFormat="1">
      <c r="B50" s="88" t="s">
        <v>944</v>
      </c>
      <c r="C50" s="88" t="str">
        <f t="shared" si="5"/>
        <v>FF00211300063A</v>
      </c>
      <c r="D50" s="88" t="s">
        <v>932</v>
      </c>
      <c r="E50" s="88" t="s">
        <v>933</v>
      </c>
      <c r="F50" s="88" t="s">
        <v>862</v>
      </c>
      <c r="G50" s="88"/>
      <c r="H50" s="89">
        <v>0</v>
      </c>
      <c r="I50" s="91"/>
      <c r="J50" s="88" t="s">
        <v>865</v>
      </c>
      <c r="K50" s="88" t="str">
        <f t="shared" si="8"/>
        <v>2113</v>
      </c>
      <c r="L50" s="88" t="str">
        <f t="shared" si="6"/>
        <v>21</v>
      </c>
      <c r="M50" s="88" t="str">
        <f t="shared" si="7"/>
        <v>13</v>
      </c>
      <c r="N50" s="88"/>
      <c r="O50" s="90" t="s">
        <v>945</v>
      </c>
      <c r="P50" s="88" t="str">
        <f t="shared" si="0"/>
        <v>00</v>
      </c>
      <c r="Q50" s="88" t="str">
        <f t="shared" si="1"/>
        <v>06</v>
      </c>
      <c r="R50" s="88" t="str">
        <f t="shared" si="2"/>
        <v>3A</v>
      </c>
      <c r="S50" s="88" t="str">
        <f t="shared" si="3"/>
        <v>3A</v>
      </c>
      <c r="T50" s="88" t="str">
        <f t="shared" si="4"/>
        <v>FF00211300063A</v>
      </c>
    </row>
    <row r="51" spans="2:20" s="2" customFormat="1">
      <c r="B51" s="88" t="s">
        <v>946</v>
      </c>
      <c r="C51" s="88" t="str">
        <f t="shared" si="5"/>
        <v>FF00211300073B</v>
      </c>
      <c r="D51" s="88" t="s">
        <v>932</v>
      </c>
      <c r="E51" s="88" t="s">
        <v>933</v>
      </c>
      <c r="F51" s="88" t="s">
        <v>862</v>
      </c>
      <c r="G51" s="88"/>
      <c r="H51" s="89">
        <v>0</v>
      </c>
      <c r="I51" s="91"/>
      <c r="J51" s="88" t="s">
        <v>865</v>
      </c>
      <c r="K51" s="88" t="str">
        <f t="shared" si="8"/>
        <v>2113</v>
      </c>
      <c r="L51" s="88" t="str">
        <f t="shared" si="6"/>
        <v>21</v>
      </c>
      <c r="M51" s="88" t="str">
        <f t="shared" si="7"/>
        <v>13</v>
      </c>
      <c r="N51" s="88"/>
      <c r="O51" s="90" t="s">
        <v>947</v>
      </c>
      <c r="P51" s="88" t="str">
        <f t="shared" si="0"/>
        <v>00</v>
      </c>
      <c r="Q51" s="88" t="str">
        <f t="shared" si="1"/>
        <v>07</v>
      </c>
      <c r="R51" s="88" t="str">
        <f t="shared" si="2"/>
        <v>3B</v>
      </c>
      <c r="S51" s="88" t="str">
        <f t="shared" si="3"/>
        <v>3B</v>
      </c>
      <c r="T51" s="88" t="str">
        <f t="shared" si="4"/>
        <v>FF00211300073B</v>
      </c>
    </row>
    <row r="52" spans="2:20" s="2" customFormat="1">
      <c r="B52" s="88" t="s">
        <v>948</v>
      </c>
      <c r="C52" s="88" t="str">
        <f t="shared" si="5"/>
        <v>FF00211300083C</v>
      </c>
      <c r="D52" s="88" t="s">
        <v>932</v>
      </c>
      <c r="E52" s="88" t="s">
        <v>933</v>
      </c>
      <c r="F52" s="88" t="s">
        <v>862</v>
      </c>
      <c r="G52" s="88"/>
      <c r="H52" s="89">
        <v>0</v>
      </c>
      <c r="I52" s="91"/>
      <c r="J52" s="88" t="s">
        <v>865</v>
      </c>
      <c r="K52" s="88" t="str">
        <f t="shared" si="8"/>
        <v>2113</v>
      </c>
      <c r="L52" s="88" t="str">
        <f t="shared" si="6"/>
        <v>21</v>
      </c>
      <c r="M52" s="88" t="str">
        <f t="shared" si="7"/>
        <v>13</v>
      </c>
      <c r="N52" s="88"/>
      <c r="O52" s="90" t="s">
        <v>949</v>
      </c>
      <c r="P52" s="88" t="str">
        <f t="shared" si="0"/>
        <v>00</v>
      </c>
      <c r="Q52" s="88" t="str">
        <f t="shared" si="1"/>
        <v>08</v>
      </c>
      <c r="R52" s="88" t="str">
        <f t="shared" si="2"/>
        <v>3C</v>
      </c>
      <c r="S52" s="88" t="str">
        <f t="shared" si="3"/>
        <v>3C</v>
      </c>
      <c r="T52" s="88" t="str">
        <f t="shared" si="4"/>
        <v>FF00211300083C</v>
      </c>
    </row>
    <row r="53" spans="2:20" s="2" customFormat="1">
      <c r="B53" s="88" t="s">
        <v>950</v>
      </c>
      <c r="C53" s="88" t="str">
        <f t="shared" si="5"/>
        <v>FF00211300093D</v>
      </c>
      <c r="D53" s="88" t="s">
        <v>932</v>
      </c>
      <c r="E53" s="88" t="s">
        <v>933</v>
      </c>
      <c r="F53" s="88" t="s">
        <v>862</v>
      </c>
      <c r="G53" s="88"/>
      <c r="H53" s="89">
        <v>0</v>
      </c>
      <c r="I53" s="91"/>
      <c r="J53" s="88" t="s">
        <v>865</v>
      </c>
      <c r="K53" s="88" t="str">
        <f t="shared" si="8"/>
        <v>2113</v>
      </c>
      <c r="L53" s="88" t="str">
        <f t="shared" si="6"/>
        <v>21</v>
      </c>
      <c r="M53" s="88" t="str">
        <f t="shared" si="7"/>
        <v>13</v>
      </c>
      <c r="N53" s="88"/>
      <c r="O53" s="90" t="s">
        <v>951</v>
      </c>
      <c r="P53" s="88" t="str">
        <f t="shared" si="0"/>
        <v>00</v>
      </c>
      <c r="Q53" s="88" t="str">
        <f t="shared" si="1"/>
        <v>09</v>
      </c>
      <c r="R53" s="88" t="str">
        <f t="shared" ref="R53:R58" si="63">DEC2HEX(SUM(HEX2DEC(L53), HEX2DEC(M53), HEX2DEC(P53), HEX2DEC(Q53)))</f>
        <v>3D</v>
      </c>
      <c r="S53" s="88" t="str">
        <f t="shared" si="3"/>
        <v>3D</v>
      </c>
      <c r="T53" s="88" t="str">
        <f t="shared" si="4"/>
        <v>FF00211300093D</v>
      </c>
    </row>
    <row r="54" spans="2:20" s="2" customFormat="1">
      <c r="B54" s="88" t="s">
        <v>952</v>
      </c>
      <c r="C54" s="88" t="str">
        <f t="shared" si="5"/>
        <v>FF002113000A3E</v>
      </c>
      <c r="D54" s="88" t="s">
        <v>932</v>
      </c>
      <c r="E54" s="88" t="s">
        <v>933</v>
      </c>
      <c r="F54" s="88" t="s">
        <v>862</v>
      </c>
      <c r="G54" s="88"/>
      <c r="H54" s="89">
        <v>0</v>
      </c>
      <c r="I54" s="91"/>
      <c r="J54" s="88" t="s">
        <v>865</v>
      </c>
      <c r="K54" s="88" t="str">
        <f t="shared" si="8"/>
        <v>2113</v>
      </c>
      <c r="L54" s="88" t="str">
        <f t="shared" si="6"/>
        <v>21</v>
      </c>
      <c r="M54" s="88" t="str">
        <f t="shared" si="7"/>
        <v>13</v>
      </c>
      <c r="N54" s="88"/>
      <c r="O54" s="90" t="s">
        <v>1110</v>
      </c>
      <c r="P54" s="88" t="str">
        <f>LEFT(O54, 2)</f>
        <v>00</v>
      </c>
      <c r="Q54" s="88" t="str">
        <f>RIGHT(O54, 2)</f>
        <v>0A</v>
      </c>
      <c r="R54" s="88" t="str">
        <f t="shared" si="63"/>
        <v>3E</v>
      </c>
      <c r="S54" s="88" t="str">
        <f t="shared" si="3"/>
        <v>3E</v>
      </c>
      <c r="T54" s="88" t="str">
        <f>"FF00"&amp;K54&amp;""&amp;P54&amp;Q54&amp;S54</f>
        <v>FF002113000A3E</v>
      </c>
    </row>
    <row r="55" spans="2:20" s="2" customFormat="1">
      <c r="B55" s="88" t="s">
        <v>953</v>
      </c>
      <c r="C55" s="88" t="str">
        <f t="shared" si="5"/>
        <v>FF002117000038</v>
      </c>
      <c r="D55" s="88" t="s">
        <v>954</v>
      </c>
      <c r="E55" s="88" t="s">
        <v>889</v>
      </c>
      <c r="F55" s="88" t="s">
        <v>862</v>
      </c>
      <c r="G55" s="88"/>
      <c r="H55" s="89">
        <v>0</v>
      </c>
      <c r="I55" s="91"/>
      <c r="J55" s="88" t="s">
        <v>865</v>
      </c>
      <c r="K55" s="88" t="str">
        <f xml:space="preserve"> SUBSTITUTE(D55, "0x","")</f>
        <v>2117</v>
      </c>
      <c r="L55" s="88" t="str">
        <f>LEFT(K55,2)</f>
        <v>21</v>
      </c>
      <c r="M55" s="88" t="str">
        <f>RIGHT(K55,2)</f>
        <v>17</v>
      </c>
      <c r="N55" s="88"/>
      <c r="O55" s="90" t="s">
        <v>866</v>
      </c>
      <c r="P55" s="88" t="str">
        <f>LEFT(O55, 2)</f>
        <v>00</v>
      </c>
      <c r="Q55" s="88" t="str">
        <f>RIGHT(O55, 2)</f>
        <v>00</v>
      </c>
      <c r="R55" s="88" t="str">
        <f t="shared" si="63"/>
        <v>38</v>
      </c>
      <c r="S55" s="88" t="str">
        <f>RIGHT(R55,2)</f>
        <v>38</v>
      </c>
      <c r="T55" s="88" t="str">
        <f>"FF00"&amp;K55&amp;""&amp;P55&amp;Q55&amp;S55</f>
        <v>FF002117000038</v>
      </c>
    </row>
    <row r="56" spans="2:20" s="2" customFormat="1">
      <c r="B56" s="88" t="s">
        <v>955</v>
      </c>
      <c r="C56" s="88" t="str">
        <f t="shared" si="5"/>
        <v>FF002117000139</v>
      </c>
      <c r="D56" s="88" t="s">
        <v>954</v>
      </c>
      <c r="E56" s="88" t="s">
        <v>889</v>
      </c>
      <c r="F56" s="88" t="s">
        <v>862</v>
      </c>
      <c r="G56" s="88"/>
      <c r="H56" s="89">
        <v>0</v>
      </c>
      <c r="I56" s="91"/>
      <c r="J56" s="88" t="s">
        <v>865</v>
      </c>
      <c r="K56" s="88" t="str">
        <f xml:space="preserve"> SUBSTITUTE(D56, "0x","")</f>
        <v>2117</v>
      </c>
      <c r="L56" s="88" t="str">
        <f>LEFT(K56,2)</f>
        <v>21</v>
      </c>
      <c r="M56" s="88" t="str">
        <f>RIGHT(K56,2)</f>
        <v>17</v>
      </c>
      <c r="N56" s="88"/>
      <c r="O56" s="90" t="s">
        <v>868</v>
      </c>
      <c r="P56" s="88" t="str">
        <f>LEFT(O56, 2)</f>
        <v>00</v>
      </c>
      <c r="Q56" s="88" t="str">
        <f>RIGHT(O56, 2)</f>
        <v>01</v>
      </c>
      <c r="R56" s="88" t="str">
        <f t="shared" si="63"/>
        <v>39</v>
      </c>
      <c r="S56" s="88" t="str">
        <f>RIGHT(R56,2)</f>
        <v>39</v>
      </c>
      <c r="T56" s="88" t="str">
        <f>"FF00"&amp;K56&amp;""&amp;P56&amp;Q56&amp;S56</f>
        <v>FF002117000139</v>
      </c>
    </row>
    <row r="57" spans="2:20" s="2" customFormat="1">
      <c r="B57" s="88" t="s">
        <v>956</v>
      </c>
      <c r="C57" s="88" t="str">
        <f t="shared" si="5"/>
        <v>FF00211A00003B</v>
      </c>
      <c r="D57" s="88" t="s">
        <v>957</v>
      </c>
      <c r="E57" s="88" t="s">
        <v>889</v>
      </c>
      <c r="F57" s="88" t="s">
        <v>862</v>
      </c>
      <c r="G57" s="88"/>
      <c r="H57" s="89">
        <v>0</v>
      </c>
      <c r="I57" s="91"/>
      <c r="J57" s="88" t="s">
        <v>865</v>
      </c>
      <c r="K57" s="88" t="str">
        <f t="shared" ref="K57:K122" si="64" xml:space="preserve"> SUBSTITUTE(D57, "0x","")</f>
        <v>211A</v>
      </c>
      <c r="L57" s="88" t="str">
        <f t="shared" ref="L57:L122" si="65">LEFT(K57,2)</f>
        <v>21</v>
      </c>
      <c r="M57" s="88" t="str">
        <f t="shared" ref="M57:M122" si="66">RIGHT(K57,2)</f>
        <v>1A</v>
      </c>
      <c r="N57" s="88"/>
      <c r="O57" s="90" t="s">
        <v>866</v>
      </c>
      <c r="P57" s="88" t="str">
        <f>LEFT(O57, 2)</f>
        <v>00</v>
      </c>
      <c r="Q57" s="88" t="str">
        <f>RIGHT(O57, 2)</f>
        <v>00</v>
      </c>
      <c r="R57" s="88" t="str">
        <f t="shared" si="63"/>
        <v>3B</v>
      </c>
      <c r="S57" s="88" t="str">
        <f>RIGHT(R57,2)</f>
        <v>3B</v>
      </c>
      <c r="T57" s="88" t="str">
        <f>"FF00"&amp;K57&amp;""&amp;P57&amp;Q57&amp;S57</f>
        <v>FF00211A00003B</v>
      </c>
    </row>
    <row r="58" spans="2:20" s="2" customFormat="1">
      <c r="B58" s="88" t="s">
        <v>958</v>
      </c>
      <c r="C58" s="88" t="str">
        <f t="shared" si="5"/>
        <v>FF00211A000641</v>
      </c>
      <c r="D58" s="88" t="s">
        <v>957</v>
      </c>
      <c r="E58" s="88" t="s">
        <v>889</v>
      </c>
      <c r="F58" s="88" t="s">
        <v>862</v>
      </c>
      <c r="G58" s="88"/>
      <c r="H58" s="89">
        <v>0</v>
      </c>
      <c r="I58" s="91"/>
      <c r="J58" s="88" t="s">
        <v>865</v>
      </c>
      <c r="K58" s="88" t="str">
        <f t="shared" si="64"/>
        <v>211A</v>
      </c>
      <c r="L58" s="88" t="str">
        <f t="shared" si="65"/>
        <v>21</v>
      </c>
      <c r="M58" s="88" t="str">
        <f t="shared" si="66"/>
        <v>1A</v>
      </c>
      <c r="N58" s="88"/>
      <c r="O58" s="90" t="s">
        <v>959</v>
      </c>
      <c r="P58" s="88" t="str">
        <f>LEFT(O58, 2)</f>
        <v>00</v>
      </c>
      <c r="Q58" s="88" t="str">
        <f>RIGHT(O58, 2)</f>
        <v>06</v>
      </c>
      <c r="R58" s="88" t="str">
        <f t="shared" si="63"/>
        <v>41</v>
      </c>
      <c r="S58" s="88" t="str">
        <f>RIGHT(R58,2)</f>
        <v>41</v>
      </c>
      <c r="T58" s="88" t="str">
        <f>"FF00"&amp;K58&amp;""&amp;P58&amp;Q58&amp;S58</f>
        <v>FF00211A000641</v>
      </c>
    </row>
    <row r="59" spans="2:20" s="2" customFormat="1">
      <c r="B59" s="88" t="s">
        <v>960</v>
      </c>
      <c r="C59" s="88" t="str">
        <f t="shared" si="5"/>
        <v>FF00211B00003C</v>
      </c>
      <c r="D59" s="88" t="s">
        <v>961</v>
      </c>
      <c r="E59" s="88" t="s">
        <v>889</v>
      </c>
      <c r="F59" s="88" t="s">
        <v>862</v>
      </c>
      <c r="G59" s="88"/>
      <c r="H59" s="89">
        <v>5</v>
      </c>
      <c r="I59" s="91"/>
      <c r="J59" s="88" t="s">
        <v>865</v>
      </c>
      <c r="K59" s="88" t="str">
        <f t="shared" si="64"/>
        <v>211B</v>
      </c>
      <c r="L59" s="88" t="str">
        <f t="shared" si="65"/>
        <v>21</v>
      </c>
      <c r="M59" s="88" t="str">
        <f t="shared" si="66"/>
        <v>1B</v>
      </c>
      <c r="N59" s="88"/>
      <c r="O59" s="90" t="s">
        <v>866</v>
      </c>
      <c r="P59" s="88" t="str">
        <f t="shared" ref="P59:P124" si="67">LEFT(O59, 2)</f>
        <v>00</v>
      </c>
      <c r="Q59" s="88" t="str">
        <f t="shared" ref="Q59:Q124" si="68">RIGHT(O59, 2)</f>
        <v>00</v>
      </c>
      <c r="R59" s="88" t="str">
        <f t="shared" ref="R59:R124" si="69">DEC2HEX(SUM(HEX2DEC(L59), HEX2DEC(M59), HEX2DEC(P59), HEX2DEC(Q59)))</f>
        <v>3C</v>
      </c>
      <c r="S59" s="88" t="str">
        <f t="shared" ref="S59:S124" si="70">RIGHT(R59,2)</f>
        <v>3C</v>
      </c>
      <c r="T59" s="88" t="str">
        <f t="shared" ref="T59:T124" si="71">"FF00"&amp;K59&amp;""&amp;P59&amp;Q59&amp;S59</f>
        <v>FF00211B00003C</v>
      </c>
    </row>
    <row r="60" spans="2:20" s="2" customFormat="1">
      <c r="B60" s="88" t="s">
        <v>962</v>
      </c>
      <c r="C60" s="88" t="str">
        <f t="shared" si="5"/>
        <v>FF00211B000541</v>
      </c>
      <c r="D60" s="88" t="s">
        <v>961</v>
      </c>
      <c r="E60" s="88" t="s">
        <v>889</v>
      </c>
      <c r="F60" s="88" t="s">
        <v>862</v>
      </c>
      <c r="G60" s="88"/>
      <c r="H60" s="89">
        <v>5</v>
      </c>
      <c r="I60" s="91"/>
      <c r="J60" s="88" t="s">
        <v>865</v>
      </c>
      <c r="K60" s="88" t="str">
        <f t="shared" si="64"/>
        <v>211B</v>
      </c>
      <c r="L60" s="88" t="str">
        <f t="shared" si="65"/>
        <v>21</v>
      </c>
      <c r="M60" s="88" t="str">
        <f t="shared" si="66"/>
        <v>1B</v>
      </c>
      <c r="N60" s="88"/>
      <c r="O60" s="90" t="s">
        <v>913</v>
      </c>
      <c r="P60" s="88" t="str">
        <f t="shared" si="67"/>
        <v>00</v>
      </c>
      <c r="Q60" s="88" t="str">
        <f t="shared" si="68"/>
        <v>05</v>
      </c>
      <c r="R60" s="88" t="str">
        <f t="shared" si="69"/>
        <v>41</v>
      </c>
      <c r="S60" s="88" t="str">
        <f t="shared" si="70"/>
        <v>41</v>
      </c>
      <c r="T60" s="88" t="str">
        <f t="shared" si="71"/>
        <v>FF00211B000541</v>
      </c>
    </row>
    <row r="61" spans="2:20" s="2" customFormat="1">
      <c r="B61" s="88" t="s">
        <v>963</v>
      </c>
      <c r="C61" s="88" t="str">
        <f t="shared" si="5"/>
        <v>FF002120000142</v>
      </c>
      <c r="D61" s="88" t="s">
        <v>964</v>
      </c>
      <c r="E61" s="88" t="s">
        <v>889</v>
      </c>
      <c r="F61" s="88" t="s">
        <v>862</v>
      </c>
      <c r="G61" s="88"/>
      <c r="H61" s="89">
        <v>1</v>
      </c>
      <c r="I61" s="91"/>
      <c r="J61" s="88" t="s">
        <v>865</v>
      </c>
      <c r="K61" s="88" t="str">
        <f t="shared" si="64"/>
        <v>2120</v>
      </c>
      <c r="L61" s="88" t="str">
        <f t="shared" si="65"/>
        <v>21</v>
      </c>
      <c r="M61" s="88" t="str">
        <f t="shared" si="66"/>
        <v>20</v>
      </c>
      <c r="N61" s="88"/>
      <c r="O61" s="90" t="s">
        <v>868</v>
      </c>
      <c r="P61" s="88" t="str">
        <f t="shared" si="67"/>
        <v>00</v>
      </c>
      <c r="Q61" s="88" t="str">
        <f t="shared" si="68"/>
        <v>01</v>
      </c>
      <c r="R61" s="88" t="str">
        <f t="shared" si="69"/>
        <v>42</v>
      </c>
      <c r="S61" s="88" t="str">
        <f t="shared" si="70"/>
        <v>42</v>
      </c>
      <c r="T61" s="88" t="str">
        <f t="shared" si="71"/>
        <v>FF002120000142</v>
      </c>
    </row>
    <row r="62" spans="2:20" s="2" customFormat="1">
      <c r="B62" s="88" t="s">
        <v>965</v>
      </c>
      <c r="C62" s="88" t="str">
        <f t="shared" si="5"/>
        <v>FF002120000243</v>
      </c>
      <c r="D62" s="88" t="s">
        <v>964</v>
      </c>
      <c r="E62" s="88" t="s">
        <v>889</v>
      </c>
      <c r="F62" s="88" t="s">
        <v>862</v>
      </c>
      <c r="G62" s="88"/>
      <c r="H62" s="89">
        <v>1</v>
      </c>
      <c r="I62" s="91"/>
      <c r="J62" s="88" t="s">
        <v>865</v>
      </c>
      <c r="K62" s="88" t="str">
        <f t="shared" si="64"/>
        <v>2120</v>
      </c>
      <c r="L62" s="88" t="str">
        <f t="shared" si="65"/>
        <v>21</v>
      </c>
      <c r="M62" s="88" t="str">
        <f t="shared" si="66"/>
        <v>20</v>
      </c>
      <c r="N62" s="88"/>
      <c r="O62" s="90" t="s">
        <v>893</v>
      </c>
      <c r="P62" s="88" t="str">
        <f t="shared" si="67"/>
        <v>00</v>
      </c>
      <c r="Q62" s="88" t="str">
        <f t="shared" si="68"/>
        <v>02</v>
      </c>
      <c r="R62" s="88" t="str">
        <f t="shared" si="69"/>
        <v>43</v>
      </c>
      <c r="S62" s="88" t="str">
        <f t="shared" si="70"/>
        <v>43</v>
      </c>
      <c r="T62" s="88" t="str">
        <f t="shared" si="71"/>
        <v>FF002120000243</v>
      </c>
    </row>
    <row r="63" spans="2:20" s="2" customFormat="1">
      <c r="B63" s="88" t="s">
        <v>966</v>
      </c>
      <c r="C63" s="88" t="str">
        <f t="shared" si="5"/>
        <v>FF002120000344</v>
      </c>
      <c r="D63" s="88" t="s">
        <v>964</v>
      </c>
      <c r="E63" s="88" t="s">
        <v>889</v>
      </c>
      <c r="F63" s="88" t="s">
        <v>862</v>
      </c>
      <c r="G63" s="88"/>
      <c r="H63" s="89">
        <v>1</v>
      </c>
      <c r="I63" s="91"/>
      <c r="J63" s="88" t="s">
        <v>865</v>
      </c>
      <c r="K63" s="88" t="str">
        <f t="shared" si="64"/>
        <v>2120</v>
      </c>
      <c r="L63" s="88" t="str">
        <f t="shared" si="65"/>
        <v>21</v>
      </c>
      <c r="M63" s="88" t="str">
        <f t="shared" si="66"/>
        <v>20</v>
      </c>
      <c r="N63" s="88"/>
      <c r="O63" s="90" t="s">
        <v>909</v>
      </c>
      <c r="P63" s="88" t="str">
        <f t="shared" si="67"/>
        <v>00</v>
      </c>
      <c r="Q63" s="88" t="str">
        <f t="shared" si="68"/>
        <v>03</v>
      </c>
      <c r="R63" s="88" t="str">
        <f t="shared" si="69"/>
        <v>44</v>
      </c>
      <c r="S63" s="88" t="str">
        <f t="shared" si="70"/>
        <v>44</v>
      </c>
      <c r="T63" s="88" t="str">
        <f t="shared" si="71"/>
        <v>FF002120000344</v>
      </c>
    </row>
    <row r="64" spans="2:20" s="2" customFormat="1">
      <c r="B64" s="88" t="s">
        <v>1100</v>
      </c>
      <c r="C64" s="88" t="str">
        <f t="shared" si="5"/>
        <v>FF002120000445</v>
      </c>
      <c r="D64" s="88" t="s">
        <v>964</v>
      </c>
      <c r="E64" s="88" t="s">
        <v>889</v>
      </c>
      <c r="F64" s="88" t="s">
        <v>862</v>
      </c>
      <c r="G64" s="88"/>
      <c r="H64" s="89">
        <v>1</v>
      </c>
      <c r="I64" s="91"/>
      <c r="J64" s="88" t="s">
        <v>865</v>
      </c>
      <c r="K64" s="88" t="str">
        <f t="shared" si="64"/>
        <v>2120</v>
      </c>
      <c r="L64" s="88" t="str">
        <f t="shared" si="65"/>
        <v>21</v>
      </c>
      <c r="M64" s="88" t="str">
        <f t="shared" si="66"/>
        <v>20</v>
      </c>
      <c r="N64" s="88"/>
      <c r="O64" s="90" t="s">
        <v>967</v>
      </c>
      <c r="P64" s="88" t="str">
        <f t="shared" si="67"/>
        <v>00</v>
      </c>
      <c r="Q64" s="88" t="str">
        <f t="shared" si="68"/>
        <v>04</v>
      </c>
      <c r="R64" s="88" t="str">
        <f t="shared" si="69"/>
        <v>45</v>
      </c>
      <c r="S64" s="88" t="str">
        <f t="shared" si="70"/>
        <v>45</v>
      </c>
      <c r="T64" s="88" t="str">
        <f t="shared" si="71"/>
        <v>FF002120000445</v>
      </c>
    </row>
    <row r="65" spans="2:20" s="2" customFormat="1">
      <c r="B65" s="88" t="s">
        <v>968</v>
      </c>
      <c r="C65" s="88" t="str">
        <f t="shared" si="5"/>
        <v>FF00216C00008D</v>
      </c>
      <c r="D65" s="88" t="s">
        <v>969</v>
      </c>
      <c r="E65" s="88" t="s">
        <v>889</v>
      </c>
      <c r="F65" s="88" t="s">
        <v>862</v>
      </c>
      <c r="G65" s="88"/>
      <c r="H65" s="89">
        <v>0</v>
      </c>
      <c r="I65" s="91"/>
      <c r="J65" s="88" t="s">
        <v>865</v>
      </c>
      <c r="K65" s="88" t="str">
        <f t="shared" si="64"/>
        <v>216C</v>
      </c>
      <c r="L65" s="88" t="str">
        <f t="shared" si="65"/>
        <v>21</v>
      </c>
      <c r="M65" s="88" t="str">
        <f t="shared" si="66"/>
        <v>6C</v>
      </c>
      <c r="N65" s="88"/>
      <c r="O65" s="90" t="s">
        <v>866</v>
      </c>
      <c r="P65" s="88" t="str">
        <f t="shared" si="67"/>
        <v>00</v>
      </c>
      <c r="Q65" s="88" t="str">
        <f t="shared" si="68"/>
        <v>00</v>
      </c>
      <c r="R65" s="88" t="str">
        <f t="shared" si="69"/>
        <v>8D</v>
      </c>
      <c r="S65" s="88" t="str">
        <f t="shared" si="70"/>
        <v>8D</v>
      </c>
      <c r="T65" s="88" t="str">
        <f t="shared" si="71"/>
        <v>FF00216C00008D</v>
      </c>
    </row>
    <row r="66" spans="2:20" s="2" customFormat="1">
      <c r="B66" s="88" t="s">
        <v>970</v>
      </c>
      <c r="C66" s="88" t="str">
        <f t="shared" si="5"/>
        <v>FF00216C00018E</v>
      </c>
      <c r="D66" s="88" t="s">
        <v>969</v>
      </c>
      <c r="E66" s="88" t="s">
        <v>889</v>
      </c>
      <c r="F66" s="88" t="s">
        <v>862</v>
      </c>
      <c r="G66" s="88"/>
      <c r="H66" s="89">
        <v>0</v>
      </c>
      <c r="I66" s="91"/>
      <c r="J66" s="88" t="s">
        <v>865</v>
      </c>
      <c r="K66" s="88" t="str">
        <f t="shared" si="64"/>
        <v>216C</v>
      </c>
      <c r="L66" s="88" t="str">
        <f t="shared" si="65"/>
        <v>21</v>
      </c>
      <c r="M66" s="88" t="str">
        <f t="shared" si="66"/>
        <v>6C</v>
      </c>
      <c r="N66" s="88"/>
      <c r="O66" s="90" t="s">
        <v>868</v>
      </c>
      <c r="P66" s="88" t="str">
        <f t="shared" si="67"/>
        <v>00</v>
      </c>
      <c r="Q66" s="88" t="str">
        <f t="shared" si="68"/>
        <v>01</v>
      </c>
      <c r="R66" s="88" t="str">
        <f t="shared" si="69"/>
        <v>8E</v>
      </c>
      <c r="S66" s="88" t="str">
        <f t="shared" si="70"/>
        <v>8E</v>
      </c>
      <c r="T66" s="88" t="str">
        <f t="shared" si="71"/>
        <v>FF00216C00018E</v>
      </c>
    </row>
    <row r="67" spans="2:20" s="2" customFormat="1">
      <c r="B67" s="88" t="s">
        <v>971</v>
      </c>
      <c r="C67" s="88" t="str">
        <f t="shared" si="5"/>
        <v>FF002172000396</v>
      </c>
      <c r="D67" s="88" t="s">
        <v>972</v>
      </c>
      <c r="E67" s="88" t="s">
        <v>889</v>
      </c>
      <c r="F67" s="88" t="s">
        <v>862</v>
      </c>
      <c r="G67" s="88" t="s">
        <v>973</v>
      </c>
      <c r="H67" s="89">
        <v>30</v>
      </c>
      <c r="I67" s="91"/>
      <c r="J67" s="88" t="s">
        <v>865</v>
      </c>
      <c r="K67" s="88" t="str">
        <f t="shared" si="64"/>
        <v>2172</v>
      </c>
      <c r="L67" s="88" t="str">
        <f t="shared" si="65"/>
        <v>21</v>
      </c>
      <c r="M67" s="88" t="str">
        <f t="shared" si="66"/>
        <v>72</v>
      </c>
      <c r="N67" s="88"/>
      <c r="O67" s="90" t="s">
        <v>909</v>
      </c>
      <c r="P67" s="88" t="str">
        <f t="shared" si="67"/>
        <v>00</v>
      </c>
      <c r="Q67" s="88" t="str">
        <f t="shared" si="68"/>
        <v>03</v>
      </c>
      <c r="R67" s="88" t="str">
        <f t="shared" si="69"/>
        <v>96</v>
      </c>
      <c r="S67" s="88" t="str">
        <f t="shared" si="70"/>
        <v>96</v>
      </c>
      <c r="T67" s="88" t="str">
        <f t="shared" si="71"/>
        <v>FF002172000396</v>
      </c>
    </row>
    <row r="68" spans="2:20" s="2" customFormat="1">
      <c r="B68" s="88" t="s">
        <v>974</v>
      </c>
      <c r="C68" s="88" t="str">
        <f t="shared" si="5"/>
        <v>FF002175000399</v>
      </c>
      <c r="D68" s="88" t="s">
        <v>975</v>
      </c>
      <c r="E68" s="88" t="s">
        <v>889</v>
      </c>
      <c r="F68" s="88" t="s">
        <v>862</v>
      </c>
      <c r="G68" s="88" t="s">
        <v>973</v>
      </c>
      <c r="H68" s="89">
        <v>20</v>
      </c>
      <c r="I68" s="91"/>
      <c r="J68" s="88" t="s">
        <v>865</v>
      </c>
      <c r="K68" s="88" t="str">
        <f t="shared" si="64"/>
        <v>2175</v>
      </c>
      <c r="L68" s="88" t="str">
        <f t="shared" si="65"/>
        <v>21</v>
      </c>
      <c r="M68" s="88" t="str">
        <f t="shared" si="66"/>
        <v>75</v>
      </c>
      <c r="N68" s="88"/>
      <c r="O68" s="90" t="s">
        <v>909</v>
      </c>
      <c r="P68" s="88" t="str">
        <f t="shared" si="67"/>
        <v>00</v>
      </c>
      <c r="Q68" s="88" t="str">
        <f t="shared" si="68"/>
        <v>03</v>
      </c>
      <c r="R68" s="88" t="str">
        <f t="shared" si="69"/>
        <v>99</v>
      </c>
      <c r="S68" s="88" t="str">
        <f t="shared" si="70"/>
        <v>99</v>
      </c>
      <c r="T68" s="88" t="str">
        <f t="shared" si="71"/>
        <v>FF002175000399</v>
      </c>
    </row>
    <row r="69" spans="2:20" s="2" customFormat="1">
      <c r="B69" s="88" t="s">
        <v>976</v>
      </c>
      <c r="C69" s="88" t="str">
        <f t="shared" si="5"/>
        <v>FF0021800003A4</v>
      </c>
      <c r="D69" s="88" t="s">
        <v>977</v>
      </c>
      <c r="E69" s="88" t="s">
        <v>889</v>
      </c>
      <c r="F69" s="88" t="s">
        <v>862</v>
      </c>
      <c r="G69" s="88" t="s">
        <v>973</v>
      </c>
      <c r="H69" s="89">
        <v>0</v>
      </c>
      <c r="I69" s="91"/>
      <c r="J69" s="88" t="s">
        <v>865</v>
      </c>
      <c r="K69" s="88" t="str">
        <f t="shared" si="64"/>
        <v>2180</v>
      </c>
      <c r="L69" s="88" t="str">
        <f t="shared" si="65"/>
        <v>21</v>
      </c>
      <c r="M69" s="88" t="str">
        <f t="shared" si="66"/>
        <v>80</v>
      </c>
      <c r="N69" s="88"/>
      <c r="O69" s="90" t="s">
        <v>909</v>
      </c>
      <c r="P69" s="88" t="str">
        <f t="shared" si="67"/>
        <v>00</v>
      </c>
      <c r="Q69" s="88" t="str">
        <f t="shared" si="68"/>
        <v>03</v>
      </c>
      <c r="R69" s="88" t="str">
        <f t="shared" si="69"/>
        <v>A4</v>
      </c>
      <c r="S69" s="88" t="str">
        <f t="shared" si="70"/>
        <v>A4</v>
      </c>
      <c r="T69" s="88" t="str">
        <f t="shared" si="71"/>
        <v>FF0021800003A4</v>
      </c>
    </row>
    <row r="70" spans="2:20" s="2" customFormat="1">
      <c r="B70" s="88" t="s">
        <v>978</v>
      </c>
      <c r="C70" s="88" t="str">
        <f t="shared" si="5"/>
        <v>FF0021810003A5</v>
      </c>
      <c r="D70" s="88" t="s">
        <v>979</v>
      </c>
      <c r="E70" s="88" t="s">
        <v>889</v>
      </c>
      <c r="F70" s="88" t="s">
        <v>862</v>
      </c>
      <c r="G70" s="88" t="s">
        <v>973</v>
      </c>
      <c r="H70" s="89" t="s">
        <v>980</v>
      </c>
      <c r="I70" s="91"/>
      <c r="J70" s="88" t="s">
        <v>865</v>
      </c>
      <c r="K70" s="88" t="str">
        <f t="shared" si="64"/>
        <v>2181</v>
      </c>
      <c r="L70" s="88" t="str">
        <f t="shared" si="65"/>
        <v>21</v>
      </c>
      <c r="M70" s="88" t="str">
        <f t="shared" si="66"/>
        <v>81</v>
      </c>
      <c r="N70" s="88"/>
      <c r="O70" s="90" t="s">
        <v>909</v>
      </c>
      <c r="P70" s="88" t="str">
        <f t="shared" si="67"/>
        <v>00</v>
      </c>
      <c r="Q70" s="88" t="str">
        <f t="shared" si="68"/>
        <v>03</v>
      </c>
      <c r="R70" s="88" t="str">
        <f t="shared" si="69"/>
        <v>A5</v>
      </c>
      <c r="S70" s="88" t="str">
        <f t="shared" si="70"/>
        <v>A5</v>
      </c>
      <c r="T70" s="88" t="str">
        <f t="shared" si="71"/>
        <v>FF0021810003A5</v>
      </c>
    </row>
    <row r="71" spans="2:20" s="2" customFormat="1">
      <c r="B71" s="88" t="s">
        <v>981</v>
      </c>
      <c r="C71" s="88" t="str">
        <f t="shared" si="5"/>
        <v>FF0021820003A6</v>
      </c>
      <c r="D71" s="88" t="s">
        <v>982</v>
      </c>
      <c r="E71" s="88" t="s">
        <v>889</v>
      </c>
      <c r="F71" s="88" t="s">
        <v>862</v>
      </c>
      <c r="G71" s="88" t="s">
        <v>973</v>
      </c>
      <c r="H71" s="89" t="s">
        <v>980</v>
      </c>
      <c r="I71" s="91"/>
      <c r="J71" s="88" t="s">
        <v>865</v>
      </c>
      <c r="K71" s="88" t="str">
        <f t="shared" si="64"/>
        <v>2182</v>
      </c>
      <c r="L71" s="88" t="str">
        <f t="shared" si="65"/>
        <v>21</v>
      </c>
      <c r="M71" s="88" t="str">
        <f t="shared" si="66"/>
        <v>82</v>
      </c>
      <c r="N71" s="88"/>
      <c r="O71" s="90" t="s">
        <v>909</v>
      </c>
      <c r="P71" s="88" t="str">
        <f t="shared" si="67"/>
        <v>00</v>
      </c>
      <c r="Q71" s="88" t="str">
        <f t="shared" si="68"/>
        <v>03</v>
      </c>
      <c r="R71" s="88" t="str">
        <f t="shared" si="69"/>
        <v>A6</v>
      </c>
      <c r="S71" s="88" t="str">
        <f t="shared" si="70"/>
        <v>A6</v>
      </c>
      <c r="T71" s="88" t="str">
        <f t="shared" si="71"/>
        <v>FF0021820003A6</v>
      </c>
    </row>
    <row r="72" spans="2:20" s="2" customFormat="1">
      <c r="B72" s="88" t="s">
        <v>983</v>
      </c>
      <c r="C72" s="88" t="str">
        <f t="shared" si="5"/>
        <v>FF0021830003A7</v>
      </c>
      <c r="D72" s="88" t="s">
        <v>984</v>
      </c>
      <c r="E72" s="88" t="s">
        <v>889</v>
      </c>
      <c r="F72" s="88" t="s">
        <v>862</v>
      </c>
      <c r="G72" s="88" t="s">
        <v>973</v>
      </c>
      <c r="H72" s="89">
        <v>0</v>
      </c>
      <c r="I72" s="91"/>
      <c r="J72" s="88" t="s">
        <v>865</v>
      </c>
      <c r="K72" s="88" t="str">
        <f t="shared" si="64"/>
        <v>2183</v>
      </c>
      <c r="L72" s="88" t="str">
        <f t="shared" si="65"/>
        <v>21</v>
      </c>
      <c r="M72" s="88" t="str">
        <f t="shared" si="66"/>
        <v>83</v>
      </c>
      <c r="N72" s="88"/>
      <c r="O72" s="90" t="s">
        <v>909</v>
      </c>
      <c r="P72" s="88" t="str">
        <f t="shared" si="67"/>
        <v>00</v>
      </c>
      <c r="Q72" s="88" t="str">
        <f t="shared" si="68"/>
        <v>03</v>
      </c>
      <c r="R72" s="88" t="str">
        <f t="shared" si="69"/>
        <v>A7</v>
      </c>
      <c r="S72" s="88" t="str">
        <f t="shared" si="70"/>
        <v>A7</v>
      </c>
      <c r="T72" s="88" t="str">
        <f t="shared" si="71"/>
        <v>FF0021830003A7</v>
      </c>
    </row>
    <row r="73" spans="2:20" s="2" customFormat="1">
      <c r="B73" s="88" t="s">
        <v>985</v>
      </c>
      <c r="C73" s="88" t="str">
        <f t="shared" si="5"/>
        <v>FF002200000022</v>
      </c>
      <c r="D73" s="88" t="s">
        <v>986</v>
      </c>
      <c r="E73" s="88" t="s">
        <v>889</v>
      </c>
      <c r="F73" s="88" t="s">
        <v>862</v>
      </c>
      <c r="G73" s="88" t="s">
        <v>973</v>
      </c>
      <c r="H73" s="89">
        <v>0</v>
      </c>
      <c r="I73" s="88" t="s">
        <v>876</v>
      </c>
      <c r="J73" s="88" t="s">
        <v>865</v>
      </c>
      <c r="K73" s="88" t="str">
        <f t="shared" si="64"/>
        <v>2200</v>
      </c>
      <c r="L73" s="88" t="str">
        <f t="shared" si="65"/>
        <v>22</v>
      </c>
      <c r="M73" s="88" t="str">
        <f t="shared" si="66"/>
        <v>00</v>
      </c>
      <c r="N73" s="88"/>
      <c r="O73" s="90" t="s">
        <v>866</v>
      </c>
      <c r="P73" s="88" t="str">
        <f t="shared" si="67"/>
        <v>00</v>
      </c>
      <c r="Q73" s="88" t="str">
        <f t="shared" si="68"/>
        <v>00</v>
      </c>
      <c r="R73" s="88" t="str">
        <f t="shared" si="69"/>
        <v>22</v>
      </c>
      <c r="S73" s="88" t="str">
        <f t="shared" si="70"/>
        <v>22</v>
      </c>
      <c r="T73" s="88" t="str">
        <f t="shared" si="71"/>
        <v>FF002200000022</v>
      </c>
    </row>
    <row r="74" spans="2:20" s="2" customFormat="1">
      <c r="B74" s="88" t="s">
        <v>30</v>
      </c>
      <c r="C74" s="88" t="str">
        <f t="shared" si="5"/>
        <v>FF002200000123</v>
      </c>
      <c r="D74" s="88" t="s">
        <v>986</v>
      </c>
      <c r="E74" s="88" t="s">
        <v>889</v>
      </c>
      <c r="F74" s="88" t="s">
        <v>862</v>
      </c>
      <c r="G74" s="88" t="s">
        <v>973</v>
      </c>
      <c r="H74" s="89">
        <v>0</v>
      </c>
      <c r="I74" s="88" t="s">
        <v>876</v>
      </c>
      <c r="J74" s="88" t="s">
        <v>865</v>
      </c>
      <c r="K74" s="88" t="str">
        <f t="shared" si="64"/>
        <v>2200</v>
      </c>
      <c r="L74" s="88" t="str">
        <f t="shared" si="65"/>
        <v>22</v>
      </c>
      <c r="M74" s="88" t="str">
        <f t="shared" si="66"/>
        <v>00</v>
      </c>
      <c r="N74" s="88"/>
      <c r="O74" s="90" t="s">
        <v>868</v>
      </c>
      <c r="P74" s="88" t="str">
        <f t="shared" si="67"/>
        <v>00</v>
      </c>
      <c r="Q74" s="88" t="str">
        <f t="shared" si="68"/>
        <v>01</v>
      </c>
      <c r="R74" s="88" t="str">
        <f t="shared" si="69"/>
        <v>23</v>
      </c>
      <c r="S74" s="88" t="str">
        <f t="shared" si="70"/>
        <v>23</v>
      </c>
      <c r="T74" s="88" t="str">
        <f t="shared" si="71"/>
        <v>FF002200000123</v>
      </c>
    </row>
    <row r="75" spans="2:20" s="2" customFormat="1">
      <c r="B75" s="88" t="s">
        <v>31</v>
      </c>
      <c r="C75" s="88" t="str">
        <f t="shared" ref="C75:C140" si="72">T75</f>
        <v>FF002200000224</v>
      </c>
      <c r="D75" s="88" t="s">
        <v>986</v>
      </c>
      <c r="E75" s="88" t="s">
        <v>889</v>
      </c>
      <c r="F75" s="88" t="s">
        <v>862</v>
      </c>
      <c r="G75" s="88" t="s">
        <v>973</v>
      </c>
      <c r="H75" s="89">
        <v>0</v>
      </c>
      <c r="I75" s="88" t="s">
        <v>876</v>
      </c>
      <c r="J75" s="88" t="s">
        <v>865</v>
      </c>
      <c r="K75" s="88" t="str">
        <f t="shared" si="64"/>
        <v>2200</v>
      </c>
      <c r="L75" s="88" t="str">
        <f t="shared" si="65"/>
        <v>22</v>
      </c>
      <c r="M75" s="88" t="str">
        <f t="shared" si="66"/>
        <v>00</v>
      </c>
      <c r="N75" s="88"/>
      <c r="O75" s="90" t="s">
        <v>893</v>
      </c>
      <c r="P75" s="88" t="str">
        <f t="shared" si="67"/>
        <v>00</v>
      </c>
      <c r="Q75" s="88" t="str">
        <f t="shared" si="68"/>
        <v>02</v>
      </c>
      <c r="R75" s="88" t="str">
        <f t="shared" si="69"/>
        <v>24</v>
      </c>
      <c r="S75" s="88" t="str">
        <f t="shared" si="70"/>
        <v>24</v>
      </c>
      <c r="T75" s="88" t="str">
        <f t="shared" si="71"/>
        <v>FF002200000224</v>
      </c>
    </row>
    <row r="76" spans="2:20" s="2" customFormat="1">
      <c r="B76" s="88" t="s">
        <v>987</v>
      </c>
      <c r="C76" s="88" t="str">
        <f t="shared" si="72"/>
        <v>FF002201000023</v>
      </c>
      <c r="D76" s="88" t="s">
        <v>988</v>
      </c>
      <c r="E76" s="88" t="s">
        <v>889</v>
      </c>
      <c r="F76" s="88" t="s">
        <v>862</v>
      </c>
      <c r="G76" s="88" t="s">
        <v>973</v>
      </c>
      <c r="H76" s="89">
        <v>0</v>
      </c>
      <c r="I76" s="88" t="s">
        <v>876</v>
      </c>
      <c r="J76" s="88" t="s">
        <v>865</v>
      </c>
      <c r="K76" s="88" t="str">
        <f t="shared" si="64"/>
        <v>2201</v>
      </c>
      <c r="L76" s="88" t="str">
        <f t="shared" si="65"/>
        <v>22</v>
      </c>
      <c r="M76" s="88" t="str">
        <f t="shared" si="66"/>
        <v>01</v>
      </c>
      <c r="N76" s="88"/>
      <c r="O76" s="90" t="s">
        <v>866</v>
      </c>
      <c r="P76" s="88" t="str">
        <f t="shared" si="67"/>
        <v>00</v>
      </c>
      <c r="Q76" s="88" t="str">
        <f t="shared" si="68"/>
        <v>00</v>
      </c>
      <c r="R76" s="88" t="str">
        <f t="shared" si="69"/>
        <v>23</v>
      </c>
      <c r="S76" s="88" t="str">
        <f t="shared" si="70"/>
        <v>23</v>
      </c>
      <c r="T76" s="88" t="str">
        <f t="shared" si="71"/>
        <v>FF002201000023</v>
      </c>
    </row>
    <row r="77" spans="2:20" s="2" customFormat="1">
      <c r="B77" s="88" t="s">
        <v>989</v>
      </c>
      <c r="C77" s="88" t="str">
        <f t="shared" si="72"/>
        <v>FF002201000124</v>
      </c>
      <c r="D77" s="88" t="s">
        <v>988</v>
      </c>
      <c r="E77" s="88" t="s">
        <v>889</v>
      </c>
      <c r="F77" s="88" t="s">
        <v>862</v>
      </c>
      <c r="G77" s="88" t="s">
        <v>973</v>
      </c>
      <c r="H77" s="89">
        <v>0</v>
      </c>
      <c r="I77" s="88" t="s">
        <v>876</v>
      </c>
      <c r="J77" s="88" t="s">
        <v>865</v>
      </c>
      <c r="K77" s="88" t="str">
        <f t="shared" si="64"/>
        <v>2201</v>
      </c>
      <c r="L77" s="88" t="str">
        <f t="shared" si="65"/>
        <v>22</v>
      </c>
      <c r="M77" s="88" t="str">
        <f t="shared" si="66"/>
        <v>01</v>
      </c>
      <c r="N77" s="88"/>
      <c r="O77" s="90" t="s">
        <v>868</v>
      </c>
      <c r="P77" s="88" t="str">
        <f t="shared" si="67"/>
        <v>00</v>
      </c>
      <c r="Q77" s="88" t="str">
        <f t="shared" si="68"/>
        <v>01</v>
      </c>
      <c r="R77" s="88" t="str">
        <f t="shared" si="69"/>
        <v>24</v>
      </c>
      <c r="S77" s="88" t="str">
        <f t="shared" si="70"/>
        <v>24</v>
      </c>
      <c r="T77" s="88" t="str">
        <f t="shared" si="71"/>
        <v>FF002201000124</v>
      </c>
    </row>
    <row r="78" spans="2:20" s="2" customFormat="1">
      <c r="B78" s="88" t="s">
        <v>990</v>
      </c>
      <c r="C78" s="88" t="str">
        <f t="shared" si="72"/>
        <v>FF002201000225</v>
      </c>
      <c r="D78" s="88" t="s">
        <v>988</v>
      </c>
      <c r="E78" s="88" t="s">
        <v>889</v>
      </c>
      <c r="F78" s="88" t="s">
        <v>862</v>
      </c>
      <c r="G78" s="88" t="s">
        <v>973</v>
      </c>
      <c r="H78" s="89">
        <v>0</v>
      </c>
      <c r="I78" s="88" t="s">
        <v>876</v>
      </c>
      <c r="J78" s="88" t="s">
        <v>865</v>
      </c>
      <c r="K78" s="88" t="str">
        <f t="shared" si="64"/>
        <v>2201</v>
      </c>
      <c r="L78" s="88" t="str">
        <f t="shared" si="65"/>
        <v>22</v>
      </c>
      <c r="M78" s="88" t="str">
        <f t="shared" si="66"/>
        <v>01</v>
      </c>
      <c r="N78" s="88"/>
      <c r="O78" s="90" t="s">
        <v>893</v>
      </c>
      <c r="P78" s="88" t="str">
        <f t="shared" si="67"/>
        <v>00</v>
      </c>
      <c r="Q78" s="88" t="str">
        <f t="shared" si="68"/>
        <v>02</v>
      </c>
      <c r="R78" s="88" t="str">
        <f t="shared" si="69"/>
        <v>25</v>
      </c>
      <c r="S78" s="88" t="str">
        <f t="shared" si="70"/>
        <v>25</v>
      </c>
      <c r="T78" s="88" t="str">
        <f t="shared" si="71"/>
        <v>FF002201000225</v>
      </c>
    </row>
    <row r="79" spans="2:20" s="2" customFormat="1">
      <c r="B79" s="88" t="s">
        <v>991</v>
      </c>
      <c r="C79" s="88" t="str">
        <f t="shared" si="72"/>
        <v>FF002201000326</v>
      </c>
      <c r="D79" s="88" t="s">
        <v>988</v>
      </c>
      <c r="E79" s="88" t="s">
        <v>889</v>
      </c>
      <c r="F79" s="88" t="s">
        <v>862</v>
      </c>
      <c r="G79" s="88" t="s">
        <v>973</v>
      </c>
      <c r="H79" s="89">
        <v>0</v>
      </c>
      <c r="I79" s="88" t="s">
        <v>876</v>
      </c>
      <c r="J79" s="88" t="s">
        <v>865</v>
      </c>
      <c r="K79" s="88" t="str">
        <f t="shared" si="64"/>
        <v>2201</v>
      </c>
      <c r="L79" s="88" t="str">
        <f t="shared" si="65"/>
        <v>22</v>
      </c>
      <c r="M79" s="88" t="str">
        <f t="shared" si="66"/>
        <v>01</v>
      </c>
      <c r="N79" s="88"/>
      <c r="O79" s="90" t="s">
        <v>909</v>
      </c>
      <c r="P79" s="88" t="str">
        <f t="shared" si="67"/>
        <v>00</v>
      </c>
      <c r="Q79" s="88" t="str">
        <f t="shared" si="68"/>
        <v>03</v>
      </c>
      <c r="R79" s="88" t="str">
        <f t="shared" si="69"/>
        <v>26</v>
      </c>
      <c r="S79" s="88" t="str">
        <f t="shared" si="70"/>
        <v>26</v>
      </c>
      <c r="T79" s="88" t="str">
        <f t="shared" si="71"/>
        <v>FF002201000326</v>
      </c>
    </row>
    <row r="80" spans="2:20" s="2" customFormat="1">
      <c r="B80" s="88" t="s">
        <v>1263</v>
      </c>
      <c r="C80" s="88" t="str">
        <f t="shared" si="72"/>
        <v>FF002203000328</v>
      </c>
      <c r="D80" s="88" t="s">
        <v>992</v>
      </c>
      <c r="E80" s="88" t="s">
        <v>889</v>
      </c>
      <c r="F80" s="88" t="s">
        <v>862</v>
      </c>
      <c r="G80" s="88"/>
      <c r="H80" s="89">
        <v>0</v>
      </c>
      <c r="I80" s="88" t="s">
        <v>876</v>
      </c>
      <c r="J80" s="88" t="s">
        <v>865</v>
      </c>
      <c r="K80" s="88" t="str">
        <f t="shared" si="64"/>
        <v>2203</v>
      </c>
      <c r="L80" s="88" t="str">
        <f t="shared" si="65"/>
        <v>22</v>
      </c>
      <c r="M80" s="88" t="str">
        <f t="shared" si="66"/>
        <v>03</v>
      </c>
      <c r="N80" s="88"/>
      <c r="O80" s="90" t="s">
        <v>909</v>
      </c>
      <c r="P80" s="88" t="str">
        <f t="shared" si="67"/>
        <v>00</v>
      </c>
      <c r="Q80" s="88" t="str">
        <f t="shared" si="68"/>
        <v>03</v>
      </c>
      <c r="R80" s="88" t="str">
        <f t="shared" si="69"/>
        <v>28</v>
      </c>
      <c r="S80" s="88" t="str">
        <f t="shared" si="70"/>
        <v>28</v>
      </c>
      <c r="T80" s="88" t="str">
        <f t="shared" si="71"/>
        <v>FF002203000328</v>
      </c>
    </row>
    <row r="81" spans="2:20" s="2" customFormat="1">
      <c r="B81" s="88" t="s">
        <v>1264</v>
      </c>
      <c r="C81" s="88" t="str">
        <f t="shared" si="72"/>
        <v>FF0022032A94E3</v>
      </c>
      <c r="D81" s="88" t="s">
        <v>992</v>
      </c>
      <c r="E81" s="88" t="s">
        <v>889</v>
      </c>
      <c r="F81" s="88" t="s">
        <v>862</v>
      </c>
      <c r="G81" s="88"/>
      <c r="H81" s="89">
        <v>0</v>
      </c>
      <c r="I81" s="88" t="s">
        <v>876</v>
      </c>
      <c r="J81" s="88" t="s">
        <v>865</v>
      </c>
      <c r="K81" s="88" t="str">
        <f t="shared" si="64"/>
        <v>2203</v>
      </c>
      <c r="L81" s="88" t="str">
        <f t="shared" si="65"/>
        <v>22</v>
      </c>
      <c r="M81" s="88" t="str">
        <f t="shared" si="66"/>
        <v>03</v>
      </c>
      <c r="N81" s="88">
        <v>10900</v>
      </c>
      <c r="O81" s="88" t="str">
        <f>REPT("0", 4 - LEN(DEC2HEX(N81))) &amp; DEC2HEX(N81)</f>
        <v>2A94</v>
      </c>
      <c r="P81" s="88" t="str">
        <f t="shared" si="67"/>
        <v>2A</v>
      </c>
      <c r="Q81" s="88" t="str">
        <f t="shared" si="68"/>
        <v>94</v>
      </c>
      <c r="R81" s="88" t="str">
        <f t="shared" si="69"/>
        <v>E3</v>
      </c>
      <c r="S81" s="88" t="str">
        <f t="shared" si="70"/>
        <v>E3</v>
      </c>
      <c r="T81" s="88" t="str">
        <f t="shared" si="71"/>
        <v>FF0022032A94E3</v>
      </c>
    </row>
    <row r="82" spans="2:20" s="2" customFormat="1">
      <c r="B82" s="88" t="s">
        <v>993</v>
      </c>
      <c r="C82" s="88" t="str">
        <f t="shared" si="72"/>
        <v>FF002204000026</v>
      </c>
      <c r="D82" s="88" t="s">
        <v>1260</v>
      </c>
      <c r="E82" s="88" t="s">
        <v>889</v>
      </c>
      <c r="F82" s="88" t="s">
        <v>862</v>
      </c>
      <c r="G82" s="88"/>
      <c r="H82" s="89">
        <v>0</v>
      </c>
      <c r="I82" s="88" t="s">
        <v>876</v>
      </c>
      <c r="J82" s="88" t="s">
        <v>865</v>
      </c>
      <c r="K82" s="88" t="str">
        <f t="shared" si="64"/>
        <v>2204</v>
      </c>
      <c r="L82" s="88" t="str">
        <f t="shared" si="65"/>
        <v>22</v>
      </c>
      <c r="M82" s="88" t="str">
        <f t="shared" si="66"/>
        <v>04</v>
      </c>
      <c r="N82" s="88"/>
      <c r="O82" s="90" t="s">
        <v>866</v>
      </c>
      <c r="P82" s="88" t="str">
        <f t="shared" si="67"/>
        <v>00</v>
      </c>
      <c r="Q82" s="88" t="str">
        <f t="shared" si="68"/>
        <v>00</v>
      </c>
      <c r="R82" s="88" t="str">
        <f t="shared" si="69"/>
        <v>26</v>
      </c>
      <c r="S82" s="88" t="str">
        <f t="shared" si="70"/>
        <v>26</v>
      </c>
      <c r="T82" s="88" t="str">
        <f t="shared" si="71"/>
        <v>FF002204000026</v>
      </c>
    </row>
    <row r="83" spans="2:20" s="2" customFormat="1">
      <c r="B83" s="88" t="s">
        <v>1261</v>
      </c>
      <c r="C83" s="88" t="str">
        <f t="shared" si="72"/>
        <v>FF002205000027</v>
      </c>
      <c r="D83" s="88" t="s">
        <v>994</v>
      </c>
      <c r="E83" s="88" t="s">
        <v>889</v>
      </c>
      <c r="F83" s="88" t="s">
        <v>862</v>
      </c>
      <c r="G83" s="88"/>
      <c r="H83" s="89">
        <v>0</v>
      </c>
      <c r="I83" s="88" t="s">
        <v>876</v>
      </c>
      <c r="J83" s="88" t="s">
        <v>865</v>
      </c>
      <c r="K83" s="88" t="str">
        <f t="shared" si="64"/>
        <v>2205</v>
      </c>
      <c r="L83" s="88" t="str">
        <f t="shared" si="65"/>
        <v>22</v>
      </c>
      <c r="M83" s="88" t="str">
        <f t="shared" si="66"/>
        <v>05</v>
      </c>
      <c r="N83" s="88"/>
      <c r="O83" s="90" t="s">
        <v>866</v>
      </c>
      <c r="P83" s="88" t="str">
        <f t="shared" si="67"/>
        <v>00</v>
      </c>
      <c r="Q83" s="88" t="str">
        <f t="shared" si="68"/>
        <v>00</v>
      </c>
      <c r="R83" s="88" t="str">
        <f t="shared" si="69"/>
        <v>27</v>
      </c>
      <c r="S83" s="88" t="str">
        <f t="shared" si="70"/>
        <v>27</v>
      </c>
      <c r="T83" s="88" t="str">
        <f t="shared" si="71"/>
        <v>FF002205000027</v>
      </c>
    </row>
    <row r="84" spans="2:20" s="2" customFormat="1">
      <c r="B84" s="88" t="s">
        <v>1262</v>
      </c>
      <c r="C84" s="88" t="str">
        <f t="shared" si="72"/>
        <v>FF002205000128</v>
      </c>
      <c r="D84" s="88" t="s">
        <v>994</v>
      </c>
      <c r="E84" s="88" t="s">
        <v>889</v>
      </c>
      <c r="F84" s="88" t="s">
        <v>862</v>
      </c>
      <c r="G84" s="88"/>
      <c r="H84" s="89">
        <v>0</v>
      </c>
      <c r="I84" s="88" t="s">
        <v>876</v>
      </c>
      <c r="J84" s="88" t="s">
        <v>865</v>
      </c>
      <c r="K84" s="88" t="str">
        <f t="shared" si="64"/>
        <v>2205</v>
      </c>
      <c r="L84" s="88" t="str">
        <f t="shared" si="65"/>
        <v>22</v>
      </c>
      <c r="M84" s="88" t="str">
        <f t="shared" si="66"/>
        <v>05</v>
      </c>
      <c r="N84" s="88"/>
      <c r="O84" s="90" t="s">
        <v>868</v>
      </c>
      <c r="P84" s="88" t="str">
        <f t="shared" si="67"/>
        <v>00</v>
      </c>
      <c r="Q84" s="88" t="str">
        <f t="shared" si="68"/>
        <v>01</v>
      </c>
      <c r="R84" s="88" t="str">
        <f t="shared" si="69"/>
        <v>28</v>
      </c>
      <c r="S84" s="88" t="str">
        <f t="shared" si="70"/>
        <v>28</v>
      </c>
      <c r="T84" s="88" t="str">
        <f t="shared" si="71"/>
        <v>FF002205000128</v>
      </c>
    </row>
    <row r="85" spans="2:20" s="2" customFormat="1">
      <c r="B85" s="88" t="s">
        <v>995</v>
      </c>
      <c r="C85" s="88" t="str">
        <f t="shared" si="72"/>
        <v>FF002210000032</v>
      </c>
      <c r="D85" s="88" t="s">
        <v>996</v>
      </c>
      <c r="E85" s="88" t="s">
        <v>889</v>
      </c>
      <c r="F85" s="88" t="s">
        <v>862</v>
      </c>
      <c r="G85" s="88"/>
      <c r="H85" s="89">
        <v>0</v>
      </c>
      <c r="I85" s="88" t="s">
        <v>876</v>
      </c>
      <c r="J85" s="88" t="s">
        <v>865</v>
      </c>
      <c r="K85" s="88" t="str">
        <f t="shared" si="64"/>
        <v>2210</v>
      </c>
      <c r="L85" s="88" t="str">
        <f t="shared" si="65"/>
        <v>22</v>
      </c>
      <c r="M85" s="88" t="str">
        <f t="shared" si="66"/>
        <v>10</v>
      </c>
      <c r="N85" s="88"/>
      <c r="O85" s="90" t="s">
        <v>866</v>
      </c>
      <c r="P85" s="88" t="str">
        <f t="shared" si="67"/>
        <v>00</v>
      </c>
      <c r="Q85" s="88" t="str">
        <f t="shared" si="68"/>
        <v>00</v>
      </c>
      <c r="R85" s="88" t="str">
        <f t="shared" si="69"/>
        <v>32</v>
      </c>
      <c r="S85" s="88" t="str">
        <f t="shared" si="70"/>
        <v>32</v>
      </c>
      <c r="T85" s="88" t="str">
        <f t="shared" si="71"/>
        <v>FF002210000032</v>
      </c>
    </row>
    <row r="86" spans="2:20" s="2" customFormat="1">
      <c r="B86" s="88" t="s">
        <v>42</v>
      </c>
      <c r="C86" s="88" t="str">
        <f t="shared" si="72"/>
        <v>FF002210000133</v>
      </c>
      <c r="D86" s="88" t="s">
        <v>996</v>
      </c>
      <c r="E86" s="88" t="s">
        <v>889</v>
      </c>
      <c r="F86" s="88" t="s">
        <v>862</v>
      </c>
      <c r="G86" s="88"/>
      <c r="H86" s="89">
        <v>0</v>
      </c>
      <c r="I86" s="88" t="s">
        <v>876</v>
      </c>
      <c r="J86" s="88" t="s">
        <v>865</v>
      </c>
      <c r="K86" s="88" t="str">
        <f t="shared" si="64"/>
        <v>2210</v>
      </c>
      <c r="L86" s="88" t="str">
        <f t="shared" si="65"/>
        <v>22</v>
      </c>
      <c r="M86" s="88" t="str">
        <f t="shared" si="66"/>
        <v>10</v>
      </c>
      <c r="N86" s="88"/>
      <c r="O86" s="90" t="s">
        <v>868</v>
      </c>
      <c r="P86" s="88" t="str">
        <f t="shared" si="67"/>
        <v>00</v>
      </c>
      <c r="Q86" s="88" t="str">
        <f t="shared" si="68"/>
        <v>01</v>
      </c>
      <c r="R86" s="88" t="str">
        <f t="shared" si="69"/>
        <v>33</v>
      </c>
      <c r="S86" s="88" t="str">
        <f t="shared" si="70"/>
        <v>33</v>
      </c>
      <c r="T86" s="88" t="str">
        <f t="shared" si="71"/>
        <v>FF002210000133</v>
      </c>
    </row>
    <row r="87" spans="2:20" s="2" customFormat="1">
      <c r="B87" s="88" t="s">
        <v>44</v>
      </c>
      <c r="C87" s="88" t="str">
        <f t="shared" si="72"/>
        <v>FF002210000234</v>
      </c>
      <c r="D87" s="88" t="s">
        <v>996</v>
      </c>
      <c r="E87" s="88" t="s">
        <v>889</v>
      </c>
      <c r="F87" s="88" t="s">
        <v>862</v>
      </c>
      <c r="G87" s="88"/>
      <c r="H87" s="89">
        <v>0</v>
      </c>
      <c r="I87" s="88" t="s">
        <v>876</v>
      </c>
      <c r="J87" s="88" t="s">
        <v>865</v>
      </c>
      <c r="K87" s="88" t="str">
        <f t="shared" si="64"/>
        <v>2210</v>
      </c>
      <c r="L87" s="88" t="str">
        <f t="shared" si="65"/>
        <v>22</v>
      </c>
      <c r="M87" s="88" t="str">
        <f t="shared" si="66"/>
        <v>10</v>
      </c>
      <c r="N87" s="88"/>
      <c r="O87" s="90" t="s">
        <v>893</v>
      </c>
      <c r="P87" s="88" t="str">
        <f t="shared" si="67"/>
        <v>00</v>
      </c>
      <c r="Q87" s="88" t="str">
        <f t="shared" si="68"/>
        <v>02</v>
      </c>
      <c r="R87" s="88" t="str">
        <f t="shared" si="69"/>
        <v>34</v>
      </c>
      <c r="S87" s="88" t="str">
        <f t="shared" si="70"/>
        <v>34</v>
      </c>
      <c r="T87" s="88" t="str">
        <f t="shared" si="71"/>
        <v>FF002210000234</v>
      </c>
    </row>
    <row r="88" spans="2:20" s="2" customFormat="1">
      <c r="B88" s="88" t="s">
        <v>1265</v>
      </c>
      <c r="C88" s="88" t="str">
        <f t="shared" si="72"/>
        <v>FF002212000337</v>
      </c>
      <c r="D88" s="88" t="s">
        <v>997</v>
      </c>
      <c r="E88" s="88" t="s">
        <v>889</v>
      </c>
      <c r="F88" s="88" t="s">
        <v>862</v>
      </c>
      <c r="G88" s="88"/>
      <c r="H88" s="89">
        <v>0</v>
      </c>
      <c r="I88" s="88" t="s">
        <v>876</v>
      </c>
      <c r="J88" s="88" t="s">
        <v>865</v>
      </c>
      <c r="K88" s="88" t="str">
        <f t="shared" si="64"/>
        <v>2212</v>
      </c>
      <c r="L88" s="88" t="str">
        <f t="shared" si="65"/>
        <v>22</v>
      </c>
      <c r="M88" s="88" t="str">
        <f t="shared" si="66"/>
        <v>12</v>
      </c>
      <c r="N88" s="88"/>
      <c r="O88" s="90" t="s">
        <v>909</v>
      </c>
      <c r="P88" s="88" t="str">
        <f t="shared" si="67"/>
        <v>00</v>
      </c>
      <c r="Q88" s="88" t="str">
        <f t="shared" si="68"/>
        <v>03</v>
      </c>
      <c r="R88" s="88" t="str">
        <f t="shared" si="69"/>
        <v>37</v>
      </c>
      <c r="S88" s="88" t="str">
        <f t="shared" si="70"/>
        <v>37</v>
      </c>
      <c r="T88" s="88" t="str">
        <f t="shared" si="71"/>
        <v>FF002212000337</v>
      </c>
    </row>
    <row r="89" spans="2:20" s="2" customFormat="1">
      <c r="B89" s="88" t="s">
        <v>1266</v>
      </c>
      <c r="C89" s="88" t="str">
        <f t="shared" si="72"/>
        <v>FF0022122A308E</v>
      </c>
      <c r="D89" s="88" t="s">
        <v>997</v>
      </c>
      <c r="E89" s="88" t="s">
        <v>889</v>
      </c>
      <c r="F89" s="88" t="s">
        <v>862</v>
      </c>
      <c r="G89" s="88"/>
      <c r="H89" s="89">
        <v>0</v>
      </c>
      <c r="I89" s="88" t="s">
        <v>876</v>
      </c>
      <c r="J89" s="88" t="s">
        <v>865</v>
      </c>
      <c r="K89" s="88" t="str">
        <f t="shared" si="64"/>
        <v>2212</v>
      </c>
      <c r="L89" s="88" t="str">
        <f t="shared" si="65"/>
        <v>22</v>
      </c>
      <c r="M89" s="88" t="str">
        <f t="shared" si="66"/>
        <v>12</v>
      </c>
      <c r="N89" s="88">
        <v>10800</v>
      </c>
      <c r="O89" s="88" t="str">
        <f>REPT("0", 4 - LEN(DEC2HEX(N89))) &amp; DEC2HEX(N89)</f>
        <v>2A30</v>
      </c>
      <c r="P89" s="88" t="str">
        <f t="shared" si="67"/>
        <v>2A</v>
      </c>
      <c r="Q89" s="88" t="str">
        <f t="shared" si="68"/>
        <v>30</v>
      </c>
      <c r="R89" s="88" t="str">
        <f t="shared" si="69"/>
        <v>8E</v>
      </c>
      <c r="S89" s="88" t="str">
        <f t="shared" si="70"/>
        <v>8E</v>
      </c>
      <c r="T89" s="88" t="str">
        <f t="shared" si="71"/>
        <v>FF0022122A308E</v>
      </c>
    </row>
    <row r="90" spans="2:20" s="2" customFormat="1">
      <c r="B90" s="88" t="s">
        <v>998</v>
      </c>
      <c r="C90" s="88" t="str">
        <f t="shared" si="72"/>
        <v>FF002213000035</v>
      </c>
      <c r="D90" s="88" t="s">
        <v>999</v>
      </c>
      <c r="E90" s="88" t="s">
        <v>889</v>
      </c>
      <c r="F90" s="88" t="s">
        <v>862</v>
      </c>
      <c r="G90" s="88"/>
      <c r="H90" s="89">
        <v>0</v>
      </c>
      <c r="I90" s="88" t="s">
        <v>876</v>
      </c>
      <c r="J90" s="88" t="s">
        <v>865</v>
      </c>
      <c r="K90" s="88" t="str">
        <f t="shared" si="64"/>
        <v>2213</v>
      </c>
      <c r="L90" s="88" t="str">
        <f t="shared" si="65"/>
        <v>22</v>
      </c>
      <c r="M90" s="88" t="str">
        <f t="shared" si="66"/>
        <v>13</v>
      </c>
      <c r="N90" s="88"/>
      <c r="O90" s="90" t="s">
        <v>866</v>
      </c>
      <c r="P90" s="88" t="str">
        <f t="shared" si="67"/>
        <v>00</v>
      </c>
      <c r="Q90" s="88" t="str">
        <f t="shared" si="68"/>
        <v>00</v>
      </c>
      <c r="R90" s="88" t="str">
        <f t="shared" si="69"/>
        <v>35</v>
      </c>
      <c r="S90" s="88" t="str">
        <f t="shared" si="70"/>
        <v>35</v>
      </c>
      <c r="T90" s="88" t="str">
        <f t="shared" si="71"/>
        <v>FF002213000035</v>
      </c>
    </row>
    <row r="91" spans="2:20" s="2" customFormat="1">
      <c r="B91" s="88" t="s">
        <v>28</v>
      </c>
      <c r="C91" s="88" t="str">
        <f t="shared" si="72"/>
        <v>FF002220000042</v>
      </c>
      <c r="D91" s="88" t="s">
        <v>1000</v>
      </c>
      <c r="E91" s="88" t="s">
        <v>889</v>
      </c>
      <c r="F91" s="88" t="s">
        <v>862</v>
      </c>
      <c r="G91" s="88"/>
      <c r="H91" s="89">
        <v>0</v>
      </c>
      <c r="I91" s="88" t="s">
        <v>876</v>
      </c>
      <c r="J91" s="88" t="s">
        <v>865</v>
      </c>
      <c r="K91" s="88" t="str">
        <f t="shared" si="64"/>
        <v>2220</v>
      </c>
      <c r="L91" s="88" t="str">
        <f t="shared" si="65"/>
        <v>22</v>
      </c>
      <c r="M91" s="88" t="str">
        <f t="shared" si="66"/>
        <v>20</v>
      </c>
      <c r="N91" s="88"/>
      <c r="O91" s="90" t="s">
        <v>866</v>
      </c>
      <c r="P91" s="88" t="str">
        <f t="shared" si="67"/>
        <v>00</v>
      </c>
      <c r="Q91" s="88" t="str">
        <f t="shared" si="68"/>
        <v>00</v>
      </c>
      <c r="R91" s="88" t="str">
        <f t="shared" si="69"/>
        <v>42</v>
      </c>
      <c r="S91" s="88" t="str">
        <f t="shared" si="70"/>
        <v>42</v>
      </c>
      <c r="T91" s="88" t="str">
        <f t="shared" si="71"/>
        <v>FF002220000042</v>
      </c>
    </row>
    <row r="92" spans="2:20" s="2" customFormat="1">
      <c r="B92" s="88" t="s">
        <v>1001</v>
      </c>
      <c r="C92" s="88" t="str">
        <f t="shared" si="72"/>
        <v>FF0022218001C4</v>
      </c>
      <c r="D92" s="88" t="s">
        <v>1002</v>
      </c>
      <c r="E92" s="88" t="s">
        <v>889</v>
      </c>
      <c r="F92" s="88" t="s">
        <v>862</v>
      </c>
      <c r="G92" s="88"/>
      <c r="H92" s="89">
        <v>0</v>
      </c>
      <c r="I92" s="88" t="s">
        <v>876</v>
      </c>
      <c r="J92" s="88" t="s">
        <v>865</v>
      </c>
      <c r="K92" s="88" t="str">
        <f t="shared" si="64"/>
        <v>2221</v>
      </c>
      <c r="L92" s="88" t="str">
        <f t="shared" si="65"/>
        <v>22</v>
      </c>
      <c r="M92" s="88" t="str">
        <f t="shared" si="66"/>
        <v>21</v>
      </c>
      <c r="N92" s="88">
        <v>-32767</v>
      </c>
      <c r="O92" s="88" t="str">
        <f>TEXT(DEC2HEX(65536 + N92), "0000")</f>
        <v>8001</v>
      </c>
      <c r="P92" s="88" t="str">
        <f t="shared" si="67"/>
        <v>80</v>
      </c>
      <c r="Q92" s="88" t="str">
        <f t="shared" si="68"/>
        <v>01</v>
      </c>
      <c r="R92" s="88" t="str">
        <f t="shared" si="69"/>
        <v>C4</v>
      </c>
      <c r="S92" s="88" t="str">
        <f t="shared" si="70"/>
        <v>C4</v>
      </c>
      <c r="T92" s="88" t="str">
        <f t="shared" si="71"/>
        <v>FF0022218001C4</v>
      </c>
    </row>
    <row r="93" spans="2:20" s="2" customFormat="1">
      <c r="B93" s="88" t="s">
        <v>1003</v>
      </c>
      <c r="C93" s="88" t="str">
        <f t="shared" si="72"/>
        <v>FF0022217FFFC1</v>
      </c>
      <c r="D93" s="88" t="s">
        <v>1002</v>
      </c>
      <c r="E93" s="88" t="s">
        <v>889</v>
      </c>
      <c r="F93" s="88" t="s">
        <v>862</v>
      </c>
      <c r="G93" s="88"/>
      <c r="H93" s="89">
        <v>0</v>
      </c>
      <c r="I93" s="88" t="s">
        <v>876</v>
      </c>
      <c r="J93" s="88" t="s">
        <v>865</v>
      </c>
      <c r="K93" s="88" t="str">
        <f t="shared" si="64"/>
        <v>2221</v>
      </c>
      <c r="L93" s="88" t="str">
        <f t="shared" si="65"/>
        <v>22</v>
      </c>
      <c r="M93" s="88" t="str">
        <f t="shared" si="66"/>
        <v>21</v>
      </c>
      <c r="N93" s="88">
        <v>32767</v>
      </c>
      <c r="O93" s="88" t="str">
        <f>REPT("0", 4 - LEN(DEC2HEX(N93))) &amp; DEC2HEX(N93)</f>
        <v>7FFF</v>
      </c>
      <c r="P93" s="88" t="str">
        <f t="shared" si="67"/>
        <v>7F</v>
      </c>
      <c r="Q93" s="88" t="str">
        <f t="shared" si="68"/>
        <v>FF</v>
      </c>
      <c r="R93" s="88" t="str">
        <f t="shared" si="69"/>
        <v>1C1</v>
      </c>
      <c r="S93" s="88" t="str">
        <f t="shared" si="70"/>
        <v>C1</v>
      </c>
      <c r="T93" s="88" t="str">
        <f t="shared" si="71"/>
        <v>FF0022217FFFC1</v>
      </c>
    </row>
    <row r="94" spans="2:20" s="2" customFormat="1">
      <c r="B94" s="88" t="s">
        <v>1004</v>
      </c>
      <c r="C94" s="88" t="str">
        <f t="shared" si="72"/>
        <v>FF002222000044</v>
      </c>
      <c r="D94" s="88" t="s">
        <v>1005</v>
      </c>
      <c r="E94" s="88" t="s">
        <v>889</v>
      </c>
      <c r="F94" s="88" t="s">
        <v>862</v>
      </c>
      <c r="G94" s="88"/>
      <c r="H94" s="89" t="s">
        <v>980</v>
      </c>
      <c r="I94" s="88" t="s">
        <v>876</v>
      </c>
      <c r="J94" s="88" t="s">
        <v>865</v>
      </c>
      <c r="K94" s="88" t="str">
        <f t="shared" si="64"/>
        <v>2222</v>
      </c>
      <c r="L94" s="88" t="str">
        <f t="shared" si="65"/>
        <v>22</v>
      </c>
      <c r="M94" s="88" t="str">
        <f t="shared" si="66"/>
        <v>22</v>
      </c>
      <c r="N94" s="88"/>
      <c r="O94" s="90" t="s">
        <v>866</v>
      </c>
      <c r="P94" s="88" t="str">
        <f t="shared" si="67"/>
        <v>00</v>
      </c>
      <c r="Q94" s="88" t="str">
        <f t="shared" si="68"/>
        <v>00</v>
      </c>
      <c r="R94" s="88" t="str">
        <f t="shared" si="69"/>
        <v>44</v>
      </c>
      <c r="S94" s="88" t="str">
        <f t="shared" si="70"/>
        <v>44</v>
      </c>
      <c r="T94" s="88" t="str">
        <f t="shared" si="71"/>
        <v>FF002222000044</v>
      </c>
    </row>
    <row r="95" spans="2:20" s="2" customFormat="1">
      <c r="B95" s="88" t="s">
        <v>1006</v>
      </c>
      <c r="C95" s="88" t="str">
        <f t="shared" si="72"/>
        <v>FF002300000023</v>
      </c>
      <c r="D95" s="88" t="s">
        <v>1007</v>
      </c>
      <c r="E95" s="88" t="s">
        <v>889</v>
      </c>
      <c r="F95" s="88" t="s">
        <v>862</v>
      </c>
      <c r="G95" s="88"/>
      <c r="H95" s="89" t="s">
        <v>980</v>
      </c>
      <c r="I95" s="91"/>
      <c r="J95" s="88" t="s">
        <v>865</v>
      </c>
      <c r="K95" s="88" t="str">
        <f t="shared" si="64"/>
        <v>2300</v>
      </c>
      <c r="L95" s="88" t="str">
        <f t="shared" si="65"/>
        <v>23</v>
      </c>
      <c r="M95" s="88" t="str">
        <f t="shared" si="66"/>
        <v>00</v>
      </c>
      <c r="N95" s="88"/>
      <c r="O95" s="90" t="s">
        <v>866</v>
      </c>
      <c r="P95" s="88" t="str">
        <f t="shared" si="67"/>
        <v>00</v>
      </c>
      <c r="Q95" s="88" t="str">
        <f t="shared" si="68"/>
        <v>00</v>
      </c>
      <c r="R95" s="88" t="str">
        <f t="shared" si="69"/>
        <v>23</v>
      </c>
      <c r="S95" s="88" t="str">
        <f t="shared" si="70"/>
        <v>23</v>
      </c>
      <c r="T95" s="88" t="str">
        <f t="shared" si="71"/>
        <v>FF002300000023</v>
      </c>
    </row>
    <row r="96" spans="2:20" s="2" customFormat="1">
      <c r="B96" s="88" t="s">
        <v>1008</v>
      </c>
      <c r="C96" s="88" t="str">
        <f t="shared" si="72"/>
        <v>FF002300000F32</v>
      </c>
      <c r="D96" s="88" t="s">
        <v>1007</v>
      </c>
      <c r="E96" s="88" t="s">
        <v>889</v>
      </c>
      <c r="F96" s="88" t="s">
        <v>862</v>
      </c>
      <c r="G96" s="88"/>
      <c r="H96" s="89" t="s">
        <v>980</v>
      </c>
      <c r="I96" s="91"/>
      <c r="J96" s="88" t="s">
        <v>865</v>
      </c>
      <c r="K96" s="88" t="str">
        <f t="shared" si="64"/>
        <v>2300</v>
      </c>
      <c r="L96" s="88" t="str">
        <f t="shared" si="65"/>
        <v>23</v>
      </c>
      <c r="M96" s="88" t="str">
        <f t="shared" si="66"/>
        <v>00</v>
      </c>
      <c r="N96" s="88"/>
      <c r="O96" s="90" t="s">
        <v>1484</v>
      </c>
      <c r="P96" s="88" t="str">
        <f t="shared" si="67"/>
        <v>00</v>
      </c>
      <c r="Q96" s="88" t="str">
        <f t="shared" si="68"/>
        <v>0F</v>
      </c>
      <c r="R96" s="88" t="str">
        <f t="shared" si="69"/>
        <v>32</v>
      </c>
      <c r="S96" s="88" t="str">
        <f t="shared" si="70"/>
        <v>32</v>
      </c>
      <c r="T96" s="88" t="str">
        <f t="shared" si="71"/>
        <v>FF002300000F32</v>
      </c>
    </row>
    <row r="97" spans="2:20" s="2" customFormat="1">
      <c r="B97" s="88" t="s">
        <v>1009</v>
      </c>
      <c r="C97" s="88" t="str">
        <f t="shared" si="72"/>
        <v>FF002300000D30</v>
      </c>
      <c r="D97" s="88" t="s">
        <v>1007</v>
      </c>
      <c r="E97" s="88" t="s">
        <v>889</v>
      </c>
      <c r="F97" s="88" t="s">
        <v>862</v>
      </c>
      <c r="G97" s="88"/>
      <c r="H97" s="89" t="s">
        <v>980</v>
      </c>
      <c r="I97" s="91"/>
      <c r="J97" s="88" t="s">
        <v>865</v>
      </c>
      <c r="K97" s="88" t="str">
        <f t="shared" si="64"/>
        <v>2300</v>
      </c>
      <c r="L97" s="88" t="str">
        <f t="shared" si="65"/>
        <v>23</v>
      </c>
      <c r="M97" s="88" t="str">
        <f t="shared" si="66"/>
        <v>00</v>
      </c>
      <c r="N97" s="88"/>
      <c r="O97" s="90" t="s">
        <v>1485</v>
      </c>
      <c r="P97" s="88" t="str">
        <f t="shared" si="67"/>
        <v>00</v>
      </c>
      <c r="Q97" s="88" t="str">
        <f t="shared" si="68"/>
        <v>0D</v>
      </c>
      <c r="R97" s="88" t="str">
        <f t="shared" si="69"/>
        <v>30</v>
      </c>
      <c r="S97" s="88" t="str">
        <f t="shared" si="70"/>
        <v>30</v>
      </c>
      <c r="T97" s="88" t="str">
        <f t="shared" si="71"/>
        <v>FF002300000D30</v>
      </c>
    </row>
    <row r="98" spans="2:20" s="2" customFormat="1">
      <c r="B98" s="88" t="s">
        <v>1010</v>
      </c>
      <c r="C98" s="88" t="str">
        <f t="shared" si="72"/>
        <v>FF002300000225</v>
      </c>
      <c r="D98" s="88" t="s">
        <v>1007</v>
      </c>
      <c r="E98" s="88" t="s">
        <v>889</v>
      </c>
      <c r="F98" s="88" t="s">
        <v>862</v>
      </c>
      <c r="G98" s="88"/>
      <c r="H98" s="89" t="s">
        <v>980</v>
      </c>
      <c r="I98" s="91"/>
      <c r="J98" s="88" t="s">
        <v>865</v>
      </c>
      <c r="K98" s="88" t="str">
        <f t="shared" si="64"/>
        <v>2300</v>
      </c>
      <c r="L98" s="88" t="str">
        <f t="shared" si="65"/>
        <v>23</v>
      </c>
      <c r="M98" s="88" t="str">
        <f t="shared" si="66"/>
        <v>00</v>
      </c>
      <c r="N98" s="88"/>
      <c r="O98" s="90" t="s">
        <v>893</v>
      </c>
      <c r="P98" s="88" t="str">
        <f t="shared" si="67"/>
        <v>00</v>
      </c>
      <c r="Q98" s="88" t="str">
        <f t="shared" si="68"/>
        <v>02</v>
      </c>
      <c r="R98" s="88" t="str">
        <f t="shared" si="69"/>
        <v>25</v>
      </c>
      <c r="S98" s="88" t="str">
        <f t="shared" si="70"/>
        <v>25</v>
      </c>
      <c r="T98" s="88" t="str">
        <f t="shared" si="71"/>
        <v>FF002300000225</v>
      </c>
    </row>
    <row r="99" spans="2:20" s="2" customFormat="1">
      <c r="B99" s="88" t="s">
        <v>1012</v>
      </c>
      <c r="C99" s="88" t="str">
        <f t="shared" si="72"/>
        <v>FF002300000B2E</v>
      </c>
      <c r="D99" s="88" t="s">
        <v>1007</v>
      </c>
      <c r="E99" s="88" t="s">
        <v>889</v>
      </c>
      <c r="F99" s="88" t="s">
        <v>862</v>
      </c>
      <c r="G99" s="88"/>
      <c r="H99" s="89" t="s">
        <v>980</v>
      </c>
      <c r="I99" s="91"/>
      <c r="J99" s="88" t="s">
        <v>865</v>
      </c>
      <c r="K99" s="88" t="str">
        <f t="shared" si="64"/>
        <v>2300</v>
      </c>
      <c r="L99" s="88" t="str">
        <f t="shared" si="65"/>
        <v>23</v>
      </c>
      <c r="M99" s="88" t="str">
        <f t="shared" si="66"/>
        <v>00</v>
      </c>
      <c r="N99" s="88"/>
      <c r="O99" s="90" t="s">
        <v>1486</v>
      </c>
      <c r="P99" s="88" t="str">
        <f t="shared" si="67"/>
        <v>00</v>
      </c>
      <c r="Q99" s="88" t="str">
        <f t="shared" si="68"/>
        <v>0B</v>
      </c>
      <c r="R99" s="88" t="str">
        <f t="shared" si="69"/>
        <v>2E</v>
      </c>
      <c r="S99" s="88" t="str">
        <f t="shared" si="70"/>
        <v>2E</v>
      </c>
      <c r="T99" s="88" t="str">
        <f t="shared" si="71"/>
        <v>FF002300000B2E</v>
      </c>
    </row>
    <row r="100" spans="2:20" s="2" customFormat="1">
      <c r="B100" s="88" t="s">
        <v>1013</v>
      </c>
      <c r="C100" s="88" t="str">
        <f t="shared" si="72"/>
        <v>FF002300000427</v>
      </c>
      <c r="D100" s="88" t="s">
        <v>1007</v>
      </c>
      <c r="E100" s="88" t="s">
        <v>889</v>
      </c>
      <c r="F100" s="88" t="s">
        <v>862</v>
      </c>
      <c r="G100" s="88"/>
      <c r="H100" s="89" t="s">
        <v>980</v>
      </c>
      <c r="I100" s="91"/>
      <c r="J100" s="88" t="s">
        <v>865</v>
      </c>
      <c r="K100" s="88" t="str">
        <f t="shared" si="64"/>
        <v>2300</v>
      </c>
      <c r="L100" s="88" t="str">
        <f t="shared" si="65"/>
        <v>23</v>
      </c>
      <c r="M100" s="88" t="str">
        <f t="shared" si="66"/>
        <v>00</v>
      </c>
      <c r="N100" s="88"/>
      <c r="O100" s="90" t="s">
        <v>967</v>
      </c>
      <c r="P100" s="88" t="str">
        <f t="shared" si="67"/>
        <v>00</v>
      </c>
      <c r="Q100" s="88" t="str">
        <f t="shared" si="68"/>
        <v>04</v>
      </c>
      <c r="R100" s="88" t="str">
        <f t="shared" si="69"/>
        <v>27</v>
      </c>
      <c r="S100" s="88" t="str">
        <f t="shared" si="70"/>
        <v>27</v>
      </c>
      <c r="T100" s="88" t="str">
        <f t="shared" si="71"/>
        <v>FF002300000427</v>
      </c>
    </row>
    <row r="101" spans="2:20" s="2" customFormat="1">
      <c r="B101" s="88" t="s">
        <v>1014</v>
      </c>
      <c r="C101" s="88" t="str">
        <f t="shared" si="72"/>
        <v>FF00230000072A</v>
      </c>
      <c r="D101" s="88" t="s">
        <v>1007</v>
      </c>
      <c r="E101" s="88" t="s">
        <v>889</v>
      </c>
      <c r="F101" s="88" t="s">
        <v>862</v>
      </c>
      <c r="G101" s="88"/>
      <c r="H101" s="89" t="s">
        <v>980</v>
      </c>
      <c r="I101" s="91"/>
      <c r="J101" s="88" t="s">
        <v>865</v>
      </c>
      <c r="K101" s="88" t="str">
        <f t="shared" si="64"/>
        <v>2300</v>
      </c>
      <c r="L101" s="88" t="str">
        <f t="shared" si="65"/>
        <v>23</v>
      </c>
      <c r="M101" s="88" t="str">
        <f t="shared" si="66"/>
        <v>00</v>
      </c>
      <c r="N101" s="88"/>
      <c r="O101" s="90" t="s">
        <v>930</v>
      </c>
      <c r="P101" s="88" t="str">
        <f t="shared" si="67"/>
        <v>00</v>
      </c>
      <c r="Q101" s="88" t="str">
        <f t="shared" si="68"/>
        <v>07</v>
      </c>
      <c r="R101" s="88" t="str">
        <f t="shared" si="69"/>
        <v>2A</v>
      </c>
      <c r="S101" s="88" t="str">
        <f t="shared" si="70"/>
        <v>2A</v>
      </c>
      <c r="T101" s="88" t="str">
        <f t="shared" si="71"/>
        <v>FF00230000072A</v>
      </c>
    </row>
    <row r="102" spans="2:20" s="2" customFormat="1">
      <c r="B102" s="88" t="s">
        <v>1015</v>
      </c>
      <c r="C102" s="88" t="str">
        <f t="shared" si="72"/>
        <v>FF00230000082B</v>
      </c>
      <c r="D102" s="88" t="s">
        <v>1007</v>
      </c>
      <c r="E102" s="88" t="s">
        <v>889</v>
      </c>
      <c r="F102" s="88" t="s">
        <v>862</v>
      </c>
      <c r="G102" s="88"/>
      <c r="H102" s="89" t="s">
        <v>980</v>
      </c>
      <c r="I102" s="91"/>
      <c r="J102" s="88" t="s">
        <v>865</v>
      </c>
      <c r="K102" s="88" t="str">
        <f t="shared" si="64"/>
        <v>2300</v>
      </c>
      <c r="L102" s="88" t="str">
        <f t="shared" si="65"/>
        <v>23</v>
      </c>
      <c r="M102" s="88" t="str">
        <f t="shared" si="66"/>
        <v>00</v>
      </c>
      <c r="N102" s="88"/>
      <c r="O102" s="90" t="s">
        <v>1099</v>
      </c>
      <c r="P102" s="88" t="str">
        <f t="shared" si="67"/>
        <v>00</v>
      </c>
      <c r="Q102" s="88" t="str">
        <f t="shared" si="68"/>
        <v>08</v>
      </c>
      <c r="R102" s="88" t="str">
        <f t="shared" si="69"/>
        <v>2B</v>
      </c>
      <c r="S102" s="88" t="str">
        <f t="shared" si="70"/>
        <v>2B</v>
      </c>
      <c r="T102" s="88" t="str">
        <f t="shared" si="71"/>
        <v>FF00230000082B</v>
      </c>
    </row>
    <row r="103" spans="2:20" s="2" customFormat="1">
      <c r="B103" s="88" t="s">
        <v>1016</v>
      </c>
      <c r="C103" s="88" t="str">
        <f t="shared" si="72"/>
        <v>FF0023018000A4</v>
      </c>
      <c r="D103" s="88" t="s">
        <v>1017</v>
      </c>
      <c r="E103" s="88" t="s">
        <v>889</v>
      </c>
      <c r="F103" s="88" t="s">
        <v>862</v>
      </c>
      <c r="G103" s="88"/>
      <c r="H103" s="89" t="s">
        <v>980</v>
      </c>
      <c r="I103" s="91"/>
      <c r="J103" s="88" t="s">
        <v>865</v>
      </c>
      <c r="K103" s="88" t="str">
        <f t="shared" si="64"/>
        <v>2301</v>
      </c>
      <c r="L103" s="88" t="str">
        <f t="shared" si="65"/>
        <v>23</v>
      </c>
      <c r="M103" s="88" t="str">
        <f t="shared" si="66"/>
        <v>01</v>
      </c>
      <c r="N103" s="88">
        <v>-32768</v>
      </c>
      <c r="O103" s="88" t="str">
        <f>TEXT(DEC2HEX(65536 + N103), "0000")</f>
        <v>8000</v>
      </c>
      <c r="P103" s="88" t="str">
        <f t="shared" si="67"/>
        <v>80</v>
      </c>
      <c r="Q103" s="88" t="str">
        <f t="shared" si="68"/>
        <v>00</v>
      </c>
      <c r="R103" s="88" t="str">
        <f t="shared" si="69"/>
        <v>A4</v>
      </c>
      <c r="S103" s="88" t="str">
        <f t="shared" si="70"/>
        <v>A4</v>
      </c>
      <c r="T103" s="88" t="str">
        <f t="shared" si="71"/>
        <v>FF0023018000A4</v>
      </c>
    </row>
    <row r="104" spans="2:20" s="2" customFormat="1">
      <c r="B104" s="88" t="s">
        <v>1102</v>
      </c>
      <c r="C104" s="88" t="str">
        <f t="shared" ref="C104" si="73">T104</f>
        <v>FF002301000024</v>
      </c>
      <c r="D104" s="88" t="s">
        <v>1017</v>
      </c>
      <c r="E104" s="88" t="s">
        <v>889</v>
      </c>
      <c r="F104" s="88" t="s">
        <v>862</v>
      </c>
      <c r="G104" s="88"/>
      <c r="H104" s="89" t="s">
        <v>980</v>
      </c>
      <c r="I104" s="91"/>
      <c r="J104" s="88" t="s">
        <v>865</v>
      </c>
      <c r="K104" s="88" t="str">
        <f t="shared" ref="K104" si="74" xml:space="preserve"> SUBSTITUTE(D104, "0x","")</f>
        <v>2301</v>
      </c>
      <c r="L104" s="88" t="str">
        <f t="shared" ref="L104" si="75">LEFT(K104,2)</f>
        <v>23</v>
      </c>
      <c r="M104" s="88" t="str">
        <f t="shared" ref="M104" si="76">RIGHT(K104,2)</f>
        <v>01</v>
      </c>
      <c r="N104" s="88">
        <v>0</v>
      </c>
      <c r="O104" s="88" t="str">
        <f>REPT("0", 4 - LEN(DEC2HEX(N104))) &amp; DEC2HEX(N104)</f>
        <v>0000</v>
      </c>
      <c r="P104" s="88" t="str">
        <f t="shared" ref="P104" si="77">LEFT(O104, 2)</f>
        <v>00</v>
      </c>
      <c r="Q104" s="88" t="str">
        <f t="shared" ref="Q104" si="78">RIGHT(O104, 2)</f>
        <v>00</v>
      </c>
      <c r="R104" s="88" t="str">
        <f t="shared" ref="R104" si="79">DEC2HEX(SUM(HEX2DEC(L104), HEX2DEC(M104), HEX2DEC(P104), HEX2DEC(Q104)))</f>
        <v>24</v>
      </c>
      <c r="S104" s="88" t="str">
        <f t="shared" ref="S104" si="80">RIGHT(R104,2)</f>
        <v>24</v>
      </c>
      <c r="T104" s="88" t="str">
        <f t="shared" ref="T104" si="81">"FF00"&amp;K104&amp;""&amp;P104&amp;Q104&amp;S104</f>
        <v>FF002301000024</v>
      </c>
    </row>
    <row r="105" spans="2:20" s="2" customFormat="1">
      <c r="B105" s="88" t="s">
        <v>1018</v>
      </c>
      <c r="C105" s="88" t="str">
        <f t="shared" si="72"/>
        <v>FF0023018000A4</v>
      </c>
      <c r="D105" s="88" t="s">
        <v>1017</v>
      </c>
      <c r="E105" s="88" t="s">
        <v>889</v>
      </c>
      <c r="F105" s="88" t="s">
        <v>862</v>
      </c>
      <c r="G105" s="88"/>
      <c r="H105" s="89" t="s">
        <v>980</v>
      </c>
      <c r="I105" s="91"/>
      <c r="J105" s="88" t="s">
        <v>865</v>
      </c>
      <c r="K105" s="88" t="str">
        <f t="shared" si="64"/>
        <v>2301</v>
      </c>
      <c r="L105" s="88" t="str">
        <f t="shared" si="65"/>
        <v>23</v>
      </c>
      <c r="M105" s="88" t="str">
        <f t="shared" si="66"/>
        <v>01</v>
      </c>
      <c r="N105" s="88">
        <v>32768</v>
      </c>
      <c r="O105" s="88" t="str">
        <f>REPT("0", 4 - LEN(DEC2HEX(N105))) &amp; DEC2HEX(N105)</f>
        <v>8000</v>
      </c>
      <c r="P105" s="88" t="str">
        <f t="shared" si="67"/>
        <v>80</v>
      </c>
      <c r="Q105" s="88" t="str">
        <f t="shared" si="68"/>
        <v>00</v>
      </c>
      <c r="R105" s="88" t="str">
        <f t="shared" si="69"/>
        <v>A4</v>
      </c>
      <c r="S105" s="88" t="str">
        <f t="shared" si="70"/>
        <v>A4</v>
      </c>
      <c r="T105" s="88" t="str">
        <f t="shared" si="71"/>
        <v>FF0023018000A4</v>
      </c>
    </row>
    <row r="106" spans="2:20" s="2" customFormat="1">
      <c r="B106" s="88" t="s">
        <v>1019</v>
      </c>
      <c r="C106" s="88" t="str">
        <f t="shared" si="72"/>
        <v>FF002302000A2F</v>
      </c>
      <c r="D106" s="88" t="s">
        <v>1020</v>
      </c>
      <c r="E106" s="88" t="s">
        <v>889</v>
      </c>
      <c r="F106" s="88" t="s">
        <v>862</v>
      </c>
      <c r="G106" s="88"/>
      <c r="H106" s="89">
        <v>98</v>
      </c>
      <c r="I106" s="91"/>
      <c r="J106" s="88" t="s">
        <v>865</v>
      </c>
      <c r="K106" s="88" t="str">
        <f t="shared" si="64"/>
        <v>2302</v>
      </c>
      <c r="L106" s="88" t="str">
        <f t="shared" si="65"/>
        <v>23</v>
      </c>
      <c r="M106" s="88" t="str">
        <f t="shared" si="66"/>
        <v>02</v>
      </c>
      <c r="N106" s="88">
        <v>10</v>
      </c>
      <c r="O106" s="88" t="str">
        <f>REPT("0", 4 - LEN(DEC2HEX(N106))) &amp; DEC2HEX(N106)</f>
        <v>000A</v>
      </c>
      <c r="P106" s="88" t="str">
        <f t="shared" si="67"/>
        <v>00</v>
      </c>
      <c r="Q106" s="88" t="str">
        <f t="shared" si="68"/>
        <v>0A</v>
      </c>
      <c r="R106" s="88" t="str">
        <f t="shared" si="69"/>
        <v>2F</v>
      </c>
      <c r="S106" s="88" t="str">
        <f t="shared" si="70"/>
        <v>2F</v>
      </c>
      <c r="T106" s="88" t="str">
        <f t="shared" si="71"/>
        <v>FF002302000A2F</v>
      </c>
    </row>
    <row r="107" spans="2:20" s="2" customFormat="1">
      <c r="B107" s="88" t="s">
        <v>1103</v>
      </c>
      <c r="C107" s="88" t="str">
        <f t="shared" ref="C107" si="82">T107</f>
        <v>FF002302006287</v>
      </c>
      <c r="D107" s="88" t="s">
        <v>1020</v>
      </c>
      <c r="E107" s="88" t="s">
        <v>889</v>
      </c>
      <c r="F107" s="88" t="s">
        <v>862</v>
      </c>
      <c r="G107" s="88"/>
      <c r="H107" s="89">
        <v>98</v>
      </c>
      <c r="I107" s="91"/>
      <c r="J107" s="88" t="s">
        <v>865</v>
      </c>
      <c r="K107" s="88" t="str">
        <f t="shared" ref="K107" si="83" xml:space="preserve"> SUBSTITUTE(D107, "0x","")</f>
        <v>2302</v>
      </c>
      <c r="L107" s="88" t="str">
        <f t="shared" ref="L107" si="84">LEFT(K107,2)</f>
        <v>23</v>
      </c>
      <c r="M107" s="88" t="str">
        <f t="shared" ref="M107" si="85">RIGHT(K107,2)</f>
        <v>02</v>
      </c>
      <c r="N107" s="88">
        <v>98</v>
      </c>
      <c r="O107" s="88" t="str">
        <f>REPT("0", 4 - LEN(DEC2HEX(N107))) &amp; DEC2HEX(N107)</f>
        <v>0062</v>
      </c>
      <c r="P107" s="88" t="str">
        <f t="shared" ref="P107" si="86">LEFT(O107, 2)</f>
        <v>00</v>
      </c>
      <c r="Q107" s="88" t="str">
        <f t="shared" ref="Q107" si="87">RIGHT(O107, 2)</f>
        <v>62</v>
      </c>
      <c r="R107" s="88" t="str">
        <f t="shared" ref="R107" si="88">DEC2HEX(SUM(HEX2DEC(L107), HEX2DEC(M107), HEX2DEC(P107), HEX2DEC(Q107)))</f>
        <v>87</v>
      </c>
      <c r="S107" s="88" t="str">
        <f t="shared" ref="S107" si="89">RIGHT(R107,2)</f>
        <v>87</v>
      </c>
      <c r="T107" s="88" t="str">
        <f t="shared" ref="T107" si="90">"FF00"&amp;K107&amp;""&amp;P107&amp;Q107&amp;S107</f>
        <v>FF002302006287</v>
      </c>
    </row>
    <row r="108" spans="2:20" s="2" customFormat="1">
      <c r="B108" s="88" t="s">
        <v>1021</v>
      </c>
      <c r="C108" s="88" t="str">
        <f t="shared" si="72"/>
        <v>FF002302006489</v>
      </c>
      <c r="D108" s="88" t="s">
        <v>1020</v>
      </c>
      <c r="E108" s="88" t="s">
        <v>889</v>
      </c>
      <c r="F108" s="88" t="s">
        <v>862</v>
      </c>
      <c r="G108" s="88"/>
      <c r="H108" s="89">
        <v>98</v>
      </c>
      <c r="I108" s="91"/>
      <c r="J108" s="88" t="s">
        <v>865</v>
      </c>
      <c r="K108" s="88" t="str">
        <f t="shared" si="64"/>
        <v>2302</v>
      </c>
      <c r="L108" s="88" t="str">
        <f t="shared" si="65"/>
        <v>23</v>
      </c>
      <c r="M108" s="88" t="str">
        <f t="shared" si="66"/>
        <v>02</v>
      </c>
      <c r="N108" s="88">
        <v>100</v>
      </c>
      <c r="O108" s="88" t="str">
        <f>REPT("0", 4 - LEN(DEC2HEX(N108))) &amp; DEC2HEX(N108)</f>
        <v>0064</v>
      </c>
      <c r="P108" s="88" t="str">
        <f t="shared" si="67"/>
        <v>00</v>
      </c>
      <c r="Q108" s="88" t="str">
        <f t="shared" si="68"/>
        <v>64</v>
      </c>
      <c r="R108" s="88" t="str">
        <f t="shared" si="69"/>
        <v>89</v>
      </c>
      <c r="S108" s="88" t="str">
        <f t="shared" si="70"/>
        <v>89</v>
      </c>
      <c r="T108" s="88" t="str">
        <f t="shared" si="71"/>
        <v>FF002302006489</v>
      </c>
    </row>
    <row r="109" spans="2:20" s="2" customFormat="1" ht="94.5">
      <c r="B109" s="88" t="s">
        <v>1022</v>
      </c>
      <c r="C109" s="88" t="str">
        <f t="shared" si="72"/>
        <v>FF002304000027</v>
      </c>
      <c r="D109" s="88" t="s">
        <v>1023</v>
      </c>
      <c r="E109" s="88" t="s">
        <v>889</v>
      </c>
      <c r="F109" s="88" t="s">
        <v>862</v>
      </c>
      <c r="G109" s="88" t="s">
        <v>1024</v>
      </c>
      <c r="H109" s="89">
        <v>1</v>
      </c>
      <c r="I109" s="91"/>
      <c r="J109" s="88" t="s">
        <v>865</v>
      </c>
      <c r="K109" s="88" t="str">
        <f t="shared" si="64"/>
        <v>2304</v>
      </c>
      <c r="L109" s="88" t="str">
        <f t="shared" si="65"/>
        <v>23</v>
      </c>
      <c r="M109" s="88" t="str">
        <f t="shared" si="66"/>
        <v>04</v>
      </c>
      <c r="N109" s="88"/>
      <c r="O109" s="90" t="s">
        <v>866</v>
      </c>
      <c r="P109" s="88" t="str">
        <f t="shared" si="67"/>
        <v>00</v>
      </c>
      <c r="Q109" s="88" t="str">
        <f t="shared" si="68"/>
        <v>00</v>
      </c>
      <c r="R109" s="88" t="str">
        <f t="shared" si="69"/>
        <v>27</v>
      </c>
      <c r="S109" s="88" t="str">
        <f t="shared" si="70"/>
        <v>27</v>
      </c>
      <c r="T109" s="88" t="str">
        <f t="shared" si="71"/>
        <v>FF002304000027</v>
      </c>
    </row>
    <row r="110" spans="2:20" s="2" customFormat="1">
      <c r="B110" s="88" t="s">
        <v>1025</v>
      </c>
      <c r="C110" s="88" t="str">
        <f t="shared" si="72"/>
        <v>FF002304000128</v>
      </c>
      <c r="D110" s="88" t="s">
        <v>1023</v>
      </c>
      <c r="E110" s="88" t="s">
        <v>889</v>
      </c>
      <c r="F110" s="88" t="s">
        <v>862</v>
      </c>
      <c r="G110" s="88" t="s">
        <v>973</v>
      </c>
      <c r="H110" s="89">
        <v>1</v>
      </c>
      <c r="I110" s="91"/>
      <c r="J110" s="88" t="s">
        <v>865</v>
      </c>
      <c r="K110" s="88" t="str">
        <f t="shared" si="64"/>
        <v>2304</v>
      </c>
      <c r="L110" s="88" t="str">
        <f t="shared" si="65"/>
        <v>23</v>
      </c>
      <c r="M110" s="88" t="str">
        <f t="shared" si="66"/>
        <v>04</v>
      </c>
      <c r="N110" s="88"/>
      <c r="O110" s="90" t="s">
        <v>868</v>
      </c>
      <c r="P110" s="88" t="str">
        <f t="shared" si="67"/>
        <v>00</v>
      </c>
      <c r="Q110" s="88" t="str">
        <f t="shared" si="68"/>
        <v>01</v>
      </c>
      <c r="R110" s="88" t="str">
        <f t="shared" si="69"/>
        <v>28</v>
      </c>
      <c r="S110" s="88" t="str">
        <f t="shared" si="70"/>
        <v>28</v>
      </c>
      <c r="T110" s="88" t="str">
        <f t="shared" si="71"/>
        <v>FF002304000128</v>
      </c>
    </row>
    <row r="111" spans="2:20" s="2" customFormat="1">
      <c r="B111" s="88" t="s">
        <v>1026</v>
      </c>
      <c r="C111" s="88" t="str">
        <f t="shared" si="72"/>
        <v>FF002310000033</v>
      </c>
      <c r="D111" s="88" t="s">
        <v>1027</v>
      </c>
      <c r="E111" s="88" t="s">
        <v>889</v>
      </c>
      <c r="F111" s="88" t="s">
        <v>862</v>
      </c>
      <c r="G111" s="88"/>
      <c r="H111" s="89">
        <v>0</v>
      </c>
      <c r="I111" s="91"/>
      <c r="J111" s="88" t="s">
        <v>865</v>
      </c>
      <c r="K111" s="88" t="str">
        <f t="shared" si="64"/>
        <v>2310</v>
      </c>
      <c r="L111" s="88" t="str">
        <f t="shared" si="65"/>
        <v>23</v>
      </c>
      <c r="M111" s="88" t="str">
        <f t="shared" si="66"/>
        <v>10</v>
      </c>
      <c r="N111" s="88"/>
      <c r="O111" s="90" t="s">
        <v>866</v>
      </c>
      <c r="P111" s="88" t="str">
        <f t="shared" si="67"/>
        <v>00</v>
      </c>
      <c r="Q111" s="88" t="str">
        <f t="shared" si="68"/>
        <v>00</v>
      </c>
      <c r="R111" s="88" t="str">
        <f t="shared" si="69"/>
        <v>33</v>
      </c>
      <c r="S111" s="88" t="str">
        <f t="shared" si="70"/>
        <v>33</v>
      </c>
      <c r="T111" s="88" t="str">
        <f t="shared" si="71"/>
        <v>FF002310000033</v>
      </c>
    </row>
    <row r="112" spans="2:20" s="2" customFormat="1">
      <c r="B112" s="88" t="s">
        <v>1028</v>
      </c>
      <c r="C112" s="88" t="str">
        <f t="shared" si="72"/>
        <v>FF002310000134</v>
      </c>
      <c r="D112" s="88" t="s">
        <v>1027</v>
      </c>
      <c r="E112" s="88" t="s">
        <v>889</v>
      </c>
      <c r="F112" s="88" t="s">
        <v>862</v>
      </c>
      <c r="G112" s="88"/>
      <c r="H112" s="89">
        <v>0</v>
      </c>
      <c r="I112" s="91"/>
      <c r="J112" s="88" t="s">
        <v>865</v>
      </c>
      <c r="K112" s="88" t="str">
        <f t="shared" si="64"/>
        <v>2310</v>
      </c>
      <c r="L112" s="88" t="str">
        <f t="shared" si="65"/>
        <v>23</v>
      </c>
      <c r="M112" s="88" t="str">
        <f t="shared" si="66"/>
        <v>10</v>
      </c>
      <c r="N112" s="88"/>
      <c r="O112" s="90" t="s">
        <v>868</v>
      </c>
      <c r="P112" s="88" t="str">
        <f t="shared" si="67"/>
        <v>00</v>
      </c>
      <c r="Q112" s="88" t="str">
        <f t="shared" si="68"/>
        <v>01</v>
      </c>
      <c r="R112" s="88" t="str">
        <f t="shared" si="69"/>
        <v>34</v>
      </c>
      <c r="S112" s="88" t="str">
        <f t="shared" si="70"/>
        <v>34</v>
      </c>
      <c r="T112" s="88" t="str">
        <f t="shared" si="71"/>
        <v>FF002310000134</v>
      </c>
    </row>
    <row r="113" spans="2:20" s="2" customFormat="1">
      <c r="B113" s="88" t="s">
        <v>1029</v>
      </c>
      <c r="C113" s="88" t="str">
        <f t="shared" si="72"/>
        <v>FF002310000033</v>
      </c>
      <c r="D113" s="88" t="s">
        <v>1027</v>
      </c>
      <c r="E113" s="88" t="s">
        <v>889</v>
      </c>
      <c r="F113" s="88" t="s">
        <v>862</v>
      </c>
      <c r="G113" s="88"/>
      <c r="H113" s="89">
        <v>0</v>
      </c>
      <c r="I113" s="91"/>
      <c r="J113" s="88" t="s">
        <v>865</v>
      </c>
      <c r="K113" s="88" t="str">
        <f t="shared" si="64"/>
        <v>2310</v>
      </c>
      <c r="L113" s="88" t="str">
        <f t="shared" si="65"/>
        <v>23</v>
      </c>
      <c r="M113" s="88" t="str">
        <f t="shared" si="66"/>
        <v>10</v>
      </c>
      <c r="N113" s="88"/>
      <c r="O113" s="90" t="s">
        <v>866</v>
      </c>
      <c r="P113" s="88" t="str">
        <f t="shared" si="67"/>
        <v>00</v>
      </c>
      <c r="Q113" s="88" t="str">
        <f t="shared" si="68"/>
        <v>00</v>
      </c>
      <c r="R113" s="88" t="str">
        <f t="shared" si="69"/>
        <v>33</v>
      </c>
      <c r="S113" s="88" t="str">
        <f t="shared" si="70"/>
        <v>33</v>
      </c>
      <c r="T113" s="88" t="str">
        <f t="shared" si="71"/>
        <v>FF002310000033</v>
      </c>
    </row>
    <row r="114" spans="2:20" s="2" customFormat="1">
      <c r="B114" s="88" t="s">
        <v>1030</v>
      </c>
      <c r="C114" s="88" t="str">
        <f t="shared" si="72"/>
        <v>FF002310001043</v>
      </c>
      <c r="D114" s="88" t="s">
        <v>1027</v>
      </c>
      <c r="E114" s="88" t="s">
        <v>889</v>
      </c>
      <c r="F114" s="88" t="s">
        <v>862</v>
      </c>
      <c r="G114" s="88"/>
      <c r="H114" s="89">
        <v>0</v>
      </c>
      <c r="I114" s="91"/>
      <c r="J114" s="88" t="s">
        <v>865</v>
      </c>
      <c r="K114" s="88" t="str">
        <f t="shared" si="64"/>
        <v>2310</v>
      </c>
      <c r="L114" s="88" t="str">
        <f t="shared" si="65"/>
        <v>23</v>
      </c>
      <c r="M114" s="88" t="str">
        <f t="shared" si="66"/>
        <v>10</v>
      </c>
      <c r="N114" s="88"/>
      <c r="O114" s="90" t="s">
        <v>1011</v>
      </c>
      <c r="P114" s="88" t="str">
        <f t="shared" si="67"/>
        <v>00</v>
      </c>
      <c r="Q114" s="88" t="str">
        <f t="shared" si="68"/>
        <v>10</v>
      </c>
      <c r="R114" s="88" t="str">
        <f t="shared" si="69"/>
        <v>43</v>
      </c>
      <c r="S114" s="88" t="str">
        <f t="shared" si="70"/>
        <v>43</v>
      </c>
      <c r="T114" s="88" t="str">
        <f t="shared" si="71"/>
        <v>FF002310001043</v>
      </c>
    </row>
    <row r="115" spans="2:20" s="2" customFormat="1">
      <c r="B115" s="88" t="s">
        <v>1031</v>
      </c>
      <c r="C115" s="88" t="str">
        <f t="shared" si="72"/>
        <v>FF002310000033</v>
      </c>
      <c r="D115" s="88" t="s">
        <v>1027</v>
      </c>
      <c r="E115" s="88" t="s">
        <v>889</v>
      </c>
      <c r="F115" s="88" t="s">
        <v>862</v>
      </c>
      <c r="G115" s="88"/>
      <c r="H115" s="89">
        <v>0</v>
      </c>
      <c r="I115" s="91"/>
      <c r="J115" s="88" t="s">
        <v>865</v>
      </c>
      <c r="K115" s="88" t="str">
        <f t="shared" si="64"/>
        <v>2310</v>
      </c>
      <c r="L115" s="88" t="str">
        <f t="shared" si="65"/>
        <v>23</v>
      </c>
      <c r="M115" s="88" t="str">
        <f t="shared" si="66"/>
        <v>10</v>
      </c>
      <c r="N115" s="88"/>
      <c r="O115" s="90" t="s">
        <v>866</v>
      </c>
      <c r="P115" s="88" t="str">
        <f t="shared" si="67"/>
        <v>00</v>
      </c>
      <c r="Q115" s="88" t="str">
        <f t="shared" si="68"/>
        <v>00</v>
      </c>
      <c r="R115" s="88" t="str">
        <f t="shared" si="69"/>
        <v>33</v>
      </c>
      <c r="S115" s="88" t="str">
        <f t="shared" si="70"/>
        <v>33</v>
      </c>
      <c r="T115" s="88" t="str">
        <f t="shared" si="71"/>
        <v>FF002310000033</v>
      </c>
    </row>
    <row r="116" spans="2:20" s="2" customFormat="1">
      <c r="B116" s="88" t="s">
        <v>1032</v>
      </c>
      <c r="C116" s="88" t="str">
        <f t="shared" si="72"/>
        <v>FF002310020035</v>
      </c>
      <c r="D116" s="88" t="s">
        <v>1027</v>
      </c>
      <c r="E116" s="88" t="s">
        <v>889</v>
      </c>
      <c r="F116" s="88" t="s">
        <v>862</v>
      </c>
      <c r="G116" s="88"/>
      <c r="H116" s="89">
        <v>0</v>
      </c>
      <c r="I116" s="91"/>
      <c r="J116" s="88" t="s">
        <v>865</v>
      </c>
      <c r="K116" s="88" t="str">
        <f t="shared" si="64"/>
        <v>2310</v>
      </c>
      <c r="L116" s="88" t="str">
        <f t="shared" si="65"/>
        <v>23</v>
      </c>
      <c r="M116" s="88" t="str">
        <f t="shared" si="66"/>
        <v>10</v>
      </c>
      <c r="N116" s="88"/>
      <c r="O116" s="90" t="s">
        <v>1487</v>
      </c>
      <c r="P116" s="88" t="str">
        <f t="shared" si="67"/>
        <v>02</v>
      </c>
      <c r="Q116" s="88" t="str">
        <f t="shared" si="68"/>
        <v>00</v>
      </c>
      <c r="R116" s="88" t="str">
        <f t="shared" si="69"/>
        <v>35</v>
      </c>
      <c r="S116" s="88" t="str">
        <f t="shared" si="70"/>
        <v>35</v>
      </c>
      <c r="T116" s="88" t="str">
        <f t="shared" si="71"/>
        <v>FF002310020035</v>
      </c>
    </row>
    <row r="117" spans="2:20" s="2" customFormat="1">
      <c r="B117" s="88" t="s">
        <v>1033</v>
      </c>
      <c r="C117" s="88" t="str">
        <f t="shared" si="72"/>
        <v>FF002311000034</v>
      </c>
      <c r="D117" s="88" t="s">
        <v>1034</v>
      </c>
      <c r="E117" s="88" t="s">
        <v>889</v>
      </c>
      <c r="F117" s="88" t="s">
        <v>862</v>
      </c>
      <c r="G117" s="88"/>
      <c r="H117" s="89">
        <v>0</v>
      </c>
      <c r="I117" s="91"/>
      <c r="J117" s="88" t="s">
        <v>865</v>
      </c>
      <c r="K117" s="88" t="str">
        <f t="shared" si="64"/>
        <v>2311</v>
      </c>
      <c r="L117" s="88" t="str">
        <f t="shared" si="65"/>
        <v>23</v>
      </c>
      <c r="M117" s="88" t="str">
        <f t="shared" si="66"/>
        <v>11</v>
      </c>
      <c r="N117" s="88"/>
      <c r="O117" s="90" t="s">
        <v>866</v>
      </c>
      <c r="P117" s="88" t="str">
        <f t="shared" si="67"/>
        <v>00</v>
      </c>
      <c r="Q117" s="88" t="str">
        <f t="shared" si="68"/>
        <v>00</v>
      </c>
      <c r="R117" s="88" t="str">
        <f t="shared" si="69"/>
        <v>34</v>
      </c>
      <c r="S117" s="88" t="str">
        <f t="shared" si="70"/>
        <v>34</v>
      </c>
      <c r="T117" s="88" t="str">
        <f t="shared" si="71"/>
        <v>FF002311000034</v>
      </c>
    </row>
    <row r="118" spans="2:20" s="2" customFormat="1">
      <c r="B118" s="88" t="s">
        <v>1035</v>
      </c>
      <c r="C118" s="88" t="str">
        <f t="shared" si="72"/>
        <v>FF002311000135</v>
      </c>
      <c r="D118" s="88" t="s">
        <v>1034</v>
      </c>
      <c r="E118" s="88" t="s">
        <v>889</v>
      </c>
      <c r="F118" s="88" t="s">
        <v>862</v>
      </c>
      <c r="G118" s="88"/>
      <c r="H118" s="89">
        <v>0</v>
      </c>
      <c r="I118" s="91"/>
      <c r="J118" s="88" t="s">
        <v>865</v>
      </c>
      <c r="K118" s="88" t="str">
        <f t="shared" si="64"/>
        <v>2311</v>
      </c>
      <c r="L118" s="88" t="str">
        <f t="shared" si="65"/>
        <v>23</v>
      </c>
      <c r="M118" s="88" t="str">
        <f t="shared" si="66"/>
        <v>11</v>
      </c>
      <c r="N118" s="88"/>
      <c r="O118" s="90" t="s">
        <v>868</v>
      </c>
      <c r="P118" s="88" t="str">
        <f t="shared" si="67"/>
        <v>00</v>
      </c>
      <c r="Q118" s="88" t="str">
        <f t="shared" si="68"/>
        <v>01</v>
      </c>
      <c r="R118" s="88" t="str">
        <f t="shared" si="69"/>
        <v>35</v>
      </c>
      <c r="S118" s="88" t="str">
        <f t="shared" si="70"/>
        <v>35</v>
      </c>
      <c r="T118" s="88" t="str">
        <f t="shared" si="71"/>
        <v>FF002311000135</v>
      </c>
    </row>
    <row r="119" spans="2:20" s="2" customFormat="1">
      <c r="B119" s="88" t="s">
        <v>1036</v>
      </c>
      <c r="C119" s="88" t="str">
        <f t="shared" si="72"/>
        <v>FF002311000034</v>
      </c>
      <c r="D119" s="88" t="s">
        <v>1034</v>
      </c>
      <c r="E119" s="88" t="s">
        <v>889</v>
      </c>
      <c r="F119" s="88" t="s">
        <v>862</v>
      </c>
      <c r="G119" s="88"/>
      <c r="H119" s="89">
        <v>0</v>
      </c>
      <c r="I119" s="91"/>
      <c r="J119" s="88" t="s">
        <v>865</v>
      </c>
      <c r="K119" s="88" t="str">
        <f t="shared" si="64"/>
        <v>2311</v>
      </c>
      <c r="L119" s="88" t="str">
        <f t="shared" si="65"/>
        <v>23</v>
      </c>
      <c r="M119" s="88" t="str">
        <f t="shared" si="66"/>
        <v>11</v>
      </c>
      <c r="N119" s="88"/>
      <c r="O119" s="90" t="s">
        <v>866</v>
      </c>
      <c r="P119" s="88" t="str">
        <f t="shared" si="67"/>
        <v>00</v>
      </c>
      <c r="Q119" s="88" t="str">
        <f t="shared" si="68"/>
        <v>00</v>
      </c>
      <c r="R119" s="88" t="str">
        <f t="shared" si="69"/>
        <v>34</v>
      </c>
      <c r="S119" s="88" t="str">
        <f t="shared" si="70"/>
        <v>34</v>
      </c>
      <c r="T119" s="88" t="str">
        <f t="shared" si="71"/>
        <v>FF002311000034</v>
      </c>
    </row>
    <row r="120" spans="2:20" s="2" customFormat="1">
      <c r="B120" s="88" t="s">
        <v>1488</v>
      </c>
      <c r="C120" s="88" t="str">
        <f t="shared" si="72"/>
        <v>FF002311000236</v>
      </c>
      <c r="D120" s="88" t="s">
        <v>1034</v>
      </c>
      <c r="E120" s="88" t="s">
        <v>889</v>
      </c>
      <c r="F120" s="88" t="s">
        <v>862</v>
      </c>
      <c r="G120" s="88"/>
      <c r="H120" s="89">
        <v>0</v>
      </c>
      <c r="I120" s="91"/>
      <c r="J120" s="88" t="s">
        <v>865</v>
      </c>
      <c r="K120" s="88" t="str">
        <f t="shared" si="64"/>
        <v>2311</v>
      </c>
      <c r="L120" s="88" t="str">
        <f t="shared" si="65"/>
        <v>23</v>
      </c>
      <c r="M120" s="88" t="str">
        <f t="shared" si="66"/>
        <v>11</v>
      </c>
      <c r="N120" s="88"/>
      <c r="O120" s="90" t="s">
        <v>893</v>
      </c>
      <c r="P120" s="88" t="str">
        <f t="shared" si="67"/>
        <v>00</v>
      </c>
      <c r="Q120" s="88" t="str">
        <f t="shared" si="68"/>
        <v>02</v>
      </c>
      <c r="R120" s="88" t="str">
        <f t="shared" si="69"/>
        <v>36</v>
      </c>
      <c r="S120" s="88" t="str">
        <f t="shared" si="70"/>
        <v>36</v>
      </c>
      <c r="T120" s="88" t="str">
        <f t="shared" si="71"/>
        <v>FF002311000236</v>
      </c>
    </row>
    <row r="121" spans="2:20" s="2" customFormat="1">
      <c r="B121" s="88" t="s">
        <v>1489</v>
      </c>
      <c r="C121" s="88" t="str">
        <f t="shared" si="72"/>
        <v>FF002311000034</v>
      </c>
      <c r="D121" s="88" t="s">
        <v>1034</v>
      </c>
      <c r="E121" s="88" t="s">
        <v>889</v>
      </c>
      <c r="F121" s="88" t="s">
        <v>862</v>
      </c>
      <c r="G121" s="88"/>
      <c r="H121" s="89">
        <v>0</v>
      </c>
      <c r="I121" s="91"/>
      <c r="J121" s="88" t="s">
        <v>865</v>
      </c>
      <c r="K121" s="88" t="str">
        <f t="shared" si="64"/>
        <v>2311</v>
      </c>
      <c r="L121" s="88" t="str">
        <f t="shared" si="65"/>
        <v>23</v>
      </c>
      <c r="M121" s="88" t="str">
        <f t="shared" si="66"/>
        <v>11</v>
      </c>
      <c r="N121" s="88"/>
      <c r="O121" s="90" t="s">
        <v>866</v>
      </c>
      <c r="P121" s="88" t="str">
        <f t="shared" si="67"/>
        <v>00</v>
      </c>
      <c r="Q121" s="88" t="str">
        <f t="shared" si="68"/>
        <v>00</v>
      </c>
      <c r="R121" s="88" t="str">
        <f t="shared" si="69"/>
        <v>34</v>
      </c>
      <c r="S121" s="88" t="str">
        <f t="shared" si="70"/>
        <v>34</v>
      </c>
      <c r="T121" s="88" t="str">
        <f t="shared" si="71"/>
        <v>FF002311000034</v>
      </c>
    </row>
    <row r="122" spans="2:20" s="2" customFormat="1">
      <c r="B122" s="88" t="s">
        <v>1037</v>
      </c>
      <c r="C122" s="88" t="str">
        <f t="shared" si="72"/>
        <v>FF002311000438</v>
      </c>
      <c r="D122" s="88" t="s">
        <v>1034</v>
      </c>
      <c r="E122" s="88" t="s">
        <v>889</v>
      </c>
      <c r="F122" s="88" t="s">
        <v>862</v>
      </c>
      <c r="G122" s="88"/>
      <c r="H122" s="89">
        <v>0</v>
      </c>
      <c r="I122" s="91"/>
      <c r="J122" s="88" t="s">
        <v>865</v>
      </c>
      <c r="K122" s="88" t="str">
        <f t="shared" si="64"/>
        <v>2311</v>
      </c>
      <c r="L122" s="88" t="str">
        <f t="shared" si="65"/>
        <v>23</v>
      </c>
      <c r="M122" s="88" t="str">
        <f t="shared" si="66"/>
        <v>11</v>
      </c>
      <c r="N122" s="88"/>
      <c r="O122" s="90" t="s">
        <v>967</v>
      </c>
      <c r="P122" s="88" t="str">
        <f t="shared" si="67"/>
        <v>00</v>
      </c>
      <c r="Q122" s="88" t="str">
        <f t="shared" si="68"/>
        <v>04</v>
      </c>
      <c r="R122" s="88" t="str">
        <f t="shared" si="69"/>
        <v>38</v>
      </c>
      <c r="S122" s="88" t="str">
        <f t="shared" si="70"/>
        <v>38</v>
      </c>
      <c r="T122" s="88" t="str">
        <f t="shared" si="71"/>
        <v>FF002311000438</v>
      </c>
    </row>
    <row r="123" spans="2:20" s="2" customFormat="1">
      <c r="B123" s="88" t="s">
        <v>1038</v>
      </c>
      <c r="C123" s="88" t="str">
        <f t="shared" si="72"/>
        <v>FF002320000A4D</v>
      </c>
      <c r="D123" s="88" t="s">
        <v>1039</v>
      </c>
      <c r="E123" s="88" t="s">
        <v>889</v>
      </c>
      <c r="F123" s="88" t="s">
        <v>862</v>
      </c>
      <c r="G123" s="88"/>
      <c r="H123" s="89">
        <v>0</v>
      </c>
      <c r="I123" s="91"/>
      <c r="J123" s="88" t="s">
        <v>865</v>
      </c>
      <c r="K123" s="88" t="str">
        <f t="shared" ref="K123:K156" si="91" xml:space="preserve"> SUBSTITUTE(D123, "0x","")</f>
        <v>2320</v>
      </c>
      <c r="L123" s="88" t="str">
        <f t="shared" ref="L123:L156" si="92">LEFT(K123,2)</f>
        <v>23</v>
      </c>
      <c r="M123" s="88" t="str">
        <f t="shared" ref="M123:M156" si="93">RIGHT(K123,2)</f>
        <v>20</v>
      </c>
      <c r="N123" s="88">
        <v>10</v>
      </c>
      <c r="O123" s="88" t="str">
        <f t="shared" ref="O123:O126" si="94">REPT("0", 4 - LEN(DEC2HEX(N123))) &amp; DEC2HEX(N123)</f>
        <v>000A</v>
      </c>
      <c r="P123" s="88" t="str">
        <f t="shared" si="67"/>
        <v>00</v>
      </c>
      <c r="Q123" s="88" t="str">
        <f t="shared" si="68"/>
        <v>0A</v>
      </c>
      <c r="R123" s="88" t="str">
        <f t="shared" si="69"/>
        <v>4D</v>
      </c>
      <c r="S123" s="88" t="str">
        <f t="shared" si="70"/>
        <v>4D</v>
      </c>
      <c r="T123" s="88" t="str">
        <f t="shared" si="71"/>
        <v>FF002320000A4D</v>
      </c>
    </row>
    <row r="124" spans="2:20" s="2" customFormat="1">
      <c r="B124" s="88" t="s">
        <v>1040</v>
      </c>
      <c r="C124" s="88" t="str">
        <f t="shared" si="72"/>
        <v>FF002321000A4E</v>
      </c>
      <c r="D124" s="88" t="s">
        <v>1041</v>
      </c>
      <c r="E124" s="88" t="s">
        <v>889</v>
      </c>
      <c r="F124" s="88" t="s">
        <v>862</v>
      </c>
      <c r="G124" s="88"/>
      <c r="H124" s="89">
        <v>0</v>
      </c>
      <c r="I124" s="91"/>
      <c r="J124" s="88" t="s">
        <v>865</v>
      </c>
      <c r="K124" s="88" t="str">
        <f t="shared" si="91"/>
        <v>2321</v>
      </c>
      <c r="L124" s="88" t="str">
        <f t="shared" si="92"/>
        <v>23</v>
      </c>
      <c r="M124" s="88" t="str">
        <f t="shared" si="93"/>
        <v>21</v>
      </c>
      <c r="N124" s="88">
        <v>10</v>
      </c>
      <c r="O124" s="88" t="str">
        <f t="shared" si="94"/>
        <v>000A</v>
      </c>
      <c r="P124" s="88" t="str">
        <f t="shared" si="67"/>
        <v>00</v>
      </c>
      <c r="Q124" s="88" t="str">
        <f t="shared" si="68"/>
        <v>0A</v>
      </c>
      <c r="R124" s="88" t="str">
        <f t="shared" si="69"/>
        <v>4E</v>
      </c>
      <c r="S124" s="88" t="str">
        <f t="shared" si="70"/>
        <v>4E</v>
      </c>
      <c r="T124" s="88" t="str">
        <f t="shared" si="71"/>
        <v>FF002321000A4E</v>
      </c>
    </row>
    <row r="125" spans="2:20" s="2" customFormat="1">
      <c r="B125" s="88" t="s">
        <v>1042</v>
      </c>
      <c r="C125" s="88" t="str">
        <f t="shared" si="72"/>
        <v>FF0023220275BC</v>
      </c>
      <c r="D125" s="88" t="s">
        <v>1043</v>
      </c>
      <c r="E125" s="88" t="s">
        <v>889</v>
      </c>
      <c r="F125" s="88" t="s">
        <v>862</v>
      </c>
      <c r="G125" s="88"/>
      <c r="H125" s="89">
        <v>0</v>
      </c>
      <c r="I125" s="91"/>
      <c r="J125" s="88" t="s">
        <v>865</v>
      </c>
      <c r="K125" s="88" t="str">
        <f t="shared" si="91"/>
        <v>2322</v>
      </c>
      <c r="L125" s="88" t="str">
        <f t="shared" si="92"/>
        <v>23</v>
      </c>
      <c r="M125" s="88" t="str">
        <f t="shared" si="93"/>
        <v>22</v>
      </c>
      <c r="N125" s="88">
        <v>629</v>
      </c>
      <c r="O125" s="88" t="str">
        <f t="shared" si="94"/>
        <v>0275</v>
      </c>
      <c r="P125" s="88" t="str">
        <f t="shared" ref="P125:P156" si="95">LEFT(O125, 2)</f>
        <v>02</v>
      </c>
      <c r="Q125" s="88" t="str">
        <f t="shared" ref="Q125:Q156" si="96">RIGHT(O125, 2)</f>
        <v>75</v>
      </c>
      <c r="R125" s="88" t="str">
        <f t="shared" ref="R125:R156" si="97">DEC2HEX(SUM(HEX2DEC(L125), HEX2DEC(M125), HEX2DEC(P125), HEX2DEC(Q125)))</f>
        <v>BC</v>
      </c>
      <c r="S125" s="88" t="str">
        <f t="shared" ref="S125:S156" si="98">RIGHT(R125,2)</f>
        <v>BC</v>
      </c>
      <c r="T125" s="88" t="str">
        <f t="shared" ref="T125:T156" si="99">"FF00"&amp;K125&amp;""&amp;P125&amp;Q125&amp;S125</f>
        <v>FF0023220275BC</v>
      </c>
    </row>
    <row r="126" spans="2:20" s="2" customFormat="1">
      <c r="B126" s="88" t="s">
        <v>1044</v>
      </c>
      <c r="C126" s="88" t="str">
        <f t="shared" si="72"/>
        <v>FF00232301D51C</v>
      </c>
      <c r="D126" s="88" t="s">
        <v>1045</v>
      </c>
      <c r="E126" s="88" t="s">
        <v>889</v>
      </c>
      <c r="F126" s="88" t="s">
        <v>862</v>
      </c>
      <c r="G126" s="88"/>
      <c r="H126" s="89">
        <v>0</v>
      </c>
      <c r="I126" s="91"/>
      <c r="J126" s="88" t="s">
        <v>865</v>
      </c>
      <c r="K126" s="88" t="str">
        <f t="shared" si="91"/>
        <v>2323</v>
      </c>
      <c r="L126" s="88" t="str">
        <f t="shared" si="92"/>
        <v>23</v>
      </c>
      <c r="M126" s="88" t="str">
        <f t="shared" si="93"/>
        <v>23</v>
      </c>
      <c r="N126" s="88">
        <v>469</v>
      </c>
      <c r="O126" s="88" t="str">
        <f t="shared" si="94"/>
        <v>01D5</v>
      </c>
      <c r="P126" s="88" t="str">
        <f t="shared" si="95"/>
        <v>01</v>
      </c>
      <c r="Q126" s="88" t="str">
        <f t="shared" si="96"/>
        <v>D5</v>
      </c>
      <c r="R126" s="88" t="str">
        <f t="shared" si="97"/>
        <v>11C</v>
      </c>
      <c r="S126" s="88" t="str">
        <f t="shared" si="98"/>
        <v>1C</v>
      </c>
      <c r="T126" s="88" t="str">
        <f t="shared" si="99"/>
        <v>FF00232301D51C</v>
      </c>
    </row>
    <row r="127" spans="2:20" s="2" customFormat="1" ht="27">
      <c r="B127" s="88" t="s">
        <v>1046</v>
      </c>
      <c r="C127" s="88" t="str">
        <f t="shared" si="72"/>
        <v>FF0023248001C8</v>
      </c>
      <c r="D127" s="88" t="s">
        <v>1047</v>
      </c>
      <c r="E127" s="88" t="s">
        <v>889</v>
      </c>
      <c r="F127" s="88" t="s">
        <v>862</v>
      </c>
      <c r="G127" s="88"/>
      <c r="H127" s="89">
        <v>3500</v>
      </c>
      <c r="I127" s="91"/>
      <c r="J127" s="88" t="s">
        <v>865</v>
      </c>
      <c r="K127" s="88" t="str">
        <f t="shared" si="91"/>
        <v>2324</v>
      </c>
      <c r="L127" s="88" t="str">
        <f t="shared" si="92"/>
        <v>23</v>
      </c>
      <c r="M127" s="88" t="str">
        <f t="shared" si="93"/>
        <v>24</v>
      </c>
      <c r="N127" s="88">
        <v>-32767</v>
      </c>
      <c r="O127" s="88" t="str">
        <f>TEXT(DEC2HEX(65536 + N127), "0000")</f>
        <v>8001</v>
      </c>
      <c r="P127" s="88" t="str">
        <f t="shared" si="95"/>
        <v>80</v>
      </c>
      <c r="Q127" s="88" t="str">
        <f t="shared" si="96"/>
        <v>01</v>
      </c>
      <c r="R127" s="88" t="str">
        <f t="shared" si="97"/>
        <v>C8</v>
      </c>
      <c r="S127" s="88" t="str">
        <f t="shared" si="98"/>
        <v>C8</v>
      </c>
      <c r="T127" s="88" t="str">
        <f t="shared" si="99"/>
        <v>FF0023248001C8</v>
      </c>
    </row>
    <row r="128" spans="2:20" s="2" customFormat="1" ht="27">
      <c r="B128" s="88" t="s">
        <v>1048</v>
      </c>
      <c r="C128" s="88" t="str">
        <f t="shared" si="72"/>
        <v>FF0023247FFFC5</v>
      </c>
      <c r="D128" s="88" t="s">
        <v>1047</v>
      </c>
      <c r="E128" s="88" t="s">
        <v>889</v>
      </c>
      <c r="F128" s="88" t="s">
        <v>862</v>
      </c>
      <c r="G128" s="88"/>
      <c r="H128" s="89">
        <v>3500</v>
      </c>
      <c r="I128" s="91"/>
      <c r="J128" s="88" t="s">
        <v>865</v>
      </c>
      <c r="K128" s="88" t="str">
        <f t="shared" si="91"/>
        <v>2324</v>
      </c>
      <c r="L128" s="88" t="str">
        <f t="shared" si="92"/>
        <v>23</v>
      </c>
      <c r="M128" s="88" t="str">
        <f t="shared" si="93"/>
        <v>24</v>
      </c>
      <c r="N128" s="88">
        <v>32767</v>
      </c>
      <c r="O128" s="88" t="str">
        <f>REPT("0", 4 - LEN(DEC2HEX(N128))) &amp; DEC2HEX(N128)</f>
        <v>7FFF</v>
      </c>
      <c r="P128" s="88" t="str">
        <f t="shared" si="95"/>
        <v>7F</v>
      </c>
      <c r="Q128" s="88" t="str">
        <f t="shared" si="96"/>
        <v>FF</v>
      </c>
      <c r="R128" s="88" t="str">
        <f t="shared" si="97"/>
        <v>1C5</v>
      </c>
      <c r="S128" s="88" t="str">
        <f t="shared" si="98"/>
        <v>C5</v>
      </c>
      <c r="T128" s="88" t="str">
        <f t="shared" si="99"/>
        <v>FF0023247FFFC5</v>
      </c>
    </row>
    <row r="129" spans="2:20" s="2" customFormat="1">
      <c r="B129" s="88" t="s">
        <v>1049</v>
      </c>
      <c r="C129" s="88" t="str">
        <f t="shared" si="72"/>
        <v>FF002325000048</v>
      </c>
      <c r="D129" s="88" t="s">
        <v>1050</v>
      </c>
      <c r="E129" s="88" t="s">
        <v>889</v>
      </c>
      <c r="F129" s="88" t="s">
        <v>862</v>
      </c>
      <c r="G129" s="88"/>
      <c r="H129" s="89">
        <v>1</v>
      </c>
      <c r="I129" s="91"/>
      <c r="J129" s="88" t="s">
        <v>865</v>
      </c>
      <c r="K129" s="88" t="str">
        <f t="shared" si="91"/>
        <v>2325</v>
      </c>
      <c r="L129" s="88" t="str">
        <f t="shared" si="92"/>
        <v>23</v>
      </c>
      <c r="M129" s="88" t="str">
        <f t="shared" si="93"/>
        <v>25</v>
      </c>
      <c r="N129" s="88"/>
      <c r="O129" s="90" t="s">
        <v>866</v>
      </c>
      <c r="P129" s="88" t="str">
        <f t="shared" si="95"/>
        <v>00</v>
      </c>
      <c r="Q129" s="88" t="str">
        <f t="shared" si="96"/>
        <v>00</v>
      </c>
      <c r="R129" s="88" t="str">
        <f t="shared" si="97"/>
        <v>48</v>
      </c>
      <c r="S129" s="88" t="str">
        <f t="shared" si="98"/>
        <v>48</v>
      </c>
      <c r="T129" s="88" t="str">
        <f t="shared" si="99"/>
        <v>FF002325000048</v>
      </c>
    </row>
    <row r="130" spans="2:20" s="2" customFormat="1">
      <c r="B130" s="88" t="s">
        <v>1051</v>
      </c>
      <c r="C130" s="88" t="str">
        <f t="shared" si="72"/>
        <v>FF002325000149</v>
      </c>
      <c r="D130" s="88" t="s">
        <v>1050</v>
      </c>
      <c r="E130" s="88" t="s">
        <v>889</v>
      </c>
      <c r="F130" s="88" t="s">
        <v>862</v>
      </c>
      <c r="G130" s="88"/>
      <c r="H130" s="89">
        <v>1</v>
      </c>
      <c r="I130" s="91"/>
      <c r="J130" s="88" t="s">
        <v>865</v>
      </c>
      <c r="K130" s="88" t="str">
        <f t="shared" si="91"/>
        <v>2325</v>
      </c>
      <c r="L130" s="88" t="str">
        <f t="shared" si="92"/>
        <v>23</v>
      </c>
      <c r="M130" s="88" t="str">
        <f t="shared" si="93"/>
        <v>25</v>
      </c>
      <c r="N130" s="88"/>
      <c r="O130" s="90" t="s">
        <v>868</v>
      </c>
      <c r="P130" s="88" t="str">
        <f t="shared" si="95"/>
        <v>00</v>
      </c>
      <c r="Q130" s="88" t="str">
        <f t="shared" si="96"/>
        <v>01</v>
      </c>
      <c r="R130" s="88" t="str">
        <f t="shared" si="97"/>
        <v>49</v>
      </c>
      <c r="S130" s="88" t="str">
        <f t="shared" si="98"/>
        <v>49</v>
      </c>
      <c r="T130" s="88" t="str">
        <f t="shared" si="99"/>
        <v>FF002325000149</v>
      </c>
    </row>
    <row r="131" spans="2:20" s="2" customFormat="1">
      <c r="B131" s="88" t="s">
        <v>1052</v>
      </c>
      <c r="C131" s="88" t="str">
        <f t="shared" si="72"/>
        <v>FF00232500024A</v>
      </c>
      <c r="D131" s="88" t="s">
        <v>1050</v>
      </c>
      <c r="E131" s="88" t="s">
        <v>889</v>
      </c>
      <c r="F131" s="88" t="s">
        <v>862</v>
      </c>
      <c r="G131" s="88"/>
      <c r="H131" s="89">
        <v>1</v>
      </c>
      <c r="I131" s="91"/>
      <c r="J131" s="88" t="s">
        <v>865</v>
      </c>
      <c r="K131" s="88" t="str">
        <f t="shared" si="91"/>
        <v>2325</v>
      </c>
      <c r="L131" s="88" t="str">
        <f t="shared" si="92"/>
        <v>23</v>
      </c>
      <c r="M131" s="88" t="str">
        <f t="shared" si="93"/>
        <v>25</v>
      </c>
      <c r="N131" s="88"/>
      <c r="O131" s="90" t="s">
        <v>893</v>
      </c>
      <c r="P131" s="88" t="str">
        <f t="shared" si="95"/>
        <v>00</v>
      </c>
      <c r="Q131" s="88" t="str">
        <f t="shared" si="96"/>
        <v>02</v>
      </c>
      <c r="R131" s="88" t="str">
        <f t="shared" si="97"/>
        <v>4A</v>
      </c>
      <c r="S131" s="88" t="str">
        <f t="shared" si="98"/>
        <v>4A</v>
      </c>
      <c r="T131" s="88" t="str">
        <f t="shared" si="99"/>
        <v>FF00232500024A</v>
      </c>
    </row>
    <row r="132" spans="2:20" s="2" customFormat="1">
      <c r="B132" s="88" t="s">
        <v>1053</v>
      </c>
      <c r="C132" s="88" t="str">
        <f t="shared" si="72"/>
        <v>FF002326000049</v>
      </c>
      <c r="D132" s="88" t="s">
        <v>1054</v>
      </c>
      <c r="E132" s="88" t="s">
        <v>889</v>
      </c>
      <c r="F132" s="88" t="s">
        <v>862</v>
      </c>
      <c r="G132" s="88"/>
      <c r="H132" s="89">
        <v>0</v>
      </c>
      <c r="I132" s="91"/>
      <c r="J132" s="88" t="s">
        <v>865</v>
      </c>
      <c r="K132" s="88" t="str">
        <f t="shared" si="91"/>
        <v>2326</v>
      </c>
      <c r="L132" s="88" t="str">
        <f t="shared" si="92"/>
        <v>23</v>
      </c>
      <c r="M132" s="88" t="str">
        <f t="shared" si="93"/>
        <v>26</v>
      </c>
      <c r="N132" s="88"/>
      <c r="O132" s="90" t="s">
        <v>866</v>
      </c>
      <c r="P132" s="88" t="str">
        <f t="shared" si="95"/>
        <v>00</v>
      </c>
      <c r="Q132" s="88" t="str">
        <f t="shared" si="96"/>
        <v>00</v>
      </c>
      <c r="R132" s="88" t="str">
        <f t="shared" si="97"/>
        <v>49</v>
      </c>
      <c r="S132" s="88" t="str">
        <f t="shared" si="98"/>
        <v>49</v>
      </c>
      <c r="T132" s="88" t="str">
        <f t="shared" si="99"/>
        <v>FF002326000049</v>
      </c>
    </row>
    <row r="133" spans="2:20" s="2" customFormat="1">
      <c r="B133" s="88" t="s">
        <v>1055</v>
      </c>
      <c r="C133" s="88" t="str">
        <f t="shared" si="72"/>
        <v>FF002326000A53</v>
      </c>
      <c r="D133" s="88" t="s">
        <v>1054</v>
      </c>
      <c r="E133" s="88" t="s">
        <v>889</v>
      </c>
      <c r="F133" s="88" t="s">
        <v>862</v>
      </c>
      <c r="G133" s="88"/>
      <c r="H133" s="89">
        <v>0</v>
      </c>
      <c r="I133" s="91"/>
      <c r="J133" s="88" t="s">
        <v>865</v>
      </c>
      <c r="K133" s="88" t="str">
        <f t="shared" si="91"/>
        <v>2326</v>
      </c>
      <c r="L133" s="88" t="str">
        <f t="shared" si="92"/>
        <v>23</v>
      </c>
      <c r="M133" s="88" t="str">
        <f t="shared" si="93"/>
        <v>26</v>
      </c>
      <c r="N133" s="88">
        <v>10</v>
      </c>
      <c r="O133" s="88" t="str">
        <f>REPT("0", 4 - LEN(DEC2HEX(N133))) &amp; DEC2HEX(N133)</f>
        <v>000A</v>
      </c>
      <c r="P133" s="88" t="str">
        <f t="shared" si="95"/>
        <v>00</v>
      </c>
      <c r="Q133" s="88" t="str">
        <f t="shared" si="96"/>
        <v>0A</v>
      </c>
      <c r="R133" s="88" t="str">
        <f t="shared" si="97"/>
        <v>53</v>
      </c>
      <c r="S133" s="88" t="str">
        <f t="shared" si="98"/>
        <v>53</v>
      </c>
      <c r="T133" s="88" t="str">
        <f t="shared" si="99"/>
        <v>FF002326000A53</v>
      </c>
    </row>
    <row r="134" spans="2:20" s="2" customFormat="1">
      <c r="B134" s="88" t="s">
        <v>1056</v>
      </c>
      <c r="C134" s="88" t="str">
        <f t="shared" si="72"/>
        <v>FF0023B0000ADD</v>
      </c>
      <c r="D134" s="88" t="s">
        <v>1057</v>
      </c>
      <c r="E134" s="88" t="s">
        <v>889</v>
      </c>
      <c r="F134" s="88" t="s">
        <v>862</v>
      </c>
      <c r="G134" s="88"/>
      <c r="H134" s="89">
        <v>0</v>
      </c>
      <c r="I134" s="91"/>
      <c r="J134" s="88" t="s">
        <v>865</v>
      </c>
      <c r="K134" s="88" t="str">
        <f t="shared" si="91"/>
        <v>23B0</v>
      </c>
      <c r="L134" s="88" t="str">
        <f t="shared" si="92"/>
        <v>23</v>
      </c>
      <c r="M134" s="88" t="str">
        <f t="shared" si="93"/>
        <v>B0</v>
      </c>
      <c r="N134" s="88">
        <v>10</v>
      </c>
      <c r="O134" s="88" t="str">
        <f t="shared" ref="O134:O137" si="100">REPT("0", 4 - LEN(DEC2HEX(N134))) &amp; DEC2HEX(N134)</f>
        <v>000A</v>
      </c>
      <c r="P134" s="88" t="str">
        <f t="shared" si="95"/>
        <v>00</v>
      </c>
      <c r="Q134" s="88" t="str">
        <f t="shared" si="96"/>
        <v>0A</v>
      </c>
      <c r="R134" s="88" t="str">
        <f t="shared" si="97"/>
        <v>DD</v>
      </c>
      <c r="S134" s="88" t="str">
        <f t="shared" si="98"/>
        <v>DD</v>
      </c>
      <c r="T134" s="88" t="str">
        <f t="shared" si="99"/>
        <v>FF0023B0000ADD</v>
      </c>
    </row>
    <row r="135" spans="2:20" s="2" customFormat="1">
      <c r="B135" s="88" t="s">
        <v>1058</v>
      </c>
      <c r="C135" s="88" t="str">
        <f t="shared" si="72"/>
        <v>FF0023B1000ADE</v>
      </c>
      <c r="D135" s="88" t="s">
        <v>1059</v>
      </c>
      <c r="E135" s="88" t="s">
        <v>889</v>
      </c>
      <c r="F135" s="88" t="s">
        <v>862</v>
      </c>
      <c r="G135" s="88"/>
      <c r="H135" s="89">
        <v>0</v>
      </c>
      <c r="I135" s="91"/>
      <c r="J135" s="88" t="s">
        <v>865</v>
      </c>
      <c r="K135" s="88" t="str">
        <f t="shared" si="91"/>
        <v>23B1</v>
      </c>
      <c r="L135" s="88" t="str">
        <f t="shared" si="92"/>
        <v>23</v>
      </c>
      <c r="M135" s="88" t="str">
        <f t="shared" si="93"/>
        <v>B1</v>
      </c>
      <c r="N135" s="88">
        <v>10</v>
      </c>
      <c r="O135" s="88" t="str">
        <f t="shared" si="100"/>
        <v>000A</v>
      </c>
      <c r="P135" s="88" t="str">
        <f t="shared" si="95"/>
        <v>00</v>
      </c>
      <c r="Q135" s="88" t="str">
        <f t="shared" si="96"/>
        <v>0A</v>
      </c>
      <c r="R135" s="88" t="str">
        <f t="shared" si="97"/>
        <v>DE</v>
      </c>
      <c r="S135" s="88" t="str">
        <f t="shared" si="98"/>
        <v>DE</v>
      </c>
      <c r="T135" s="88" t="str">
        <f t="shared" si="99"/>
        <v>FF0023B1000ADE</v>
      </c>
    </row>
    <row r="136" spans="2:20" s="2" customFormat="1">
      <c r="B136" s="88" t="s">
        <v>1060</v>
      </c>
      <c r="C136" s="88" t="str">
        <f t="shared" si="72"/>
        <v>FF0023B202754C</v>
      </c>
      <c r="D136" s="88" t="s">
        <v>1061</v>
      </c>
      <c r="E136" s="88" t="s">
        <v>889</v>
      </c>
      <c r="F136" s="88" t="s">
        <v>862</v>
      </c>
      <c r="G136" s="88"/>
      <c r="H136" s="89">
        <v>0</v>
      </c>
      <c r="I136" s="91"/>
      <c r="J136" s="88" t="s">
        <v>865</v>
      </c>
      <c r="K136" s="88" t="str">
        <f t="shared" si="91"/>
        <v>23B2</v>
      </c>
      <c r="L136" s="88" t="str">
        <f t="shared" si="92"/>
        <v>23</v>
      </c>
      <c r="M136" s="88" t="str">
        <f t="shared" si="93"/>
        <v>B2</v>
      </c>
      <c r="N136" s="88">
        <v>629</v>
      </c>
      <c r="O136" s="88" t="str">
        <f t="shared" si="100"/>
        <v>0275</v>
      </c>
      <c r="P136" s="88" t="str">
        <f t="shared" si="95"/>
        <v>02</v>
      </c>
      <c r="Q136" s="88" t="str">
        <f t="shared" si="96"/>
        <v>75</v>
      </c>
      <c r="R136" s="88" t="str">
        <f t="shared" si="97"/>
        <v>14C</v>
      </c>
      <c r="S136" s="88" t="str">
        <f t="shared" si="98"/>
        <v>4C</v>
      </c>
      <c r="T136" s="88" t="str">
        <f t="shared" si="99"/>
        <v>FF0023B202754C</v>
      </c>
    </row>
    <row r="137" spans="2:20" s="2" customFormat="1">
      <c r="B137" s="88" t="s">
        <v>1062</v>
      </c>
      <c r="C137" s="88" t="str">
        <f t="shared" si="72"/>
        <v>FF0023B301D5AC</v>
      </c>
      <c r="D137" s="88" t="s">
        <v>1063</v>
      </c>
      <c r="E137" s="88" t="s">
        <v>889</v>
      </c>
      <c r="F137" s="88" t="s">
        <v>862</v>
      </c>
      <c r="G137" s="88"/>
      <c r="H137" s="89">
        <v>0</v>
      </c>
      <c r="I137" s="91"/>
      <c r="J137" s="88" t="s">
        <v>865</v>
      </c>
      <c r="K137" s="88" t="str">
        <f t="shared" si="91"/>
        <v>23B3</v>
      </c>
      <c r="L137" s="88" t="str">
        <f t="shared" si="92"/>
        <v>23</v>
      </c>
      <c r="M137" s="88" t="str">
        <f t="shared" si="93"/>
        <v>B3</v>
      </c>
      <c r="N137" s="88">
        <v>469</v>
      </c>
      <c r="O137" s="88" t="str">
        <f t="shared" si="100"/>
        <v>01D5</v>
      </c>
      <c r="P137" s="88" t="str">
        <f t="shared" si="95"/>
        <v>01</v>
      </c>
      <c r="Q137" s="88" t="str">
        <f t="shared" si="96"/>
        <v>D5</v>
      </c>
      <c r="R137" s="88" t="str">
        <f t="shared" si="97"/>
        <v>1AC</v>
      </c>
      <c r="S137" s="88" t="str">
        <f t="shared" si="98"/>
        <v>AC</v>
      </c>
      <c r="T137" s="88" t="str">
        <f t="shared" si="99"/>
        <v>FF0023B301D5AC</v>
      </c>
    </row>
    <row r="138" spans="2:20" s="2" customFormat="1" ht="27">
      <c r="B138" s="88" t="s">
        <v>1064</v>
      </c>
      <c r="C138" s="88" t="str">
        <f t="shared" si="72"/>
        <v>FF0023B4800158</v>
      </c>
      <c r="D138" s="88" t="s">
        <v>1065</v>
      </c>
      <c r="E138" s="88" t="s">
        <v>889</v>
      </c>
      <c r="F138" s="88" t="s">
        <v>862</v>
      </c>
      <c r="G138" s="88"/>
      <c r="H138" s="89">
        <v>3500</v>
      </c>
      <c r="I138" s="91"/>
      <c r="J138" s="88" t="s">
        <v>865</v>
      </c>
      <c r="K138" s="88" t="str">
        <f t="shared" si="91"/>
        <v>23B4</v>
      </c>
      <c r="L138" s="88" t="str">
        <f t="shared" si="92"/>
        <v>23</v>
      </c>
      <c r="M138" s="88" t="str">
        <f t="shared" si="93"/>
        <v>B4</v>
      </c>
      <c r="N138" s="88">
        <v>-32767</v>
      </c>
      <c r="O138" s="88" t="str">
        <f>TEXT(DEC2HEX(65536 + N138), "0000")</f>
        <v>8001</v>
      </c>
      <c r="P138" s="88" t="str">
        <f t="shared" si="95"/>
        <v>80</v>
      </c>
      <c r="Q138" s="88" t="str">
        <f t="shared" si="96"/>
        <v>01</v>
      </c>
      <c r="R138" s="88" t="str">
        <f t="shared" si="97"/>
        <v>158</v>
      </c>
      <c r="S138" s="88" t="str">
        <f t="shared" si="98"/>
        <v>58</v>
      </c>
      <c r="T138" s="88" t="str">
        <f t="shared" si="99"/>
        <v>FF0023B4800158</v>
      </c>
    </row>
    <row r="139" spans="2:20" s="2" customFormat="1" ht="27">
      <c r="B139" s="88" t="s">
        <v>1066</v>
      </c>
      <c r="C139" s="88" t="str">
        <f t="shared" si="72"/>
        <v>FF0023B47FFF55</v>
      </c>
      <c r="D139" s="88" t="s">
        <v>1065</v>
      </c>
      <c r="E139" s="88" t="s">
        <v>889</v>
      </c>
      <c r="F139" s="88" t="s">
        <v>862</v>
      </c>
      <c r="G139" s="88"/>
      <c r="H139" s="89">
        <v>3500</v>
      </c>
      <c r="I139" s="91"/>
      <c r="J139" s="88" t="s">
        <v>865</v>
      </c>
      <c r="K139" s="88" t="str">
        <f t="shared" si="91"/>
        <v>23B4</v>
      </c>
      <c r="L139" s="88" t="str">
        <f t="shared" si="92"/>
        <v>23</v>
      </c>
      <c r="M139" s="88" t="str">
        <f t="shared" si="93"/>
        <v>B4</v>
      </c>
      <c r="N139" s="88">
        <v>32767</v>
      </c>
      <c r="O139" s="88" t="str">
        <f>REPT("0", 4 - LEN(DEC2HEX(N139))) &amp; DEC2HEX(N139)</f>
        <v>7FFF</v>
      </c>
      <c r="P139" s="88" t="str">
        <f t="shared" si="95"/>
        <v>7F</v>
      </c>
      <c r="Q139" s="88" t="str">
        <f t="shared" si="96"/>
        <v>FF</v>
      </c>
      <c r="R139" s="88" t="str">
        <f t="shared" si="97"/>
        <v>255</v>
      </c>
      <c r="S139" s="88" t="str">
        <f t="shared" si="98"/>
        <v>55</v>
      </c>
      <c r="T139" s="88" t="str">
        <f t="shared" si="99"/>
        <v>FF0023B47FFF55</v>
      </c>
    </row>
    <row r="140" spans="2:20" s="2" customFormat="1">
      <c r="B140" s="88" t="s">
        <v>1067</v>
      </c>
      <c r="C140" s="88" t="str">
        <f t="shared" si="72"/>
        <v>FF0023B50000D8</v>
      </c>
      <c r="D140" s="88" t="s">
        <v>1068</v>
      </c>
      <c r="E140" s="88" t="s">
        <v>889</v>
      </c>
      <c r="F140" s="88" t="s">
        <v>862</v>
      </c>
      <c r="G140" s="88"/>
      <c r="H140" s="89">
        <v>1</v>
      </c>
      <c r="I140" s="91"/>
      <c r="J140" s="88" t="s">
        <v>865</v>
      </c>
      <c r="K140" s="88" t="str">
        <f t="shared" si="91"/>
        <v>23B5</v>
      </c>
      <c r="L140" s="88" t="str">
        <f t="shared" si="92"/>
        <v>23</v>
      </c>
      <c r="M140" s="88" t="str">
        <f t="shared" si="93"/>
        <v>B5</v>
      </c>
      <c r="N140" s="88"/>
      <c r="O140" s="90" t="s">
        <v>866</v>
      </c>
      <c r="P140" s="88" t="str">
        <f t="shared" si="95"/>
        <v>00</v>
      </c>
      <c r="Q140" s="88" t="str">
        <f t="shared" si="96"/>
        <v>00</v>
      </c>
      <c r="R140" s="88" t="str">
        <f t="shared" si="97"/>
        <v>D8</v>
      </c>
      <c r="S140" s="88" t="str">
        <f t="shared" si="98"/>
        <v>D8</v>
      </c>
      <c r="T140" s="88" t="str">
        <f t="shared" si="99"/>
        <v>FF0023B50000D8</v>
      </c>
    </row>
    <row r="141" spans="2:20" s="2" customFormat="1">
      <c r="B141" s="88" t="s">
        <v>1069</v>
      </c>
      <c r="C141" s="88" t="str">
        <f t="shared" ref="C141:C156" si="101">T141</f>
        <v>FF0023B50001D9</v>
      </c>
      <c r="D141" s="88" t="s">
        <v>1068</v>
      </c>
      <c r="E141" s="88" t="s">
        <v>889</v>
      </c>
      <c r="F141" s="88" t="s">
        <v>862</v>
      </c>
      <c r="G141" s="88"/>
      <c r="H141" s="89">
        <v>1</v>
      </c>
      <c r="I141" s="91"/>
      <c r="J141" s="88" t="s">
        <v>865</v>
      </c>
      <c r="K141" s="88" t="str">
        <f t="shared" si="91"/>
        <v>23B5</v>
      </c>
      <c r="L141" s="88" t="str">
        <f t="shared" si="92"/>
        <v>23</v>
      </c>
      <c r="M141" s="88" t="str">
        <f t="shared" si="93"/>
        <v>B5</v>
      </c>
      <c r="N141" s="88"/>
      <c r="O141" s="90" t="s">
        <v>868</v>
      </c>
      <c r="P141" s="88" t="str">
        <f t="shared" si="95"/>
        <v>00</v>
      </c>
      <c r="Q141" s="88" t="str">
        <f t="shared" si="96"/>
        <v>01</v>
      </c>
      <c r="R141" s="88" t="str">
        <f t="shared" si="97"/>
        <v>D9</v>
      </c>
      <c r="S141" s="88" t="str">
        <f t="shared" si="98"/>
        <v>D9</v>
      </c>
      <c r="T141" s="88" t="str">
        <f t="shared" si="99"/>
        <v>FF0023B50001D9</v>
      </c>
    </row>
    <row r="142" spans="2:20" s="2" customFormat="1">
      <c r="B142" s="88" t="s">
        <v>1070</v>
      </c>
      <c r="C142" s="88" t="str">
        <f t="shared" si="101"/>
        <v>FF0023B50002DA</v>
      </c>
      <c r="D142" s="88" t="s">
        <v>1068</v>
      </c>
      <c r="E142" s="88" t="s">
        <v>889</v>
      </c>
      <c r="F142" s="88" t="s">
        <v>862</v>
      </c>
      <c r="G142" s="88"/>
      <c r="H142" s="89">
        <v>1</v>
      </c>
      <c r="I142" s="91"/>
      <c r="J142" s="88" t="s">
        <v>865</v>
      </c>
      <c r="K142" s="88" t="str">
        <f t="shared" si="91"/>
        <v>23B5</v>
      </c>
      <c r="L142" s="88" t="str">
        <f t="shared" si="92"/>
        <v>23</v>
      </c>
      <c r="M142" s="88" t="str">
        <f t="shared" si="93"/>
        <v>B5</v>
      </c>
      <c r="N142" s="88"/>
      <c r="O142" s="90" t="s">
        <v>893</v>
      </c>
      <c r="P142" s="88" t="str">
        <f t="shared" si="95"/>
        <v>00</v>
      </c>
      <c r="Q142" s="88" t="str">
        <f t="shared" si="96"/>
        <v>02</v>
      </c>
      <c r="R142" s="88" t="str">
        <f t="shared" si="97"/>
        <v>DA</v>
      </c>
      <c r="S142" s="88" t="str">
        <f t="shared" si="98"/>
        <v>DA</v>
      </c>
      <c r="T142" s="88" t="str">
        <f t="shared" si="99"/>
        <v>FF0023B50002DA</v>
      </c>
    </row>
    <row r="143" spans="2:20" s="2" customFormat="1" ht="16.5" customHeight="1">
      <c r="B143" s="88" t="s">
        <v>1071</v>
      </c>
      <c r="C143" s="88" t="str">
        <f t="shared" si="101"/>
        <v>FF0023B60000D9</v>
      </c>
      <c r="D143" s="88" t="s">
        <v>1072</v>
      </c>
      <c r="E143" s="88" t="s">
        <v>889</v>
      </c>
      <c r="F143" s="88" t="s">
        <v>862</v>
      </c>
      <c r="G143" s="88"/>
      <c r="H143" s="89">
        <v>0</v>
      </c>
      <c r="I143" s="91"/>
      <c r="J143" s="88" t="s">
        <v>865</v>
      </c>
      <c r="K143" s="88" t="str">
        <f t="shared" si="91"/>
        <v>23B6</v>
      </c>
      <c r="L143" s="88" t="str">
        <f t="shared" si="92"/>
        <v>23</v>
      </c>
      <c r="M143" s="88" t="str">
        <f t="shared" si="93"/>
        <v>B6</v>
      </c>
      <c r="N143" s="88"/>
      <c r="O143" s="90" t="s">
        <v>866</v>
      </c>
      <c r="P143" s="88" t="str">
        <f t="shared" si="95"/>
        <v>00</v>
      </c>
      <c r="Q143" s="88" t="str">
        <f t="shared" si="96"/>
        <v>00</v>
      </c>
      <c r="R143" s="88" t="str">
        <f t="shared" si="97"/>
        <v>D9</v>
      </c>
      <c r="S143" s="88" t="str">
        <f t="shared" si="98"/>
        <v>D9</v>
      </c>
      <c r="T143" s="88" t="str">
        <f t="shared" si="99"/>
        <v>FF0023B60000D9</v>
      </c>
    </row>
    <row r="144" spans="2:20" s="2" customFormat="1">
      <c r="B144" s="88" t="s">
        <v>1073</v>
      </c>
      <c r="C144" s="88" t="str">
        <f t="shared" si="101"/>
        <v>FF0023B6000AE3</v>
      </c>
      <c r="D144" s="88" t="s">
        <v>1072</v>
      </c>
      <c r="E144" s="88" t="s">
        <v>889</v>
      </c>
      <c r="F144" s="88" t="s">
        <v>862</v>
      </c>
      <c r="G144" s="88"/>
      <c r="H144" s="89">
        <v>0</v>
      </c>
      <c r="I144" s="91"/>
      <c r="J144" s="88" t="s">
        <v>865</v>
      </c>
      <c r="K144" s="88" t="str">
        <f t="shared" si="91"/>
        <v>23B6</v>
      </c>
      <c r="L144" s="88" t="str">
        <f t="shared" si="92"/>
        <v>23</v>
      </c>
      <c r="M144" s="88" t="str">
        <f t="shared" si="93"/>
        <v>B6</v>
      </c>
      <c r="N144" s="88">
        <v>10</v>
      </c>
      <c r="O144" s="88" t="str">
        <f>REPT("0", 4 - LEN(DEC2HEX(N144))) &amp; DEC2HEX(N144)</f>
        <v>000A</v>
      </c>
      <c r="P144" s="88" t="str">
        <f t="shared" si="95"/>
        <v>00</v>
      </c>
      <c r="Q144" s="88" t="str">
        <f t="shared" si="96"/>
        <v>0A</v>
      </c>
      <c r="R144" s="88" t="str">
        <f>DEC2HEX(SUM(HEX2DEC(L144), HEX2DEC(M144), HEX2DEC(P144), HEX2DEC(Q144)))</f>
        <v>E3</v>
      </c>
      <c r="S144" s="88" t="str">
        <f t="shared" si="98"/>
        <v>E3</v>
      </c>
      <c r="T144" s="88" t="str">
        <f t="shared" si="99"/>
        <v>FF0023B6000AE3</v>
      </c>
    </row>
    <row r="145" spans="2:20" s="2" customFormat="1">
      <c r="B145" s="88" t="s">
        <v>1074</v>
      </c>
      <c r="C145" s="88" t="str">
        <f t="shared" si="101"/>
        <v>FF0023C0000AED</v>
      </c>
      <c r="D145" s="88" t="s">
        <v>1075</v>
      </c>
      <c r="E145" s="88" t="s">
        <v>889</v>
      </c>
      <c r="F145" s="88" t="s">
        <v>862</v>
      </c>
      <c r="G145" s="88"/>
      <c r="H145" s="89">
        <v>0</v>
      </c>
      <c r="I145" s="91"/>
      <c r="J145" s="88" t="s">
        <v>865</v>
      </c>
      <c r="K145" s="88" t="str">
        <f t="shared" si="91"/>
        <v>23C0</v>
      </c>
      <c r="L145" s="88" t="str">
        <f t="shared" si="92"/>
        <v>23</v>
      </c>
      <c r="M145" s="88" t="str">
        <f t="shared" si="93"/>
        <v>C0</v>
      </c>
      <c r="N145" s="88">
        <v>10</v>
      </c>
      <c r="O145" s="88" t="str">
        <f t="shared" ref="O145:O156" si="102">REPT("0", 4 - LEN(DEC2HEX(N145))) &amp; DEC2HEX(N145)</f>
        <v>000A</v>
      </c>
      <c r="P145" s="88" t="str">
        <f t="shared" si="95"/>
        <v>00</v>
      </c>
      <c r="Q145" s="88" t="str">
        <f t="shared" si="96"/>
        <v>0A</v>
      </c>
      <c r="R145" s="88" t="str">
        <f t="shared" si="97"/>
        <v>ED</v>
      </c>
      <c r="S145" s="88" t="str">
        <f t="shared" si="98"/>
        <v>ED</v>
      </c>
      <c r="T145" s="88" t="str">
        <f t="shared" si="99"/>
        <v>FF0023C0000AED</v>
      </c>
    </row>
    <row r="146" spans="2:20" s="2" customFormat="1">
      <c r="B146" s="88" t="s">
        <v>1076</v>
      </c>
      <c r="C146" s="88" t="str">
        <f t="shared" si="101"/>
        <v>FF0023C1000AEE</v>
      </c>
      <c r="D146" s="88" t="s">
        <v>1077</v>
      </c>
      <c r="E146" s="88" t="s">
        <v>889</v>
      </c>
      <c r="F146" s="88" t="s">
        <v>862</v>
      </c>
      <c r="G146" s="88"/>
      <c r="H146" s="89">
        <v>0</v>
      </c>
      <c r="I146" s="91"/>
      <c r="J146" s="88" t="s">
        <v>865</v>
      </c>
      <c r="K146" s="88" t="str">
        <f t="shared" si="91"/>
        <v>23C1</v>
      </c>
      <c r="L146" s="88" t="str">
        <f t="shared" si="92"/>
        <v>23</v>
      </c>
      <c r="M146" s="88" t="str">
        <f t="shared" si="93"/>
        <v>C1</v>
      </c>
      <c r="N146" s="88">
        <v>10</v>
      </c>
      <c r="O146" s="88" t="str">
        <f t="shared" si="102"/>
        <v>000A</v>
      </c>
      <c r="P146" s="88" t="str">
        <f t="shared" si="95"/>
        <v>00</v>
      </c>
      <c r="Q146" s="88" t="str">
        <f t="shared" si="96"/>
        <v>0A</v>
      </c>
      <c r="R146" s="88" t="str">
        <f t="shared" si="97"/>
        <v>EE</v>
      </c>
      <c r="S146" s="88" t="str">
        <f t="shared" si="98"/>
        <v>EE</v>
      </c>
      <c r="T146" s="88" t="str">
        <f t="shared" si="99"/>
        <v>FF0023C1000AEE</v>
      </c>
    </row>
    <row r="147" spans="2:20" s="2" customFormat="1">
      <c r="B147" s="88" t="s">
        <v>1078</v>
      </c>
      <c r="C147" s="88" t="str">
        <f t="shared" si="101"/>
        <v>FF0023C202755C</v>
      </c>
      <c r="D147" s="88" t="s">
        <v>1079</v>
      </c>
      <c r="E147" s="88" t="s">
        <v>889</v>
      </c>
      <c r="F147" s="88" t="s">
        <v>862</v>
      </c>
      <c r="G147" s="88"/>
      <c r="H147" s="89">
        <v>0</v>
      </c>
      <c r="I147" s="91"/>
      <c r="J147" s="88" t="s">
        <v>865</v>
      </c>
      <c r="K147" s="88" t="str">
        <f t="shared" si="91"/>
        <v>23C2</v>
      </c>
      <c r="L147" s="88" t="str">
        <f t="shared" si="92"/>
        <v>23</v>
      </c>
      <c r="M147" s="88" t="str">
        <f t="shared" si="93"/>
        <v>C2</v>
      </c>
      <c r="N147" s="88">
        <v>629</v>
      </c>
      <c r="O147" s="88" t="str">
        <f t="shared" si="102"/>
        <v>0275</v>
      </c>
      <c r="P147" s="88" t="str">
        <f t="shared" si="95"/>
        <v>02</v>
      </c>
      <c r="Q147" s="88" t="str">
        <f t="shared" si="96"/>
        <v>75</v>
      </c>
      <c r="R147" s="88" t="str">
        <f t="shared" si="97"/>
        <v>15C</v>
      </c>
      <c r="S147" s="88" t="str">
        <f t="shared" si="98"/>
        <v>5C</v>
      </c>
      <c r="T147" s="88" t="str">
        <f t="shared" si="99"/>
        <v>FF0023C202755C</v>
      </c>
    </row>
    <row r="148" spans="2:20" s="2" customFormat="1">
      <c r="B148" s="88" t="s">
        <v>1080</v>
      </c>
      <c r="C148" s="88" t="str">
        <f t="shared" si="101"/>
        <v>FF0023C301D5BC</v>
      </c>
      <c r="D148" s="88" t="s">
        <v>1081</v>
      </c>
      <c r="E148" s="88" t="s">
        <v>889</v>
      </c>
      <c r="F148" s="88" t="s">
        <v>862</v>
      </c>
      <c r="G148" s="88"/>
      <c r="H148" s="89">
        <v>0</v>
      </c>
      <c r="I148" s="91"/>
      <c r="J148" s="88" t="s">
        <v>865</v>
      </c>
      <c r="K148" s="88" t="str">
        <f t="shared" si="91"/>
        <v>23C3</v>
      </c>
      <c r="L148" s="88" t="str">
        <f t="shared" si="92"/>
        <v>23</v>
      </c>
      <c r="M148" s="88" t="str">
        <f t="shared" si="93"/>
        <v>C3</v>
      </c>
      <c r="N148" s="88">
        <v>469</v>
      </c>
      <c r="O148" s="88" t="str">
        <f t="shared" si="102"/>
        <v>01D5</v>
      </c>
      <c r="P148" s="88" t="str">
        <f t="shared" si="95"/>
        <v>01</v>
      </c>
      <c r="Q148" s="88" t="str">
        <f t="shared" si="96"/>
        <v>D5</v>
      </c>
      <c r="R148" s="88" t="str">
        <f t="shared" si="97"/>
        <v>1BC</v>
      </c>
      <c r="S148" s="88" t="str">
        <f t="shared" si="98"/>
        <v>BC</v>
      </c>
      <c r="T148" s="88" t="str">
        <f t="shared" si="99"/>
        <v>FF0023C301D5BC</v>
      </c>
    </row>
    <row r="149" spans="2:20" s="2" customFormat="1">
      <c r="B149" s="88" t="s">
        <v>1082</v>
      </c>
      <c r="C149" s="88" t="str">
        <f t="shared" si="101"/>
        <v>FF0023D0000AFD</v>
      </c>
      <c r="D149" s="88" t="s">
        <v>1083</v>
      </c>
      <c r="E149" s="88" t="s">
        <v>889</v>
      </c>
      <c r="F149" s="88" t="s">
        <v>862</v>
      </c>
      <c r="G149" s="88"/>
      <c r="H149" s="89">
        <v>0</v>
      </c>
      <c r="I149" s="91"/>
      <c r="J149" s="88" t="s">
        <v>865</v>
      </c>
      <c r="K149" s="88" t="str">
        <f t="shared" si="91"/>
        <v>23D0</v>
      </c>
      <c r="L149" s="88" t="str">
        <f t="shared" si="92"/>
        <v>23</v>
      </c>
      <c r="M149" s="88" t="str">
        <f t="shared" si="93"/>
        <v>D0</v>
      </c>
      <c r="N149" s="88">
        <v>10</v>
      </c>
      <c r="O149" s="88" t="str">
        <f t="shared" si="102"/>
        <v>000A</v>
      </c>
      <c r="P149" s="88" t="str">
        <f t="shared" si="95"/>
        <v>00</v>
      </c>
      <c r="Q149" s="88" t="str">
        <f t="shared" si="96"/>
        <v>0A</v>
      </c>
      <c r="R149" s="88" t="str">
        <f t="shared" si="97"/>
        <v>FD</v>
      </c>
      <c r="S149" s="88" t="str">
        <f t="shared" si="98"/>
        <v>FD</v>
      </c>
      <c r="T149" s="88" t="str">
        <f t="shared" si="99"/>
        <v>FF0023D0000AFD</v>
      </c>
    </row>
    <row r="150" spans="2:20" s="2" customFormat="1">
      <c r="B150" s="88" t="s">
        <v>1084</v>
      </c>
      <c r="C150" s="88" t="str">
        <f t="shared" si="101"/>
        <v>FF0023D1000AFE</v>
      </c>
      <c r="D150" s="88" t="s">
        <v>1085</v>
      </c>
      <c r="E150" s="88" t="s">
        <v>889</v>
      </c>
      <c r="F150" s="88" t="s">
        <v>862</v>
      </c>
      <c r="G150" s="88"/>
      <c r="H150" s="89">
        <v>0</v>
      </c>
      <c r="I150" s="91"/>
      <c r="J150" s="88" t="s">
        <v>865</v>
      </c>
      <c r="K150" s="88" t="str">
        <f t="shared" si="91"/>
        <v>23D1</v>
      </c>
      <c r="L150" s="88" t="str">
        <f t="shared" si="92"/>
        <v>23</v>
      </c>
      <c r="M150" s="88" t="str">
        <f t="shared" si="93"/>
        <v>D1</v>
      </c>
      <c r="N150" s="88">
        <v>10</v>
      </c>
      <c r="O150" s="88" t="str">
        <f t="shared" si="102"/>
        <v>000A</v>
      </c>
      <c r="P150" s="88" t="str">
        <f t="shared" si="95"/>
        <v>00</v>
      </c>
      <c r="Q150" s="88" t="str">
        <f t="shared" si="96"/>
        <v>0A</v>
      </c>
      <c r="R150" s="88" t="str">
        <f t="shared" si="97"/>
        <v>FE</v>
      </c>
      <c r="S150" s="88" t="str">
        <f t="shared" si="98"/>
        <v>FE</v>
      </c>
      <c r="T150" s="88" t="str">
        <f t="shared" si="99"/>
        <v>FF0023D1000AFE</v>
      </c>
    </row>
    <row r="151" spans="2:20" s="2" customFormat="1">
      <c r="B151" s="88" t="s">
        <v>1086</v>
      </c>
      <c r="C151" s="88" t="str">
        <f t="shared" si="101"/>
        <v>FF0023D202756C</v>
      </c>
      <c r="D151" s="88" t="s">
        <v>1087</v>
      </c>
      <c r="E151" s="88" t="s">
        <v>889</v>
      </c>
      <c r="F151" s="88" t="s">
        <v>862</v>
      </c>
      <c r="G151" s="88"/>
      <c r="H151" s="89">
        <v>0</v>
      </c>
      <c r="I151" s="91"/>
      <c r="J151" s="88" t="s">
        <v>865</v>
      </c>
      <c r="K151" s="88" t="str">
        <f t="shared" si="91"/>
        <v>23D2</v>
      </c>
      <c r="L151" s="88" t="str">
        <f t="shared" si="92"/>
        <v>23</v>
      </c>
      <c r="M151" s="88" t="str">
        <f t="shared" si="93"/>
        <v>D2</v>
      </c>
      <c r="N151" s="88">
        <v>629</v>
      </c>
      <c r="O151" s="88" t="str">
        <f t="shared" si="102"/>
        <v>0275</v>
      </c>
      <c r="P151" s="88" t="str">
        <f t="shared" si="95"/>
        <v>02</v>
      </c>
      <c r="Q151" s="88" t="str">
        <f t="shared" si="96"/>
        <v>75</v>
      </c>
      <c r="R151" s="88" t="str">
        <f t="shared" si="97"/>
        <v>16C</v>
      </c>
      <c r="S151" s="88" t="str">
        <f t="shared" si="98"/>
        <v>6C</v>
      </c>
      <c r="T151" s="88" t="str">
        <f t="shared" si="99"/>
        <v>FF0023D202756C</v>
      </c>
    </row>
    <row r="152" spans="2:20" s="2" customFormat="1">
      <c r="B152" s="88" t="s">
        <v>1088</v>
      </c>
      <c r="C152" s="88" t="str">
        <f t="shared" si="101"/>
        <v>FF0023D301D5CC</v>
      </c>
      <c r="D152" s="88" t="s">
        <v>1089</v>
      </c>
      <c r="E152" s="88" t="s">
        <v>889</v>
      </c>
      <c r="F152" s="88" t="s">
        <v>862</v>
      </c>
      <c r="G152" s="88"/>
      <c r="H152" s="89">
        <v>0</v>
      </c>
      <c r="I152" s="91"/>
      <c r="J152" s="88" t="s">
        <v>865</v>
      </c>
      <c r="K152" s="88" t="str">
        <f t="shared" si="91"/>
        <v>23D3</v>
      </c>
      <c r="L152" s="88" t="str">
        <f t="shared" si="92"/>
        <v>23</v>
      </c>
      <c r="M152" s="88" t="str">
        <f t="shared" si="93"/>
        <v>D3</v>
      </c>
      <c r="N152" s="88">
        <v>469</v>
      </c>
      <c r="O152" s="88" t="str">
        <f t="shared" si="102"/>
        <v>01D5</v>
      </c>
      <c r="P152" s="88" t="str">
        <f t="shared" si="95"/>
        <v>01</v>
      </c>
      <c r="Q152" s="88" t="str">
        <f t="shared" si="96"/>
        <v>D5</v>
      </c>
      <c r="R152" s="88" t="str">
        <f t="shared" si="97"/>
        <v>1CC</v>
      </c>
      <c r="S152" s="88" t="str">
        <f t="shared" si="98"/>
        <v>CC</v>
      </c>
      <c r="T152" s="88" t="str">
        <f t="shared" si="99"/>
        <v>FF0023D301D5CC</v>
      </c>
    </row>
    <row r="153" spans="2:20" s="2" customFormat="1">
      <c r="B153" s="88" t="s">
        <v>1090</v>
      </c>
      <c r="C153" s="88" t="str">
        <f t="shared" si="101"/>
        <v>FF0023E0000A0D</v>
      </c>
      <c r="D153" s="88" t="s">
        <v>1091</v>
      </c>
      <c r="E153" s="88" t="s">
        <v>889</v>
      </c>
      <c r="F153" s="88" t="s">
        <v>862</v>
      </c>
      <c r="G153" s="88"/>
      <c r="H153" s="89">
        <v>0</v>
      </c>
      <c r="I153" s="91"/>
      <c r="J153" s="88" t="s">
        <v>865</v>
      </c>
      <c r="K153" s="88" t="str">
        <f t="shared" si="91"/>
        <v>23E0</v>
      </c>
      <c r="L153" s="88" t="str">
        <f t="shared" si="92"/>
        <v>23</v>
      </c>
      <c r="M153" s="88" t="str">
        <f t="shared" si="93"/>
        <v>E0</v>
      </c>
      <c r="N153" s="88">
        <v>10</v>
      </c>
      <c r="O153" s="88" t="str">
        <f t="shared" si="102"/>
        <v>000A</v>
      </c>
      <c r="P153" s="88" t="str">
        <f t="shared" si="95"/>
        <v>00</v>
      </c>
      <c r="Q153" s="88" t="str">
        <f t="shared" si="96"/>
        <v>0A</v>
      </c>
      <c r="R153" s="88" t="str">
        <f t="shared" si="97"/>
        <v>10D</v>
      </c>
      <c r="S153" s="88" t="str">
        <f t="shared" si="98"/>
        <v>0D</v>
      </c>
      <c r="T153" s="88" t="str">
        <f t="shared" si="99"/>
        <v>FF0023E0000A0D</v>
      </c>
    </row>
    <row r="154" spans="2:20" s="2" customFormat="1">
      <c r="B154" s="88" t="s">
        <v>1092</v>
      </c>
      <c r="C154" s="88" t="str">
        <f t="shared" si="101"/>
        <v>FF0023E1000A0E</v>
      </c>
      <c r="D154" s="88" t="s">
        <v>1093</v>
      </c>
      <c r="E154" s="88" t="s">
        <v>889</v>
      </c>
      <c r="F154" s="88" t="s">
        <v>862</v>
      </c>
      <c r="G154" s="88"/>
      <c r="H154" s="89">
        <v>0</v>
      </c>
      <c r="I154" s="91"/>
      <c r="J154" s="88" t="s">
        <v>865</v>
      </c>
      <c r="K154" s="88" t="str">
        <f t="shared" si="91"/>
        <v>23E1</v>
      </c>
      <c r="L154" s="88" t="str">
        <f t="shared" si="92"/>
        <v>23</v>
      </c>
      <c r="M154" s="88" t="str">
        <f t="shared" si="93"/>
        <v>E1</v>
      </c>
      <c r="N154" s="88">
        <v>10</v>
      </c>
      <c r="O154" s="88" t="str">
        <f t="shared" si="102"/>
        <v>000A</v>
      </c>
      <c r="P154" s="88" t="str">
        <f t="shared" si="95"/>
        <v>00</v>
      </c>
      <c r="Q154" s="88" t="str">
        <f t="shared" si="96"/>
        <v>0A</v>
      </c>
      <c r="R154" s="88" t="str">
        <f t="shared" si="97"/>
        <v>10E</v>
      </c>
      <c r="S154" s="88" t="str">
        <f t="shared" si="98"/>
        <v>0E</v>
      </c>
      <c r="T154" s="88" t="str">
        <f t="shared" si="99"/>
        <v>FF0023E1000A0E</v>
      </c>
    </row>
    <row r="155" spans="2:20" s="2" customFormat="1">
      <c r="B155" s="88" t="s">
        <v>1094</v>
      </c>
      <c r="C155" s="88" t="str">
        <f t="shared" si="101"/>
        <v>FF0023E202757C</v>
      </c>
      <c r="D155" s="88" t="s">
        <v>1095</v>
      </c>
      <c r="E155" s="88" t="s">
        <v>889</v>
      </c>
      <c r="F155" s="88" t="s">
        <v>862</v>
      </c>
      <c r="G155" s="88"/>
      <c r="H155" s="89">
        <v>0</v>
      </c>
      <c r="I155" s="91"/>
      <c r="J155" s="88" t="s">
        <v>865</v>
      </c>
      <c r="K155" s="88" t="str">
        <f t="shared" si="91"/>
        <v>23E2</v>
      </c>
      <c r="L155" s="88" t="str">
        <f t="shared" si="92"/>
        <v>23</v>
      </c>
      <c r="M155" s="88" t="str">
        <f t="shared" si="93"/>
        <v>E2</v>
      </c>
      <c r="N155" s="88">
        <v>629</v>
      </c>
      <c r="O155" s="88" t="str">
        <f t="shared" si="102"/>
        <v>0275</v>
      </c>
      <c r="P155" s="88" t="str">
        <f t="shared" si="95"/>
        <v>02</v>
      </c>
      <c r="Q155" s="88" t="str">
        <f t="shared" si="96"/>
        <v>75</v>
      </c>
      <c r="R155" s="88" t="str">
        <f t="shared" si="97"/>
        <v>17C</v>
      </c>
      <c r="S155" s="88" t="str">
        <f t="shared" si="98"/>
        <v>7C</v>
      </c>
      <c r="T155" s="88" t="str">
        <f t="shared" si="99"/>
        <v>FF0023E202757C</v>
      </c>
    </row>
    <row r="156" spans="2:20" s="2" customFormat="1">
      <c r="B156" s="88" t="s">
        <v>1096</v>
      </c>
      <c r="C156" s="88" t="str">
        <f t="shared" si="101"/>
        <v>FF0023E301D5DC</v>
      </c>
      <c r="D156" s="105" t="s">
        <v>1097</v>
      </c>
      <c r="E156" s="105" t="s">
        <v>889</v>
      </c>
      <c r="F156" s="105" t="s">
        <v>862</v>
      </c>
      <c r="G156" s="105"/>
      <c r="H156" s="106">
        <v>0</v>
      </c>
      <c r="I156" s="107"/>
      <c r="J156" s="105" t="s">
        <v>865</v>
      </c>
      <c r="K156" s="105" t="str">
        <f t="shared" si="91"/>
        <v>23E3</v>
      </c>
      <c r="L156" s="105" t="str">
        <f t="shared" si="92"/>
        <v>23</v>
      </c>
      <c r="M156" s="105" t="str">
        <f t="shared" si="93"/>
        <v>E3</v>
      </c>
      <c r="N156" s="105">
        <v>469</v>
      </c>
      <c r="O156" s="105" t="str">
        <f t="shared" si="102"/>
        <v>01D5</v>
      </c>
      <c r="P156" s="105" t="str">
        <f t="shared" si="95"/>
        <v>01</v>
      </c>
      <c r="Q156" s="105" t="str">
        <f t="shared" si="96"/>
        <v>D5</v>
      </c>
      <c r="R156" s="105" t="str">
        <f t="shared" si="97"/>
        <v>1DC</v>
      </c>
      <c r="S156" s="105" t="str">
        <f t="shared" si="98"/>
        <v>DC</v>
      </c>
      <c r="T156" s="105" t="str">
        <f t="shared" si="99"/>
        <v>FF0023E301D5DC</v>
      </c>
    </row>
    <row r="157" spans="2:20">
      <c r="B157" s="88" t="s">
        <v>1259</v>
      </c>
      <c r="C157" s="104" t="s">
        <v>183</v>
      </c>
      <c r="D157" s="108"/>
      <c r="E157" s="108"/>
      <c r="F157" s="108"/>
      <c r="G157" s="108"/>
      <c r="H157" s="108"/>
      <c r="I157" s="108"/>
      <c r="J157" s="108"/>
      <c r="K157" s="108"/>
      <c r="L157" s="108"/>
      <c r="M157" s="108"/>
      <c r="N157" s="108"/>
      <c r="O157" s="109"/>
      <c r="P157" s="108"/>
      <c r="Q157" s="108"/>
      <c r="R157" s="108"/>
      <c r="S157" s="108"/>
      <c r="T157" s="108"/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B71C3-214F-41F6-A7D2-DC0A13EEF00C}">
  <dimension ref="B1:Q68"/>
  <sheetViews>
    <sheetView zoomScaleNormal="100" workbookViewId="0">
      <pane xSplit="3" ySplit="2" topLeftCell="D3" activePane="bottomRight" state="frozen"/>
      <selection pane="topRight" activeCell="I1" sqref="I1"/>
      <selection pane="bottomLeft" activeCell="A3" sqref="A3"/>
      <selection pane="bottomRight" activeCell="O3" sqref="O3"/>
    </sheetView>
  </sheetViews>
  <sheetFormatPr defaultColWidth="11.5546875" defaultRowHeight="16.5" customHeight="1"/>
  <cols>
    <col min="1" max="1" width="2.6640625" customWidth="1"/>
    <col min="2" max="2" width="14.5546875" customWidth="1"/>
    <col min="3" max="3" width="16.6640625" customWidth="1"/>
    <col min="4" max="4" width="11.5546875" customWidth="1"/>
    <col min="9" max="9" width="3.109375" style="9" bestFit="1" customWidth="1"/>
    <col min="10" max="10" width="3.109375" style="9" customWidth="1"/>
    <col min="11" max="11" width="3.6640625" style="10" bestFit="1" customWidth="1"/>
    <col min="12" max="13" width="3.109375" style="9" bestFit="1" customWidth="1"/>
    <col min="14" max="15" width="7" style="9" bestFit="1" customWidth="1"/>
    <col min="16" max="16" width="16.5546875" style="9" bestFit="1" customWidth="1"/>
    <col min="17" max="17" width="11.5546875" customWidth="1"/>
  </cols>
  <sheetData>
    <row r="1" spans="2:16" ht="16.5" customHeight="1" thickBot="1">
      <c r="C1" s="9" t="s">
        <v>278</v>
      </c>
      <c r="P1" s="9" t="s">
        <v>278</v>
      </c>
    </row>
    <row r="2" spans="2:16" s="2" customFormat="1" ht="16.5" customHeight="1" thickBot="1">
      <c r="B2" s="118" t="s">
        <v>0</v>
      </c>
      <c r="C2" s="119" t="s">
        <v>7</v>
      </c>
      <c r="D2" s="120" t="s">
        <v>29</v>
      </c>
      <c r="E2" s="120" t="s">
        <v>34</v>
      </c>
      <c r="F2" s="120" t="s">
        <v>35</v>
      </c>
      <c r="G2" s="120" t="s">
        <v>36</v>
      </c>
      <c r="H2" s="120" t="s">
        <v>1277</v>
      </c>
      <c r="I2" s="120" t="s">
        <v>32</v>
      </c>
      <c r="J2" s="120" t="s">
        <v>33</v>
      </c>
      <c r="K2" s="120" t="s">
        <v>34</v>
      </c>
      <c r="L2" s="120" t="s">
        <v>35</v>
      </c>
      <c r="M2" s="120" t="s">
        <v>36</v>
      </c>
      <c r="N2" s="120" t="s">
        <v>39</v>
      </c>
      <c r="O2" s="121" t="s">
        <v>40</v>
      </c>
      <c r="P2" s="72" t="s">
        <v>180</v>
      </c>
    </row>
    <row r="3" spans="2:16" s="2" customFormat="1" ht="16.5" customHeight="1">
      <c r="B3" s="101" t="s">
        <v>1319</v>
      </c>
      <c r="C3" s="112" t="str">
        <f t="shared" ref="C3:C17" si="0">"FF00"&amp;D3&amp;E3&amp;""&amp;F3&amp;G3&amp;H3</f>
        <v>FF00F1000001F2</v>
      </c>
      <c r="D3" s="68" t="s">
        <v>1321</v>
      </c>
      <c r="E3" s="68" t="s">
        <v>16</v>
      </c>
      <c r="F3" s="68" t="s">
        <v>16</v>
      </c>
      <c r="G3" s="68" t="s">
        <v>24</v>
      </c>
      <c r="H3" s="26" t="str">
        <f t="shared" ref="H3:H17" si="1">O3</f>
        <v>F2</v>
      </c>
      <c r="I3" s="26" t="s">
        <v>9</v>
      </c>
      <c r="J3" s="27">
        <f t="shared" ref="J3:J17" si="2">HEX2DEC(D3)</f>
        <v>241</v>
      </c>
      <c r="K3" s="27">
        <f t="shared" ref="K3:K17" si="3">HEX2DEC(E3)</f>
        <v>0</v>
      </c>
      <c r="L3" s="27">
        <f t="shared" ref="L3:L17" si="4">HEX2DEC(F3)</f>
        <v>0</v>
      </c>
      <c r="M3" s="27">
        <f t="shared" ref="M3:M17" si="5">HEX2DEC(G3)</f>
        <v>1</v>
      </c>
      <c r="N3" s="27">
        <f t="shared" ref="N3:N17" si="6">SUM(J3:M3)</f>
        <v>242</v>
      </c>
      <c r="O3" s="28" t="str">
        <f t="shared" ref="O3:O17" si="7">REPT("0",2-LEN(RIGHT(DEC2HEX(N3), 2)))&amp;RIGHT(DEC2HEX(N3), 2)</f>
        <v>F2</v>
      </c>
      <c r="P3" s="72" t="s">
        <v>1407</v>
      </c>
    </row>
    <row r="4" spans="2:16" s="2" customFormat="1" ht="16.5" customHeight="1">
      <c r="B4" s="102" t="s">
        <v>1320</v>
      </c>
      <c r="C4" s="113" t="str">
        <f t="shared" si="0"/>
        <v>FF00F1000000F1</v>
      </c>
      <c r="D4" s="67" t="s">
        <v>1321</v>
      </c>
      <c r="E4" s="67" t="s">
        <v>16</v>
      </c>
      <c r="F4" s="67" t="s">
        <v>16</v>
      </c>
      <c r="G4" s="67" t="s">
        <v>16</v>
      </c>
      <c r="H4" s="14" t="str">
        <f t="shared" si="1"/>
        <v>F1</v>
      </c>
      <c r="I4" s="14" t="s">
        <v>9</v>
      </c>
      <c r="J4" s="15">
        <f t="shared" si="2"/>
        <v>241</v>
      </c>
      <c r="K4" s="15">
        <f t="shared" si="3"/>
        <v>0</v>
      </c>
      <c r="L4" s="15">
        <f t="shared" si="4"/>
        <v>0</v>
      </c>
      <c r="M4" s="15">
        <f t="shared" si="5"/>
        <v>0</v>
      </c>
      <c r="N4" s="15">
        <f t="shared" si="6"/>
        <v>241</v>
      </c>
      <c r="O4" s="30" t="str">
        <f t="shared" si="7"/>
        <v>F1</v>
      </c>
      <c r="P4" s="72" t="s">
        <v>1408</v>
      </c>
    </row>
    <row r="5" spans="2:16" s="2" customFormat="1" ht="16.5" customHeight="1">
      <c r="B5" s="102" t="s">
        <v>1458</v>
      </c>
      <c r="C5" s="113" t="str">
        <f t="shared" ref="C5" si="8">"FF00"&amp;D5&amp;E5&amp;""&amp;F5&amp;G5&amp;H5</f>
        <v>FF00FA000000FA</v>
      </c>
      <c r="D5" s="67" t="s">
        <v>1460</v>
      </c>
      <c r="E5" s="67" t="s">
        <v>16</v>
      </c>
      <c r="F5" s="67" t="s">
        <v>16</v>
      </c>
      <c r="G5" s="67" t="s">
        <v>16</v>
      </c>
      <c r="H5" s="14" t="str">
        <f t="shared" ref="H5" si="9">O5</f>
        <v>FA</v>
      </c>
      <c r="I5" s="14" t="s">
        <v>9</v>
      </c>
      <c r="J5" s="15">
        <f t="shared" ref="J5" si="10">HEX2DEC(D5)</f>
        <v>250</v>
      </c>
      <c r="K5" s="15">
        <f t="shared" ref="K5" si="11">HEX2DEC(E5)</f>
        <v>0</v>
      </c>
      <c r="L5" s="15">
        <f t="shared" ref="L5" si="12">HEX2DEC(F5)</f>
        <v>0</v>
      </c>
      <c r="M5" s="15">
        <f t="shared" ref="M5" si="13">HEX2DEC(G5)</f>
        <v>0</v>
      </c>
      <c r="N5" s="15">
        <f t="shared" ref="N5" si="14">SUM(J5:M5)</f>
        <v>250</v>
      </c>
      <c r="O5" s="30" t="str">
        <f t="shared" ref="O5" si="15">REPT("0",2-LEN(RIGHT(DEC2HEX(N5), 2)))&amp;RIGHT(DEC2HEX(N5), 2)</f>
        <v>FA</v>
      </c>
      <c r="P5" s="72" t="s">
        <v>1461</v>
      </c>
    </row>
    <row r="6" spans="2:16" s="2" customFormat="1" ht="16.5" customHeight="1">
      <c r="B6" s="102" t="s">
        <v>1459</v>
      </c>
      <c r="C6" s="113" t="str">
        <f t="shared" ref="C6" si="16">"FF00"&amp;D6&amp;E6&amp;""&amp;F6&amp;G6&amp;H6</f>
        <v>FF00FA000001FB</v>
      </c>
      <c r="D6" s="67" t="s">
        <v>1460</v>
      </c>
      <c r="E6" s="67" t="s">
        <v>16</v>
      </c>
      <c r="F6" s="67" t="s">
        <v>16</v>
      </c>
      <c r="G6" s="67" t="s">
        <v>24</v>
      </c>
      <c r="H6" s="14" t="str">
        <f t="shared" ref="H6" si="17">O6</f>
        <v>FB</v>
      </c>
      <c r="I6" s="14" t="s">
        <v>9</v>
      </c>
      <c r="J6" s="15">
        <f t="shared" ref="J6" si="18">HEX2DEC(D6)</f>
        <v>250</v>
      </c>
      <c r="K6" s="15">
        <f t="shared" ref="K6" si="19">HEX2DEC(E6)</f>
        <v>0</v>
      </c>
      <c r="L6" s="15">
        <f t="shared" ref="L6" si="20">HEX2DEC(F6)</f>
        <v>0</v>
      </c>
      <c r="M6" s="15">
        <f t="shared" ref="M6" si="21">HEX2DEC(G6)</f>
        <v>1</v>
      </c>
      <c r="N6" s="15">
        <f t="shared" ref="N6" si="22">SUM(J6:M6)</f>
        <v>251</v>
      </c>
      <c r="O6" s="30" t="str">
        <f t="shared" ref="O6" si="23">REPT("0",2-LEN(RIGHT(DEC2HEX(N6), 2)))&amp;RIGHT(DEC2HEX(N6), 2)</f>
        <v>FB</v>
      </c>
      <c r="P6" s="72" t="s">
        <v>1462</v>
      </c>
    </row>
    <row r="7" spans="2:16" s="2" customFormat="1" ht="16.5" customHeight="1">
      <c r="B7" s="102" t="s">
        <v>1323</v>
      </c>
      <c r="C7" s="113" t="str">
        <f t="shared" si="0"/>
        <v>FF00FB000000FB</v>
      </c>
      <c r="D7" s="67" t="s">
        <v>1322</v>
      </c>
      <c r="E7" s="67" t="s">
        <v>16</v>
      </c>
      <c r="F7" s="67" t="s">
        <v>16</v>
      </c>
      <c r="G7" s="67" t="s">
        <v>16</v>
      </c>
      <c r="H7" s="14" t="str">
        <f t="shared" si="1"/>
        <v>FB</v>
      </c>
      <c r="I7" s="14" t="s">
        <v>9</v>
      </c>
      <c r="J7" s="15">
        <f t="shared" si="2"/>
        <v>251</v>
      </c>
      <c r="K7" s="15">
        <f t="shared" si="3"/>
        <v>0</v>
      </c>
      <c r="L7" s="15">
        <f t="shared" si="4"/>
        <v>0</v>
      </c>
      <c r="M7" s="15">
        <f t="shared" si="5"/>
        <v>0</v>
      </c>
      <c r="N7" s="15">
        <f t="shared" si="6"/>
        <v>251</v>
      </c>
      <c r="O7" s="30" t="str">
        <f t="shared" si="7"/>
        <v>FB</v>
      </c>
      <c r="P7" s="72" t="s">
        <v>1409</v>
      </c>
    </row>
    <row r="8" spans="2:16" s="2" customFormat="1" ht="16.5" customHeight="1">
      <c r="B8" s="102" t="s">
        <v>1324</v>
      </c>
      <c r="C8" s="113" t="str">
        <f t="shared" si="0"/>
        <v>FF00FB0000504B</v>
      </c>
      <c r="D8" s="67" t="s">
        <v>1322</v>
      </c>
      <c r="E8" s="67" t="s">
        <v>16</v>
      </c>
      <c r="F8" s="67" t="s">
        <v>16</v>
      </c>
      <c r="G8" s="67" t="s">
        <v>162</v>
      </c>
      <c r="H8" s="14" t="str">
        <f t="shared" si="1"/>
        <v>4B</v>
      </c>
      <c r="I8" s="14" t="s">
        <v>9</v>
      </c>
      <c r="J8" s="15">
        <f t="shared" si="2"/>
        <v>251</v>
      </c>
      <c r="K8" s="15">
        <f t="shared" si="3"/>
        <v>0</v>
      </c>
      <c r="L8" s="15">
        <f t="shared" si="4"/>
        <v>0</v>
      </c>
      <c r="M8" s="15">
        <f t="shared" si="5"/>
        <v>80</v>
      </c>
      <c r="N8" s="15">
        <f t="shared" si="6"/>
        <v>331</v>
      </c>
      <c r="O8" s="30" t="str">
        <f t="shared" si="7"/>
        <v>4B</v>
      </c>
      <c r="P8" s="72" t="s">
        <v>1410</v>
      </c>
    </row>
    <row r="9" spans="2:16" s="2" customFormat="1" ht="16.5" customHeight="1">
      <c r="B9" s="102" t="s">
        <v>1325</v>
      </c>
      <c r="C9" s="113" t="str">
        <f t="shared" si="0"/>
        <v>FF00FB0000FFFA</v>
      </c>
      <c r="D9" s="67" t="s">
        <v>1322</v>
      </c>
      <c r="E9" s="67" t="s">
        <v>16</v>
      </c>
      <c r="F9" s="67" t="s">
        <v>16</v>
      </c>
      <c r="G9" s="67" t="s">
        <v>9</v>
      </c>
      <c r="H9" s="14" t="str">
        <f t="shared" si="1"/>
        <v>FA</v>
      </c>
      <c r="I9" s="14" t="s">
        <v>9</v>
      </c>
      <c r="J9" s="15">
        <f t="shared" si="2"/>
        <v>251</v>
      </c>
      <c r="K9" s="15">
        <f t="shared" si="3"/>
        <v>0</v>
      </c>
      <c r="L9" s="15">
        <f t="shared" si="4"/>
        <v>0</v>
      </c>
      <c r="M9" s="15">
        <f t="shared" si="5"/>
        <v>255</v>
      </c>
      <c r="N9" s="15">
        <f t="shared" si="6"/>
        <v>506</v>
      </c>
      <c r="O9" s="30" t="str">
        <f t="shared" si="7"/>
        <v>FA</v>
      </c>
      <c r="P9" s="72" t="s">
        <v>1411</v>
      </c>
    </row>
    <row r="10" spans="2:16" s="2" customFormat="1" ht="16.5" customHeight="1">
      <c r="B10" s="102" t="s">
        <v>1326</v>
      </c>
      <c r="C10" s="113" t="str">
        <f t="shared" si="0"/>
        <v>FF00FC000001FD</v>
      </c>
      <c r="D10" s="67" t="s">
        <v>1329</v>
      </c>
      <c r="E10" s="67" t="s">
        <v>16</v>
      </c>
      <c r="F10" s="67" t="s">
        <v>16</v>
      </c>
      <c r="G10" s="67" t="s">
        <v>1330</v>
      </c>
      <c r="H10" s="14" t="str">
        <f t="shared" si="1"/>
        <v>FD</v>
      </c>
      <c r="I10" s="14" t="s">
        <v>9</v>
      </c>
      <c r="J10" s="15">
        <f t="shared" si="2"/>
        <v>252</v>
      </c>
      <c r="K10" s="15">
        <f t="shared" si="3"/>
        <v>0</v>
      </c>
      <c r="L10" s="15">
        <f t="shared" si="4"/>
        <v>0</v>
      </c>
      <c r="M10" s="15">
        <f t="shared" si="5"/>
        <v>1</v>
      </c>
      <c r="N10" s="15">
        <f t="shared" si="6"/>
        <v>253</v>
      </c>
      <c r="O10" s="30" t="str">
        <f t="shared" si="7"/>
        <v>FD</v>
      </c>
      <c r="P10" s="72" t="s">
        <v>1412</v>
      </c>
    </row>
    <row r="11" spans="2:16" s="2" customFormat="1" ht="16.5" customHeight="1">
      <c r="B11" s="102" t="s">
        <v>1327</v>
      </c>
      <c r="C11" s="113" t="str">
        <f t="shared" si="0"/>
        <v>FF00FC00001410</v>
      </c>
      <c r="D11" s="67" t="s">
        <v>1329</v>
      </c>
      <c r="E11" s="67" t="s">
        <v>16</v>
      </c>
      <c r="F11" s="67" t="s">
        <v>16</v>
      </c>
      <c r="G11" s="67" t="s">
        <v>62</v>
      </c>
      <c r="H11" s="14" t="str">
        <f t="shared" si="1"/>
        <v>10</v>
      </c>
      <c r="I11" s="14" t="s">
        <v>9</v>
      </c>
      <c r="J11" s="15">
        <f t="shared" si="2"/>
        <v>252</v>
      </c>
      <c r="K11" s="15">
        <f t="shared" si="3"/>
        <v>0</v>
      </c>
      <c r="L11" s="15">
        <f t="shared" si="4"/>
        <v>0</v>
      </c>
      <c r="M11" s="15">
        <f t="shared" si="5"/>
        <v>20</v>
      </c>
      <c r="N11" s="15">
        <f t="shared" si="6"/>
        <v>272</v>
      </c>
      <c r="O11" s="30" t="str">
        <f t="shared" si="7"/>
        <v>10</v>
      </c>
      <c r="P11" s="72" t="s">
        <v>1413</v>
      </c>
    </row>
    <row r="12" spans="2:16" s="2" customFormat="1" ht="16.5" customHeight="1">
      <c r="B12" s="102" t="s">
        <v>1328</v>
      </c>
      <c r="C12" s="113" t="str">
        <f t="shared" si="0"/>
        <v>FF00FC00003C38</v>
      </c>
      <c r="D12" s="67" t="s">
        <v>1329</v>
      </c>
      <c r="E12" s="67" t="s">
        <v>16</v>
      </c>
      <c r="F12" s="67" t="s">
        <v>16</v>
      </c>
      <c r="G12" s="67" t="s">
        <v>1331</v>
      </c>
      <c r="H12" s="14" t="str">
        <f t="shared" si="1"/>
        <v>38</v>
      </c>
      <c r="I12" s="14" t="s">
        <v>9</v>
      </c>
      <c r="J12" s="15">
        <f t="shared" si="2"/>
        <v>252</v>
      </c>
      <c r="K12" s="15">
        <f t="shared" si="3"/>
        <v>0</v>
      </c>
      <c r="L12" s="15">
        <f t="shared" si="4"/>
        <v>0</v>
      </c>
      <c r="M12" s="15">
        <f t="shared" si="5"/>
        <v>60</v>
      </c>
      <c r="N12" s="15">
        <f t="shared" si="6"/>
        <v>312</v>
      </c>
      <c r="O12" s="30" t="str">
        <f t="shared" si="7"/>
        <v>38</v>
      </c>
      <c r="P12" s="72" t="s">
        <v>1414</v>
      </c>
    </row>
    <row r="13" spans="2:16" s="2" customFormat="1" ht="16.5" customHeight="1">
      <c r="B13" s="102" t="s">
        <v>1333</v>
      </c>
      <c r="C13" s="113" t="str">
        <f t="shared" si="0"/>
        <v>FF00FD000000FD</v>
      </c>
      <c r="D13" s="67" t="s">
        <v>1335</v>
      </c>
      <c r="E13" s="67" t="s">
        <v>16</v>
      </c>
      <c r="F13" s="67" t="s">
        <v>16</v>
      </c>
      <c r="G13" s="67" t="s">
        <v>16</v>
      </c>
      <c r="H13" s="14" t="str">
        <f t="shared" si="1"/>
        <v>FD</v>
      </c>
      <c r="I13" s="14" t="s">
        <v>9</v>
      </c>
      <c r="J13" s="15">
        <f t="shared" si="2"/>
        <v>253</v>
      </c>
      <c r="K13" s="15">
        <f t="shared" si="3"/>
        <v>0</v>
      </c>
      <c r="L13" s="15">
        <f t="shared" si="4"/>
        <v>0</v>
      </c>
      <c r="M13" s="15">
        <f t="shared" si="5"/>
        <v>0</v>
      </c>
      <c r="N13" s="15">
        <f t="shared" si="6"/>
        <v>253</v>
      </c>
      <c r="O13" s="30" t="str">
        <f t="shared" si="7"/>
        <v>FD</v>
      </c>
      <c r="P13" s="72" t="s">
        <v>1415</v>
      </c>
    </row>
    <row r="14" spans="2:16" s="2" customFormat="1" ht="16.5" customHeight="1">
      <c r="B14" s="102" t="s">
        <v>1334</v>
      </c>
      <c r="C14" s="113" t="str">
        <f t="shared" si="0"/>
        <v>FF00FD0000322F</v>
      </c>
      <c r="D14" s="67" t="s">
        <v>1335</v>
      </c>
      <c r="E14" s="67" t="s">
        <v>16</v>
      </c>
      <c r="F14" s="67" t="s">
        <v>16</v>
      </c>
      <c r="G14" s="67" t="s">
        <v>1336</v>
      </c>
      <c r="H14" s="14" t="str">
        <f t="shared" si="1"/>
        <v>2F</v>
      </c>
      <c r="I14" s="14" t="s">
        <v>9</v>
      </c>
      <c r="J14" s="15">
        <f t="shared" si="2"/>
        <v>253</v>
      </c>
      <c r="K14" s="15">
        <f t="shared" si="3"/>
        <v>0</v>
      </c>
      <c r="L14" s="15">
        <f t="shared" si="4"/>
        <v>0</v>
      </c>
      <c r="M14" s="15">
        <f t="shared" si="5"/>
        <v>50</v>
      </c>
      <c r="N14" s="15">
        <f t="shared" si="6"/>
        <v>303</v>
      </c>
      <c r="O14" s="30" t="str">
        <f t="shared" si="7"/>
        <v>2F</v>
      </c>
      <c r="P14" s="72" t="s">
        <v>1416</v>
      </c>
    </row>
    <row r="15" spans="2:16" s="2" customFormat="1" ht="16.5" customHeight="1">
      <c r="B15" s="102" t="s">
        <v>1332</v>
      </c>
      <c r="C15" s="113" t="str">
        <f t="shared" si="0"/>
        <v>FF00FD00006461</v>
      </c>
      <c r="D15" s="67" t="s">
        <v>1335</v>
      </c>
      <c r="E15" s="67" t="s">
        <v>16</v>
      </c>
      <c r="F15" s="67" t="s">
        <v>16</v>
      </c>
      <c r="G15" s="67" t="s">
        <v>128</v>
      </c>
      <c r="H15" s="14" t="str">
        <f t="shared" si="1"/>
        <v>61</v>
      </c>
      <c r="I15" s="14" t="s">
        <v>9</v>
      </c>
      <c r="J15" s="15">
        <f t="shared" si="2"/>
        <v>253</v>
      </c>
      <c r="K15" s="15">
        <f t="shared" si="3"/>
        <v>0</v>
      </c>
      <c r="L15" s="15">
        <f t="shared" si="4"/>
        <v>0</v>
      </c>
      <c r="M15" s="15">
        <f t="shared" si="5"/>
        <v>100</v>
      </c>
      <c r="N15" s="15">
        <f t="shared" si="6"/>
        <v>353</v>
      </c>
      <c r="O15" s="30" t="str">
        <f t="shared" si="7"/>
        <v>61</v>
      </c>
      <c r="P15" s="72" t="s">
        <v>1417</v>
      </c>
    </row>
    <row r="16" spans="2:16" s="2" customFormat="1" ht="16.5" customHeight="1">
      <c r="B16" s="102" t="s">
        <v>1337</v>
      </c>
      <c r="C16" s="113" t="str">
        <f t="shared" si="0"/>
        <v>FF00FE000000FE</v>
      </c>
      <c r="D16" s="67" t="s">
        <v>1340</v>
      </c>
      <c r="E16" s="67" t="s">
        <v>16</v>
      </c>
      <c r="F16" s="67" t="s">
        <v>16</v>
      </c>
      <c r="G16" s="67" t="s">
        <v>16</v>
      </c>
      <c r="H16" s="14" t="str">
        <f t="shared" si="1"/>
        <v>FE</v>
      </c>
      <c r="I16" s="14" t="s">
        <v>9</v>
      </c>
      <c r="J16" s="15">
        <f t="shared" si="2"/>
        <v>254</v>
      </c>
      <c r="K16" s="15">
        <f t="shared" si="3"/>
        <v>0</v>
      </c>
      <c r="L16" s="15">
        <f t="shared" si="4"/>
        <v>0</v>
      </c>
      <c r="M16" s="15">
        <f t="shared" si="5"/>
        <v>0</v>
      </c>
      <c r="N16" s="15">
        <f t="shared" si="6"/>
        <v>254</v>
      </c>
      <c r="O16" s="30" t="str">
        <f t="shared" si="7"/>
        <v>FE</v>
      </c>
      <c r="P16" s="72" t="s">
        <v>1418</v>
      </c>
    </row>
    <row r="17" spans="2:17" s="2" customFormat="1" ht="16.5" customHeight="1">
      <c r="B17" s="102" t="s">
        <v>1338</v>
      </c>
      <c r="C17" s="113" t="str">
        <f t="shared" si="0"/>
        <v>FF00FE00003C3A</v>
      </c>
      <c r="D17" s="67" t="s">
        <v>1340</v>
      </c>
      <c r="E17" s="67" t="s">
        <v>16</v>
      </c>
      <c r="F17" s="67" t="s">
        <v>16</v>
      </c>
      <c r="G17" s="67" t="s">
        <v>1331</v>
      </c>
      <c r="H17" s="14" t="str">
        <f t="shared" si="1"/>
        <v>3A</v>
      </c>
      <c r="I17" s="14" t="s">
        <v>9</v>
      </c>
      <c r="J17" s="15">
        <f t="shared" si="2"/>
        <v>254</v>
      </c>
      <c r="K17" s="15">
        <f t="shared" si="3"/>
        <v>0</v>
      </c>
      <c r="L17" s="15">
        <f t="shared" si="4"/>
        <v>0</v>
      </c>
      <c r="M17" s="15">
        <f t="shared" si="5"/>
        <v>60</v>
      </c>
      <c r="N17" s="15">
        <f t="shared" si="6"/>
        <v>314</v>
      </c>
      <c r="O17" s="30" t="str">
        <f t="shared" si="7"/>
        <v>3A</v>
      </c>
      <c r="P17" s="72" t="s">
        <v>1419</v>
      </c>
    </row>
    <row r="18" spans="2:17" s="2" customFormat="1" ht="16.5" customHeight="1">
      <c r="B18" s="102" t="s">
        <v>1339</v>
      </c>
      <c r="C18" s="113" t="str">
        <f t="shared" ref="C18:C30" si="24">"FF00"&amp;D18&amp;E18&amp;""&amp;F18&amp;G18&amp;H18</f>
        <v>FF00FE00009694</v>
      </c>
      <c r="D18" s="67" t="s">
        <v>1340</v>
      </c>
      <c r="E18" s="67" t="s">
        <v>16</v>
      </c>
      <c r="F18" s="67" t="s">
        <v>16</v>
      </c>
      <c r="G18" s="67" t="s">
        <v>1341</v>
      </c>
      <c r="H18" s="14" t="str">
        <f t="shared" ref="H18:H30" si="25">O18</f>
        <v>94</v>
      </c>
      <c r="I18" s="14" t="s">
        <v>9</v>
      </c>
      <c r="J18" s="15">
        <f t="shared" ref="J18:J30" si="26">HEX2DEC(D18)</f>
        <v>254</v>
      </c>
      <c r="K18" s="15">
        <f t="shared" ref="K18:K30" si="27">HEX2DEC(E18)</f>
        <v>0</v>
      </c>
      <c r="L18" s="15">
        <f t="shared" ref="L18:L30" si="28">HEX2DEC(F18)</f>
        <v>0</v>
      </c>
      <c r="M18" s="15">
        <f t="shared" ref="M18:M30" si="29">HEX2DEC(G18)</f>
        <v>150</v>
      </c>
      <c r="N18" s="15">
        <f t="shared" ref="N18:N30" si="30">SUM(J18:M18)</f>
        <v>404</v>
      </c>
      <c r="O18" s="30" t="str">
        <f t="shared" ref="O18:O30" si="31">REPT("0",2-LEN(RIGHT(DEC2HEX(N18), 2)))&amp;RIGHT(DEC2HEX(N18), 2)</f>
        <v>94</v>
      </c>
      <c r="P18" s="72" t="s">
        <v>1420</v>
      </c>
    </row>
    <row r="19" spans="2:17" s="2" customFormat="1" ht="16.5" customHeight="1">
      <c r="B19" s="102" t="s">
        <v>1342</v>
      </c>
      <c r="C19" s="113" t="str">
        <f t="shared" si="24"/>
        <v>FF00F6000001F7</v>
      </c>
      <c r="D19" s="67" t="s">
        <v>1344</v>
      </c>
      <c r="E19" s="67" t="s">
        <v>16</v>
      </c>
      <c r="F19" s="67" t="s">
        <v>16</v>
      </c>
      <c r="G19" s="67" t="s">
        <v>24</v>
      </c>
      <c r="H19" s="14" t="str">
        <f t="shared" si="25"/>
        <v>F7</v>
      </c>
      <c r="I19" s="14" t="s">
        <v>9</v>
      </c>
      <c r="J19" s="15">
        <f t="shared" si="26"/>
        <v>246</v>
      </c>
      <c r="K19" s="15">
        <f t="shared" si="27"/>
        <v>0</v>
      </c>
      <c r="L19" s="15">
        <f t="shared" si="28"/>
        <v>0</v>
      </c>
      <c r="M19" s="15">
        <f t="shared" si="29"/>
        <v>1</v>
      </c>
      <c r="N19" s="15">
        <f t="shared" si="30"/>
        <v>247</v>
      </c>
      <c r="O19" s="30" t="str">
        <f t="shared" si="31"/>
        <v>F7</v>
      </c>
      <c r="P19" s="72" t="s">
        <v>1421</v>
      </c>
      <c r="Q19" s="110"/>
    </row>
    <row r="20" spans="2:17" s="2" customFormat="1" ht="16.5" customHeight="1">
      <c r="B20" s="102" t="s">
        <v>1343</v>
      </c>
      <c r="C20" s="113" t="str">
        <f t="shared" si="24"/>
        <v>FF00F6000002F8</v>
      </c>
      <c r="D20" s="67" t="s">
        <v>1344</v>
      </c>
      <c r="E20" s="67" t="s">
        <v>16</v>
      </c>
      <c r="F20" s="67" t="s">
        <v>16</v>
      </c>
      <c r="G20" s="67" t="s">
        <v>17</v>
      </c>
      <c r="H20" s="14" t="str">
        <f t="shared" si="25"/>
        <v>F8</v>
      </c>
      <c r="I20" s="14" t="s">
        <v>9</v>
      </c>
      <c r="J20" s="15">
        <f t="shared" si="26"/>
        <v>246</v>
      </c>
      <c r="K20" s="15">
        <f t="shared" si="27"/>
        <v>0</v>
      </c>
      <c r="L20" s="15">
        <f t="shared" si="28"/>
        <v>0</v>
      </c>
      <c r="M20" s="15">
        <f t="shared" si="29"/>
        <v>2</v>
      </c>
      <c r="N20" s="15">
        <f t="shared" si="30"/>
        <v>248</v>
      </c>
      <c r="O20" s="30" t="str">
        <f t="shared" si="31"/>
        <v>F8</v>
      </c>
      <c r="P20" s="72" t="s">
        <v>1422</v>
      </c>
    </row>
    <row r="21" spans="2:17" s="2" customFormat="1" ht="16.5" customHeight="1">
      <c r="B21" s="102" t="s">
        <v>1347</v>
      </c>
      <c r="C21" s="113" t="str">
        <f t="shared" si="24"/>
        <v>FF00F5000000F5</v>
      </c>
      <c r="D21" s="67" t="s">
        <v>1345</v>
      </c>
      <c r="E21" s="67" t="s">
        <v>16</v>
      </c>
      <c r="F21" s="67" t="s">
        <v>16</v>
      </c>
      <c r="G21" s="67" t="s">
        <v>16</v>
      </c>
      <c r="H21" s="14" t="str">
        <f t="shared" si="25"/>
        <v>F5</v>
      </c>
      <c r="I21" s="14" t="s">
        <v>9</v>
      </c>
      <c r="J21" s="15">
        <f t="shared" si="26"/>
        <v>245</v>
      </c>
      <c r="K21" s="15">
        <f t="shared" si="27"/>
        <v>0</v>
      </c>
      <c r="L21" s="15">
        <f t="shared" si="28"/>
        <v>0</v>
      </c>
      <c r="M21" s="15">
        <f t="shared" si="29"/>
        <v>0</v>
      </c>
      <c r="N21" s="15">
        <f t="shared" si="30"/>
        <v>245</v>
      </c>
      <c r="O21" s="30" t="str">
        <f t="shared" si="31"/>
        <v>F5</v>
      </c>
      <c r="P21" s="72" t="s">
        <v>1423</v>
      </c>
    </row>
    <row r="22" spans="2:17" s="2" customFormat="1" ht="16.5" customHeight="1">
      <c r="B22" s="102" t="s">
        <v>1348</v>
      </c>
      <c r="C22" s="113" t="str">
        <f t="shared" si="24"/>
        <v>FF00F50000968B</v>
      </c>
      <c r="D22" s="67" t="s">
        <v>1345</v>
      </c>
      <c r="E22" s="67" t="s">
        <v>16</v>
      </c>
      <c r="F22" s="67" t="s">
        <v>16</v>
      </c>
      <c r="G22" s="67" t="s">
        <v>1341</v>
      </c>
      <c r="H22" s="14" t="str">
        <f t="shared" si="25"/>
        <v>8B</v>
      </c>
      <c r="I22" s="14" t="s">
        <v>9</v>
      </c>
      <c r="J22" s="15">
        <f t="shared" si="26"/>
        <v>245</v>
      </c>
      <c r="K22" s="15">
        <f t="shared" si="27"/>
        <v>0</v>
      </c>
      <c r="L22" s="15">
        <f t="shared" si="28"/>
        <v>0</v>
      </c>
      <c r="M22" s="15">
        <f t="shared" si="29"/>
        <v>150</v>
      </c>
      <c r="N22" s="15">
        <f t="shared" si="30"/>
        <v>395</v>
      </c>
      <c r="O22" s="30" t="str">
        <f t="shared" si="31"/>
        <v>8B</v>
      </c>
      <c r="P22" s="72" t="s">
        <v>1424</v>
      </c>
    </row>
    <row r="23" spans="2:17" s="2" customFormat="1" ht="16.5" customHeight="1">
      <c r="B23" s="102" t="s">
        <v>1349</v>
      </c>
      <c r="C23" s="113" t="str">
        <f t="shared" ref="C23:C25" si="32">"FF00"&amp;D23&amp;E23&amp;""&amp;F23&amp;G23&amp;H23</f>
        <v>FF00F500012C22</v>
      </c>
      <c r="D23" s="67" t="s">
        <v>1345</v>
      </c>
      <c r="E23" s="67" t="s">
        <v>16</v>
      </c>
      <c r="F23" s="67" t="s">
        <v>24</v>
      </c>
      <c r="G23" s="67" t="s">
        <v>1346</v>
      </c>
      <c r="H23" s="14" t="str">
        <f t="shared" ref="H23:H25" si="33">O23</f>
        <v>22</v>
      </c>
      <c r="I23" s="14" t="s">
        <v>9</v>
      </c>
      <c r="J23" s="15">
        <f t="shared" ref="J23:J25" si="34">HEX2DEC(D23)</f>
        <v>245</v>
      </c>
      <c r="K23" s="15">
        <f t="shared" ref="K23:K25" si="35">HEX2DEC(E23)</f>
        <v>0</v>
      </c>
      <c r="L23" s="15">
        <f t="shared" ref="L23:L25" si="36">HEX2DEC(F23)</f>
        <v>1</v>
      </c>
      <c r="M23" s="15">
        <f t="shared" ref="M23:M25" si="37">HEX2DEC(G23)</f>
        <v>44</v>
      </c>
      <c r="N23" s="15">
        <f t="shared" ref="N23:N25" si="38">SUM(J23:M23)</f>
        <v>290</v>
      </c>
      <c r="O23" s="30" t="str">
        <f t="shared" ref="O23:O25" si="39">REPT("0",2-LEN(RIGHT(DEC2HEX(N23), 2)))&amp;RIGHT(DEC2HEX(N23), 2)</f>
        <v>22</v>
      </c>
      <c r="P23" s="72" t="s">
        <v>1425</v>
      </c>
    </row>
    <row r="24" spans="2:17" s="2" customFormat="1" ht="16.5" customHeight="1">
      <c r="B24" s="102" t="s">
        <v>1464</v>
      </c>
      <c r="C24" s="113" t="str">
        <f t="shared" ref="C24" si="40">"FF00"&amp;D24&amp;E24&amp;""&amp;F24&amp;G24&amp;H24</f>
        <v>FF00E000012E3</v>
      </c>
      <c r="D24" s="67" t="s">
        <v>15</v>
      </c>
      <c r="E24" s="67" t="s">
        <v>16</v>
      </c>
      <c r="F24" s="67" t="s">
        <v>24</v>
      </c>
      <c r="G24" s="67" t="s">
        <v>1463</v>
      </c>
      <c r="H24" s="14" t="str">
        <f t="shared" ref="H24" si="41">O24</f>
        <v>E3</v>
      </c>
      <c r="I24" s="14" t="s">
        <v>9</v>
      </c>
      <c r="J24" s="15">
        <f t="shared" ref="J24" si="42">HEX2DEC(D24)</f>
        <v>224</v>
      </c>
      <c r="K24" s="15">
        <f t="shared" ref="K24" si="43">HEX2DEC(E24)</f>
        <v>0</v>
      </c>
      <c r="L24" s="15">
        <f t="shared" ref="L24" si="44">HEX2DEC(F24)</f>
        <v>1</v>
      </c>
      <c r="M24" s="15">
        <f t="shared" ref="M24" si="45">HEX2DEC(G24)</f>
        <v>2</v>
      </c>
      <c r="N24" s="15">
        <f t="shared" ref="N24" si="46">SUM(J24:M24)</f>
        <v>227</v>
      </c>
      <c r="O24" s="30" t="str">
        <f t="shared" ref="O24" si="47">REPT("0",2-LEN(RIGHT(DEC2HEX(N24), 2)))&amp;RIGHT(DEC2HEX(N24), 2)</f>
        <v>E3</v>
      </c>
      <c r="P24" s="72" t="s">
        <v>1467</v>
      </c>
    </row>
    <row r="25" spans="2:17" s="2" customFormat="1" ht="16.5" customHeight="1">
      <c r="B25" s="102" t="s">
        <v>1465</v>
      </c>
      <c r="C25" s="113" t="str">
        <f t="shared" si="32"/>
        <v>FF00E000016445</v>
      </c>
      <c r="D25" s="67" t="s">
        <v>15</v>
      </c>
      <c r="E25" s="67" t="s">
        <v>16</v>
      </c>
      <c r="F25" s="67" t="s">
        <v>24</v>
      </c>
      <c r="G25" s="67" t="s">
        <v>128</v>
      </c>
      <c r="H25" s="14" t="str">
        <f t="shared" si="33"/>
        <v>45</v>
      </c>
      <c r="I25" s="14" t="s">
        <v>9</v>
      </c>
      <c r="J25" s="15">
        <f t="shared" si="34"/>
        <v>224</v>
      </c>
      <c r="K25" s="15">
        <f t="shared" si="35"/>
        <v>0</v>
      </c>
      <c r="L25" s="15">
        <f t="shared" si="36"/>
        <v>1</v>
      </c>
      <c r="M25" s="15">
        <f t="shared" si="37"/>
        <v>100</v>
      </c>
      <c r="N25" s="15">
        <f t="shared" si="38"/>
        <v>325</v>
      </c>
      <c r="O25" s="30" t="str">
        <f t="shared" si="39"/>
        <v>45</v>
      </c>
      <c r="P25" s="72" t="s">
        <v>1468</v>
      </c>
    </row>
    <row r="26" spans="2:17" s="2" customFormat="1" ht="16.5" customHeight="1" thickBot="1">
      <c r="B26" s="103" t="s">
        <v>1466</v>
      </c>
      <c r="C26" s="114" t="str">
        <f t="shared" si="24"/>
        <v>FF00E00001C8A9</v>
      </c>
      <c r="D26" s="69" t="s">
        <v>15</v>
      </c>
      <c r="E26" s="69" t="s">
        <v>16</v>
      </c>
      <c r="F26" s="69" t="s">
        <v>24</v>
      </c>
      <c r="G26" s="69" t="s">
        <v>1252</v>
      </c>
      <c r="H26" s="36" t="str">
        <f t="shared" si="25"/>
        <v>A9</v>
      </c>
      <c r="I26" s="36" t="s">
        <v>9</v>
      </c>
      <c r="J26" s="37">
        <f t="shared" si="26"/>
        <v>224</v>
      </c>
      <c r="K26" s="37">
        <f t="shared" si="27"/>
        <v>0</v>
      </c>
      <c r="L26" s="37">
        <f t="shared" si="28"/>
        <v>1</v>
      </c>
      <c r="M26" s="37">
        <f t="shared" si="29"/>
        <v>200</v>
      </c>
      <c r="N26" s="37">
        <f t="shared" si="30"/>
        <v>425</v>
      </c>
      <c r="O26" s="38" t="str">
        <f t="shared" si="31"/>
        <v>A9</v>
      </c>
      <c r="P26" s="72" t="s">
        <v>1469</v>
      </c>
    </row>
    <row r="27" spans="2:17" s="2" customFormat="1" ht="16.5" customHeight="1">
      <c r="B27" s="116" t="s">
        <v>1295</v>
      </c>
      <c r="C27" s="115" t="str">
        <f t="shared" ref="C27:C28" si="48">"FF00"&amp;D27&amp;E27&amp;""&amp;F27&amp;G27&amp;H27</f>
        <v>FF00B0000001B1</v>
      </c>
      <c r="D27" s="111" t="s">
        <v>1281</v>
      </c>
      <c r="E27" s="111" t="s">
        <v>16</v>
      </c>
      <c r="F27" s="111" t="s">
        <v>16</v>
      </c>
      <c r="G27" s="111" t="s">
        <v>24</v>
      </c>
      <c r="H27" s="98" t="str">
        <f t="shared" ref="H27:H28" si="49">O27</f>
        <v>B1</v>
      </c>
      <c r="I27" s="98" t="s">
        <v>9</v>
      </c>
      <c r="J27" s="99">
        <f t="shared" ref="J27:J28" si="50">HEX2DEC(D27)</f>
        <v>176</v>
      </c>
      <c r="K27" s="99">
        <f t="shared" ref="K27:K28" si="51">HEX2DEC(E27)</f>
        <v>0</v>
      </c>
      <c r="L27" s="99">
        <f t="shared" ref="L27:L28" si="52">HEX2DEC(F27)</f>
        <v>0</v>
      </c>
      <c r="M27" s="99">
        <f t="shared" ref="M27:M28" si="53">HEX2DEC(G27)</f>
        <v>1</v>
      </c>
      <c r="N27" s="99">
        <f t="shared" ref="N27:N28" si="54">SUM(J27:M27)</f>
        <v>177</v>
      </c>
      <c r="O27" s="100" t="str">
        <f>REPT("0",2-LEN(RIGHT(DEC2HEX(N27), 2)))&amp;RIGHT(DEC2HEX(N27), 2)</f>
        <v>B1</v>
      </c>
      <c r="P27" s="72" t="s">
        <v>1309</v>
      </c>
    </row>
    <row r="28" spans="2:17" s="2" customFormat="1" ht="16.5" customHeight="1">
      <c r="B28" s="102" t="s">
        <v>1296</v>
      </c>
      <c r="C28" s="113" t="str">
        <f t="shared" si="48"/>
        <v>FF00B0000000B0</v>
      </c>
      <c r="D28" s="67" t="s">
        <v>1281</v>
      </c>
      <c r="E28" s="67" t="s">
        <v>16</v>
      </c>
      <c r="F28" s="67" t="s">
        <v>16</v>
      </c>
      <c r="G28" s="67" t="s">
        <v>16</v>
      </c>
      <c r="H28" s="14" t="str">
        <f t="shared" si="49"/>
        <v>B0</v>
      </c>
      <c r="I28" s="14" t="s">
        <v>9</v>
      </c>
      <c r="J28" s="15">
        <f t="shared" si="50"/>
        <v>176</v>
      </c>
      <c r="K28" s="15">
        <f t="shared" si="51"/>
        <v>0</v>
      </c>
      <c r="L28" s="15">
        <f t="shared" si="52"/>
        <v>0</v>
      </c>
      <c r="M28" s="15">
        <f t="shared" si="53"/>
        <v>0</v>
      </c>
      <c r="N28" s="15">
        <f t="shared" si="54"/>
        <v>176</v>
      </c>
      <c r="O28" s="30" t="str">
        <f>REPT("0",2-LEN(RIGHT(DEC2HEX(N28), 2)))&amp;RIGHT(DEC2HEX(N28), 2)</f>
        <v>B0</v>
      </c>
      <c r="P28" s="72" t="s">
        <v>1310</v>
      </c>
    </row>
    <row r="29" spans="2:17" s="2" customFormat="1" ht="16.5" customHeight="1">
      <c r="B29" s="116" t="s">
        <v>1350</v>
      </c>
      <c r="C29" s="115" t="str">
        <f t="shared" si="24"/>
        <v>FF00B1000001B2</v>
      </c>
      <c r="D29" s="111" t="s">
        <v>32</v>
      </c>
      <c r="E29" s="111" t="s">
        <v>16</v>
      </c>
      <c r="F29" s="111" t="s">
        <v>16</v>
      </c>
      <c r="G29" s="111" t="s">
        <v>24</v>
      </c>
      <c r="H29" s="98" t="str">
        <f t="shared" si="25"/>
        <v>B2</v>
      </c>
      <c r="I29" s="98" t="s">
        <v>9</v>
      </c>
      <c r="J29" s="99">
        <f t="shared" si="26"/>
        <v>177</v>
      </c>
      <c r="K29" s="99">
        <f t="shared" si="27"/>
        <v>0</v>
      </c>
      <c r="L29" s="99">
        <f t="shared" si="28"/>
        <v>0</v>
      </c>
      <c r="M29" s="99">
        <f t="shared" si="29"/>
        <v>1</v>
      </c>
      <c r="N29" s="99">
        <f t="shared" si="30"/>
        <v>178</v>
      </c>
      <c r="O29" s="100" t="str">
        <f t="shared" si="31"/>
        <v>B2</v>
      </c>
      <c r="P29" s="72" t="s">
        <v>1426</v>
      </c>
    </row>
    <row r="30" spans="2:17" s="2" customFormat="1" ht="16.5" customHeight="1">
      <c r="B30" s="102" t="s">
        <v>1390</v>
      </c>
      <c r="C30" s="113" t="str">
        <f t="shared" si="24"/>
        <v>FF00B1000000B1</v>
      </c>
      <c r="D30" s="111" t="s">
        <v>32</v>
      </c>
      <c r="E30" s="67" t="s">
        <v>16</v>
      </c>
      <c r="F30" s="67" t="s">
        <v>16</v>
      </c>
      <c r="G30" s="67" t="s">
        <v>16</v>
      </c>
      <c r="H30" s="14" t="str">
        <f t="shared" si="25"/>
        <v>B1</v>
      </c>
      <c r="I30" s="14" t="s">
        <v>9</v>
      </c>
      <c r="J30" s="15">
        <f t="shared" si="26"/>
        <v>177</v>
      </c>
      <c r="K30" s="15">
        <f t="shared" si="27"/>
        <v>0</v>
      </c>
      <c r="L30" s="15">
        <f t="shared" si="28"/>
        <v>0</v>
      </c>
      <c r="M30" s="15">
        <f t="shared" si="29"/>
        <v>0</v>
      </c>
      <c r="N30" s="15">
        <f t="shared" si="30"/>
        <v>177</v>
      </c>
      <c r="O30" s="30" t="str">
        <f t="shared" si="31"/>
        <v>B1</v>
      </c>
      <c r="P30" s="72" t="s">
        <v>1427</v>
      </c>
    </row>
    <row r="31" spans="2:17" s="2" customFormat="1" ht="16.5" customHeight="1">
      <c r="B31" s="102" t="s">
        <v>1351</v>
      </c>
      <c r="C31" s="113" t="str">
        <f t="shared" ref="C31:C34" si="55">"FF00"&amp;D31&amp;E31&amp;""&amp;F31&amp;G31&amp;H31</f>
        <v>FF00B2000001B3</v>
      </c>
      <c r="D31" s="67" t="s">
        <v>29</v>
      </c>
      <c r="E31" s="67" t="s">
        <v>16</v>
      </c>
      <c r="F31" s="67" t="s">
        <v>16</v>
      </c>
      <c r="G31" s="67" t="s">
        <v>24</v>
      </c>
      <c r="H31" s="14" t="str">
        <f t="shared" ref="H31:H34" si="56">O31</f>
        <v>B3</v>
      </c>
      <c r="I31" s="14" t="s">
        <v>9</v>
      </c>
      <c r="J31" s="15">
        <f t="shared" ref="J31:J34" si="57">HEX2DEC(D31)</f>
        <v>178</v>
      </c>
      <c r="K31" s="15">
        <f t="shared" ref="K31:K34" si="58">HEX2DEC(E31)</f>
        <v>0</v>
      </c>
      <c r="L31" s="15">
        <f t="shared" ref="L31:L34" si="59">HEX2DEC(F31)</f>
        <v>0</v>
      </c>
      <c r="M31" s="15">
        <f t="shared" ref="M31:M34" si="60">HEX2DEC(G31)</f>
        <v>1</v>
      </c>
      <c r="N31" s="15">
        <f t="shared" ref="N31:N34" si="61">SUM(J31:M31)</f>
        <v>179</v>
      </c>
      <c r="O31" s="30" t="str">
        <f t="shared" ref="O31:O34" si="62">REPT("0",2-LEN(RIGHT(DEC2HEX(N31), 2)))&amp;RIGHT(DEC2HEX(N31), 2)</f>
        <v>B3</v>
      </c>
      <c r="P31" s="72" t="s">
        <v>1428</v>
      </c>
    </row>
    <row r="32" spans="2:17" s="2" customFormat="1" ht="16.5" customHeight="1">
      <c r="B32" s="102" t="s">
        <v>1352</v>
      </c>
      <c r="C32" s="113" t="str">
        <f t="shared" si="55"/>
        <v>FF00B2000000B2</v>
      </c>
      <c r="D32" s="67" t="s">
        <v>29</v>
      </c>
      <c r="E32" s="67" t="s">
        <v>16</v>
      </c>
      <c r="F32" s="67" t="s">
        <v>16</v>
      </c>
      <c r="G32" s="67" t="s">
        <v>16</v>
      </c>
      <c r="H32" s="14" t="str">
        <f t="shared" si="56"/>
        <v>B2</v>
      </c>
      <c r="I32" s="14" t="s">
        <v>9</v>
      </c>
      <c r="J32" s="15">
        <f t="shared" si="57"/>
        <v>178</v>
      </c>
      <c r="K32" s="15">
        <f t="shared" si="58"/>
        <v>0</v>
      </c>
      <c r="L32" s="15">
        <f t="shared" si="59"/>
        <v>0</v>
      </c>
      <c r="M32" s="15">
        <f t="shared" si="60"/>
        <v>0</v>
      </c>
      <c r="N32" s="15">
        <f t="shared" si="61"/>
        <v>178</v>
      </c>
      <c r="O32" s="30" t="str">
        <f t="shared" si="62"/>
        <v>B2</v>
      </c>
      <c r="P32" s="72" t="s">
        <v>1429</v>
      </c>
    </row>
    <row r="33" spans="2:16" s="2" customFormat="1" ht="16.5" customHeight="1">
      <c r="B33" s="102" t="s">
        <v>1354</v>
      </c>
      <c r="C33" s="113" t="str">
        <f t="shared" si="55"/>
        <v>FF00B3000001B4</v>
      </c>
      <c r="D33" s="67" t="s">
        <v>1353</v>
      </c>
      <c r="E33" s="67" t="s">
        <v>16</v>
      </c>
      <c r="F33" s="67" t="s">
        <v>16</v>
      </c>
      <c r="G33" s="67" t="s">
        <v>24</v>
      </c>
      <c r="H33" s="14" t="str">
        <f t="shared" si="56"/>
        <v>B4</v>
      </c>
      <c r="I33" s="14" t="s">
        <v>9</v>
      </c>
      <c r="J33" s="15">
        <f t="shared" si="57"/>
        <v>179</v>
      </c>
      <c r="K33" s="15">
        <f t="shared" si="58"/>
        <v>0</v>
      </c>
      <c r="L33" s="15">
        <f t="shared" si="59"/>
        <v>0</v>
      </c>
      <c r="M33" s="15">
        <f t="shared" si="60"/>
        <v>1</v>
      </c>
      <c r="N33" s="15">
        <f t="shared" si="61"/>
        <v>180</v>
      </c>
      <c r="O33" s="30" t="str">
        <f t="shared" si="62"/>
        <v>B4</v>
      </c>
      <c r="P33" s="72" t="s">
        <v>1430</v>
      </c>
    </row>
    <row r="34" spans="2:16" s="2" customFormat="1" ht="16.5" customHeight="1">
      <c r="B34" s="102" t="s">
        <v>1355</v>
      </c>
      <c r="C34" s="113" t="str">
        <f t="shared" si="55"/>
        <v>FF00B3000000B3</v>
      </c>
      <c r="D34" s="67" t="s">
        <v>1353</v>
      </c>
      <c r="E34" s="67" t="s">
        <v>16</v>
      </c>
      <c r="F34" s="67" t="s">
        <v>16</v>
      </c>
      <c r="G34" s="67" t="s">
        <v>16</v>
      </c>
      <c r="H34" s="14" t="str">
        <f t="shared" si="56"/>
        <v>B3</v>
      </c>
      <c r="I34" s="14" t="s">
        <v>9</v>
      </c>
      <c r="J34" s="15">
        <f t="shared" si="57"/>
        <v>179</v>
      </c>
      <c r="K34" s="15">
        <f t="shared" si="58"/>
        <v>0</v>
      </c>
      <c r="L34" s="15">
        <f t="shared" si="59"/>
        <v>0</v>
      </c>
      <c r="M34" s="15">
        <f t="shared" si="60"/>
        <v>0</v>
      </c>
      <c r="N34" s="15">
        <f t="shared" si="61"/>
        <v>179</v>
      </c>
      <c r="O34" s="30" t="str">
        <f t="shared" si="62"/>
        <v>B3</v>
      </c>
      <c r="P34" s="72" t="s">
        <v>1431</v>
      </c>
    </row>
    <row r="35" spans="2:16" s="2" customFormat="1" ht="16.5" customHeight="1">
      <c r="B35" s="102" t="s">
        <v>1356</v>
      </c>
      <c r="C35" s="113" t="str">
        <f t="shared" ref="C35:C36" si="63">"FF00"&amp;D35&amp;E35&amp;""&amp;F35&amp;G35&amp;H35</f>
        <v>FF00B4000000B4</v>
      </c>
      <c r="D35" s="67" t="s">
        <v>124</v>
      </c>
      <c r="E35" s="67" t="s">
        <v>16</v>
      </c>
      <c r="F35" s="67" t="s">
        <v>16</v>
      </c>
      <c r="G35" s="67" t="s">
        <v>16</v>
      </c>
      <c r="H35" s="14" t="str">
        <f t="shared" ref="H35:H36" si="64">O35</f>
        <v>B4</v>
      </c>
      <c r="I35" s="14" t="s">
        <v>9</v>
      </c>
      <c r="J35" s="15">
        <f t="shared" ref="J35:J36" si="65">HEX2DEC(D35)</f>
        <v>180</v>
      </c>
      <c r="K35" s="15">
        <f t="shared" ref="K35:K36" si="66">HEX2DEC(E35)</f>
        <v>0</v>
      </c>
      <c r="L35" s="15">
        <f t="shared" ref="L35:L36" si="67">HEX2DEC(F35)</f>
        <v>0</v>
      </c>
      <c r="M35" s="15">
        <f t="shared" ref="M35:M36" si="68">HEX2DEC(G35)</f>
        <v>0</v>
      </c>
      <c r="N35" s="15">
        <f t="shared" ref="N35:N36" si="69">SUM(J35:M35)</f>
        <v>180</v>
      </c>
      <c r="O35" s="30" t="str">
        <f t="shared" ref="O35:O68" si="70">REPT("0",2-LEN(RIGHT(DEC2HEX(N35), 2)))&amp;RIGHT(DEC2HEX(N35), 2)</f>
        <v>B4</v>
      </c>
      <c r="P35" s="72" t="s">
        <v>1432</v>
      </c>
    </row>
    <row r="36" spans="2:16" s="2" customFormat="1" ht="16.5" customHeight="1">
      <c r="B36" s="102" t="s">
        <v>1357</v>
      </c>
      <c r="C36" s="113" t="str">
        <f t="shared" si="63"/>
        <v>FF00B4000001B5</v>
      </c>
      <c r="D36" s="67" t="s">
        <v>124</v>
      </c>
      <c r="E36" s="67" t="s">
        <v>16</v>
      </c>
      <c r="F36" s="67" t="s">
        <v>16</v>
      </c>
      <c r="G36" s="67" t="s">
        <v>24</v>
      </c>
      <c r="H36" s="14" t="str">
        <f t="shared" si="64"/>
        <v>B5</v>
      </c>
      <c r="I36" s="14" t="s">
        <v>9</v>
      </c>
      <c r="J36" s="15">
        <f t="shared" si="65"/>
        <v>180</v>
      </c>
      <c r="K36" s="15">
        <f t="shared" si="66"/>
        <v>0</v>
      </c>
      <c r="L36" s="15">
        <f t="shared" si="67"/>
        <v>0</v>
      </c>
      <c r="M36" s="15">
        <f t="shared" si="68"/>
        <v>1</v>
      </c>
      <c r="N36" s="15">
        <f t="shared" si="69"/>
        <v>181</v>
      </c>
      <c r="O36" s="30" t="str">
        <f t="shared" si="70"/>
        <v>B5</v>
      </c>
      <c r="P36" s="72" t="s">
        <v>1433</v>
      </c>
    </row>
    <row r="37" spans="2:16" s="2" customFormat="1" ht="16.5" customHeight="1">
      <c r="B37" s="102" t="s">
        <v>1358</v>
      </c>
      <c r="C37" s="113" t="str">
        <f t="shared" ref="C37" si="71">"FF00"&amp;D37&amp;E37&amp;""&amp;F37&amp;G37&amp;H37</f>
        <v>FF00B4000002B6</v>
      </c>
      <c r="D37" s="67" t="s">
        <v>124</v>
      </c>
      <c r="E37" s="67" t="s">
        <v>16</v>
      </c>
      <c r="F37" s="67" t="s">
        <v>16</v>
      </c>
      <c r="G37" s="67" t="s">
        <v>17</v>
      </c>
      <c r="H37" s="14" t="str">
        <f t="shared" ref="H37" si="72">O37</f>
        <v>B6</v>
      </c>
      <c r="I37" s="14" t="s">
        <v>9</v>
      </c>
      <c r="J37" s="15">
        <f t="shared" ref="J37" si="73">HEX2DEC(D37)</f>
        <v>180</v>
      </c>
      <c r="K37" s="15">
        <f t="shared" ref="K37" si="74">HEX2DEC(E37)</f>
        <v>0</v>
      </c>
      <c r="L37" s="15">
        <f t="shared" ref="L37" si="75">HEX2DEC(F37)</f>
        <v>0</v>
      </c>
      <c r="M37" s="15">
        <f t="shared" ref="M37" si="76">HEX2DEC(G37)</f>
        <v>2</v>
      </c>
      <c r="N37" s="15">
        <f t="shared" ref="N37" si="77">SUM(J37:M37)</f>
        <v>182</v>
      </c>
      <c r="O37" s="30" t="str">
        <f t="shared" si="70"/>
        <v>B6</v>
      </c>
      <c r="P37" s="72" t="s">
        <v>1434</v>
      </c>
    </row>
    <row r="38" spans="2:16" s="2" customFormat="1" ht="16.5" customHeight="1">
      <c r="B38" s="102" t="s">
        <v>1359</v>
      </c>
      <c r="C38" s="113" t="str">
        <f t="shared" ref="C38" si="78">"FF00"&amp;D38&amp;E38&amp;""&amp;F38&amp;G38&amp;H38</f>
        <v>FF00B5000000B5</v>
      </c>
      <c r="D38" s="67" t="s">
        <v>1362</v>
      </c>
      <c r="E38" s="67" t="s">
        <v>16</v>
      </c>
      <c r="F38" s="67" t="s">
        <v>16</v>
      </c>
      <c r="G38" s="67" t="s">
        <v>16</v>
      </c>
      <c r="H38" s="14" t="str">
        <f t="shared" ref="H38" si="79">O38</f>
        <v>B5</v>
      </c>
      <c r="I38" s="14" t="s">
        <v>9</v>
      </c>
      <c r="J38" s="15">
        <f t="shared" ref="J38" si="80">HEX2DEC(D38)</f>
        <v>181</v>
      </c>
      <c r="K38" s="15">
        <f t="shared" ref="K38" si="81">HEX2DEC(E38)</f>
        <v>0</v>
      </c>
      <c r="L38" s="15">
        <f t="shared" ref="L38" si="82">HEX2DEC(F38)</f>
        <v>0</v>
      </c>
      <c r="M38" s="15">
        <f t="shared" ref="M38" si="83">HEX2DEC(G38)</f>
        <v>0</v>
      </c>
      <c r="N38" s="15">
        <f t="shared" ref="N38" si="84">SUM(J38:M38)</f>
        <v>181</v>
      </c>
      <c r="O38" s="30" t="str">
        <f t="shared" si="70"/>
        <v>B5</v>
      </c>
      <c r="P38" s="72" t="s">
        <v>1435</v>
      </c>
    </row>
    <row r="39" spans="2:16" s="2" customFormat="1" ht="16.5" customHeight="1">
      <c r="B39" s="102" t="s">
        <v>1360</v>
      </c>
      <c r="C39" s="113" t="str">
        <f t="shared" ref="C39:C64" si="85">"FF00"&amp;D39&amp;E39&amp;""&amp;F39&amp;G39&amp;H39</f>
        <v>FF00B5000005BA</v>
      </c>
      <c r="D39" s="67" t="s">
        <v>1362</v>
      </c>
      <c r="E39" s="67" t="s">
        <v>16</v>
      </c>
      <c r="F39" s="67" t="s">
        <v>16</v>
      </c>
      <c r="G39" s="67" t="s">
        <v>92</v>
      </c>
      <c r="H39" s="14" t="str">
        <f t="shared" ref="H39:H64" si="86">O39</f>
        <v>BA</v>
      </c>
      <c r="I39" s="14" t="s">
        <v>9</v>
      </c>
      <c r="J39" s="15">
        <f t="shared" ref="J39:J64" si="87">HEX2DEC(D39)</f>
        <v>181</v>
      </c>
      <c r="K39" s="15">
        <f t="shared" ref="K39:K64" si="88">HEX2DEC(E39)</f>
        <v>0</v>
      </c>
      <c r="L39" s="15">
        <f t="shared" ref="L39:L64" si="89">HEX2DEC(F39)</f>
        <v>0</v>
      </c>
      <c r="M39" s="15">
        <f t="shared" ref="M39:M64" si="90">HEX2DEC(G39)</f>
        <v>5</v>
      </c>
      <c r="N39" s="15">
        <f t="shared" ref="N39:N64" si="91">SUM(J39:M39)</f>
        <v>186</v>
      </c>
      <c r="O39" s="30" t="str">
        <f t="shared" si="70"/>
        <v>BA</v>
      </c>
      <c r="P39" s="72" t="s">
        <v>1436</v>
      </c>
    </row>
    <row r="40" spans="2:16" s="2" customFormat="1" ht="16.5" customHeight="1">
      <c r="B40" s="102" t="s">
        <v>1361</v>
      </c>
      <c r="C40" s="113" t="str">
        <f t="shared" si="85"/>
        <v>FF00B500000ABF</v>
      </c>
      <c r="D40" s="67" t="s">
        <v>1362</v>
      </c>
      <c r="E40" s="67" t="s">
        <v>16</v>
      </c>
      <c r="F40" s="67" t="s">
        <v>16</v>
      </c>
      <c r="G40" s="67" t="s">
        <v>61</v>
      </c>
      <c r="H40" s="14" t="str">
        <f t="shared" si="86"/>
        <v>BF</v>
      </c>
      <c r="I40" s="14" t="s">
        <v>9</v>
      </c>
      <c r="J40" s="15">
        <f t="shared" si="87"/>
        <v>181</v>
      </c>
      <c r="K40" s="15">
        <f t="shared" si="88"/>
        <v>0</v>
      </c>
      <c r="L40" s="15">
        <f t="shared" si="89"/>
        <v>0</v>
      </c>
      <c r="M40" s="15">
        <f t="shared" si="90"/>
        <v>10</v>
      </c>
      <c r="N40" s="15">
        <f t="shared" si="91"/>
        <v>191</v>
      </c>
      <c r="O40" s="30" t="str">
        <f t="shared" si="70"/>
        <v>BF</v>
      </c>
      <c r="P40" s="72" t="s">
        <v>1437</v>
      </c>
    </row>
    <row r="41" spans="2:16" s="2" customFormat="1" ht="16.5" customHeight="1">
      <c r="B41" s="102" t="s">
        <v>1363</v>
      </c>
      <c r="C41" s="113" t="str">
        <f t="shared" ref="C41:C56" si="92">"FF00"&amp;D41&amp;E41&amp;""&amp;F41&amp;G41&amp;H41</f>
        <v>FF00B7000000B7</v>
      </c>
      <c r="D41" s="67" t="s">
        <v>1366</v>
      </c>
      <c r="E41" s="67" t="s">
        <v>16</v>
      </c>
      <c r="F41" s="67" t="s">
        <v>16</v>
      </c>
      <c r="G41" s="67" t="s">
        <v>16</v>
      </c>
      <c r="H41" s="14" t="str">
        <f t="shared" ref="H41:H56" si="93">O41</f>
        <v>B7</v>
      </c>
      <c r="I41" s="14" t="s">
        <v>9</v>
      </c>
      <c r="J41" s="15">
        <f t="shared" ref="J41:J56" si="94">HEX2DEC(D41)</f>
        <v>183</v>
      </c>
      <c r="K41" s="15">
        <f t="shared" ref="K41:K56" si="95">HEX2DEC(E41)</f>
        <v>0</v>
      </c>
      <c r="L41" s="15">
        <f t="shared" ref="L41:L56" si="96">HEX2DEC(F41)</f>
        <v>0</v>
      </c>
      <c r="M41" s="15">
        <f t="shared" ref="M41:M56" si="97">HEX2DEC(G41)</f>
        <v>0</v>
      </c>
      <c r="N41" s="15">
        <f t="shared" ref="N41:N56" si="98">SUM(J41:M41)</f>
        <v>183</v>
      </c>
      <c r="O41" s="30" t="str">
        <f t="shared" si="70"/>
        <v>B7</v>
      </c>
      <c r="P41" s="72" t="s">
        <v>1438</v>
      </c>
    </row>
    <row r="42" spans="2:16" s="2" customFormat="1" ht="16.5" customHeight="1">
      <c r="B42" s="102" t="s">
        <v>1364</v>
      </c>
      <c r="C42" s="113" t="str">
        <f t="shared" si="92"/>
        <v>FF00B7000005BC</v>
      </c>
      <c r="D42" s="67" t="s">
        <v>1366</v>
      </c>
      <c r="E42" s="67" t="s">
        <v>16</v>
      </c>
      <c r="F42" s="67" t="s">
        <v>16</v>
      </c>
      <c r="G42" s="67" t="s">
        <v>92</v>
      </c>
      <c r="H42" s="14" t="str">
        <f t="shared" si="93"/>
        <v>BC</v>
      </c>
      <c r="I42" s="14" t="s">
        <v>9</v>
      </c>
      <c r="J42" s="15">
        <f t="shared" si="94"/>
        <v>183</v>
      </c>
      <c r="K42" s="15">
        <f t="shared" si="95"/>
        <v>0</v>
      </c>
      <c r="L42" s="15">
        <f t="shared" si="96"/>
        <v>0</v>
      </c>
      <c r="M42" s="15">
        <f t="shared" si="97"/>
        <v>5</v>
      </c>
      <c r="N42" s="15">
        <f t="shared" si="98"/>
        <v>188</v>
      </c>
      <c r="O42" s="30" t="str">
        <f t="shared" si="70"/>
        <v>BC</v>
      </c>
      <c r="P42" s="72" t="s">
        <v>1439</v>
      </c>
    </row>
    <row r="43" spans="2:16" s="2" customFormat="1" ht="16.5" customHeight="1">
      <c r="B43" s="102" t="s">
        <v>1365</v>
      </c>
      <c r="C43" s="113" t="str">
        <f t="shared" si="92"/>
        <v>FF00B700000AC1</v>
      </c>
      <c r="D43" s="67" t="s">
        <v>1366</v>
      </c>
      <c r="E43" s="67" t="s">
        <v>16</v>
      </c>
      <c r="F43" s="67" t="s">
        <v>16</v>
      </c>
      <c r="G43" s="67" t="s">
        <v>61</v>
      </c>
      <c r="H43" s="14" t="str">
        <f t="shared" si="93"/>
        <v>C1</v>
      </c>
      <c r="I43" s="14" t="s">
        <v>9</v>
      </c>
      <c r="J43" s="15">
        <f t="shared" si="94"/>
        <v>183</v>
      </c>
      <c r="K43" s="15">
        <f t="shared" si="95"/>
        <v>0</v>
      </c>
      <c r="L43" s="15">
        <f t="shared" si="96"/>
        <v>0</v>
      </c>
      <c r="M43" s="15">
        <f t="shared" si="97"/>
        <v>10</v>
      </c>
      <c r="N43" s="15">
        <f t="shared" si="98"/>
        <v>193</v>
      </c>
      <c r="O43" s="30" t="str">
        <f t="shared" si="70"/>
        <v>C1</v>
      </c>
      <c r="P43" s="72" t="s">
        <v>1440</v>
      </c>
    </row>
    <row r="44" spans="2:16" s="2" customFormat="1" ht="16.5" customHeight="1">
      <c r="B44" s="102" t="s">
        <v>1367</v>
      </c>
      <c r="C44" s="113" t="str">
        <f t="shared" si="92"/>
        <v>FF00B8000001B9</v>
      </c>
      <c r="D44" s="67" t="s">
        <v>1369</v>
      </c>
      <c r="E44" s="67" t="s">
        <v>16</v>
      </c>
      <c r="F44" s="67" t="s">
        <v>16</v>
      </c>
      <c r="G44" s="67" t="s">
        <v>24</v>
      </c>
      <c r="H44" s="14" t="str">
        <f t="shared" si="93"/>
        <v>B9</v>
      </c>
      <c r="I44" s="14" t="s">
        <v>9</v>
      </c>
      <c r="J44" s="15">
        <f t="shared" si="94"/>
        <v>184</v>
      </c>
      <c r="K44" s="15">
        <f t="shared" si="95"/>
        <v>0</v>
      </c>
      <c r="L44" s="15">
        <f t="shared" si="96"/>
        <v>0</v>
      </c>
      <c r="M44" s="15">
        <f t="shared" si="97"/>
        <v>1</v>
      </c>
      <c r="N44" s="15">
        <f t="shared" si="98"/>
        <v>185</v>
      </c>
      <c r="O44" s="30" t="str">
        <f t="shared" si="70"/>
        <v>B9</v>
      </c>
      <c r="P44" s="72" t="s">
        <v>1441</v>
      </c>
    </row>
    <row r="45" spans="2:16" s="2" customFormat="1" ht="16.5" customHeight="1" thickBot="1">
      <c r="B45" s="103" t="s">
        <v>1368</v>
      </c>
      <c r="C45" s="114" t="str">
        <f t="shared" si="92"/>
        <v>FF00B8000000B8</v>
      </c>
      <c r="D45" s="69" t="s">
        <v>1369</v>
      </c>
      <c r="E45" s="69" t="s">
        <v>16</v>
      </c>
      <c r="F45" s="69" t="s">
        <v>16</v>
      </c>
      <c r="G45" s="69" t="s">
        <v>16</v>
      </c>
      <c r="H45" s="36" t="str">
        <f t="shared" si="93"/>
        <v>B8</v>
      </c>
      <c r="I45" s="36" t="s">
        <v>9</v>
      </c>
      <c r="J45" s="37">
        <f t="shared" si="94"/>
        <v>184</v>
      </c>
      <c r="K45" s="37">
        <f t="shared" si="95"/>
        <v>0</v>
      </c>
      <c r="L45" s="37">
        <f t="shared" si="96"/>
        <v>0</v>
      </c>
      <c r="M45" s="37">
        <f t="shared" si="97"/>
        <v>0</v>
      </c>
      <c r="N45" s="37">
        <f t="shared" si="98"/>
        <v>184</v>
      </c>
      <c r="O45" s="38" t="str">
        <f t="shared" si="70"/>
        <v>B8</v>
      </c>
      <c r="P45" s="72" t="s">
        <v>1442</v>
      </c>
    </row>
    <row r="46" spans="2:16" s="2" customFormat="1" ht="16.5" customHeight="1">
      <c r="B46" s="101" t="s">
        <v>1294</v>
      </c>
      <c r="C46" s="112" t="str">
        <f t="shared" ref="C46:C53" si="99">"FF00"&amp;D46&amp;E46&amp;""&amp;F46&amp;G46&amp;H46</f>
        <v>FF00C0000001C1</v>
      </c>
      <c r="D46" s="68" t="s">
        <v>1282</v>
      </c>
      <c r="E46" s="68" t="s">
        <v>16</v>
      </c>
      <c r="F46" s="68" t="s">
        <v>16</v>
      </c>
      <c r="G46" s="68" t="s">
        <v>24</v>
      </c>
      <c r="H46" s="26" t="str">
        <f t="shared" ref="H46:H53" si="100">O46</f>
        <v>C1</v>
      </c>
      <c r="I46" s="26" t="s">
        <v>9</v>
      </c>
      <c r="J46" s="27">
        <f t="shared" ref="J46:M53" si="101">HEX2DEC(D46)</f>
        <v>192</v>
      </c>
      <c r="K46" s="27">
        <f t="shared" si="101"/>
        <v>0</v>
      </c>
      <c r="L46" s="27">
        <f t="shared" si="101"/>
        <v>0</v>
      </c>
      <c r="M46" s="27">
        <f t="shared" si="101"/>
        <v>1</v>
      </c>
      <c r="N46" s="27">
        <f t="shared" ref="N46:N53" si="102">SUM(J46:M46)</f>
        <v>193</v>
      </c>
      <c r="O46" s="28" t="str">
        <f t="shared" ref="O46:O53" si="103">REPT("0",2-LEN(RIGHT(DEC2HEX(N46), 2)))&amp;RIGHT(DEC2HEX(N46), 2)</f>
        <v>C1</v>
      </c>
      <c r="P46" s="72" t="s">
        <v>1311</v>
      </c>
    </row>
    <row r="47" spans="2:16" s="2" customFormat="1" ht="16.5" customHeight="1">
      <c r="B47" s="102" t="s">
        <v>1287</v>
      </c>
      <c r="C47" s="113" t="str">
        <f t="shared" si="99"/>
        <v>FF00C0000002C2</v>
      </c>
      <c r="D47" s="67" t="s">
        <v>1282</v>
      </c>
      <c r="E47" s="67" t="s">
        <v>16</v>
      </c>
      <c r="F47" s="67" t="s">
        <v>16</v>
      </c>
      <c r="G47" s="67" t="s">
        <v>1276</v>
      </c>
      <c r="H47" s="14" t="str">
        <f t="shared" si="100"/>
        <v>C2</v>
      </c>
      <c r="I47" s="14" t="s">
        <v>9</v>
      </c>
      <c r="J47" s="15">
        <f t="shared" si="101"/>
        <v>192</v>
      </c>
      <c r="K47" s="15">
        <f t="shared" si="101"/>
        <v>0</v>
      </c>
      <c r="L47" s="15">
        <f t="shared" si="101"/>
        <v>0</v>
      </c>
      <c r="M47" s="15">
        <f t="shared" si="101"/>
        <v>2</v>
      </c>
      <c r="N47" s="15">
        <f t="shared" si="102"/>
        <v>194</v>
      </c>
      <c r="O47" s="30" t="str">
        <f t="shared" si="103"/>
        <v>C2</v>
      </c>
      <c r="P47" s="72" t="s">
        <v>1312</v>
      </c>
    </row>
    <row r="48" spans="2:16" s="2" customFormat="1" ht="16.5" customHeight="1">
      <c r="B48" s="102" t="s">
        <v>1288</v>
      </c>
      <c r="C48" s="113" t="str">
        <f t="shared" si="99"/>
        <v>FF00C0000003C3</v>
      </c>
      <c r="D48" s="67" t="s">
        <v>1282</v>
      </c>
      <c r="E48" s="67" t="s">
        <v>16</v>
      </c>
      <c r="F48" s="67" t="s">
        <v>16</v>
      </c>
      <c r="G48" s="67" t="s">
        <v>1283</v>
      </c>
      <c r="H48" s="14" t="str">
        <f t="shared" si="100"/>
        <v>C3</v>
      </c>
      <c r="I48" s="14" t="s">
        <v>9</v>
      </c>
      <c r="J48" s="15">
        <f t="shared" si="101"/>
        <v>192</v>
      </c>
      <c r="K48" s="15">
        <f t="shared" si="101"/>
        <v>0</v>
      </c>
      <c r="L48" s="15">
        <f t="shared" si="101"/>
        <v>0</v>
      </c>
      <c r="M48" s="15">
        <f t="shared" si="101"/>
        <v>3</v>
      </c>
      <c r="N48" s="15">
        <f t="shared" si="102"/>
        <v>195</v>
      </c>
      <c r="O48" s="30" t="str">
        <f t="shared" si="103"/>
        <v>C3</v>
      </c>
      <c r="P48" s="72" t="s">
        <v>1313</v>
      </c>
    </row>
    <row r="49" spans="2:16" s="2" customFormat="1" ht="16.5" customHeight="1">
      <c r="B49" s="102" t="s">
        <v>1289</v>
      </c>
      <c r="C49" s="113" t="str">
        <f t="shared" si="99"/>
        <v>FF00C0000004C4</v>
      </c>
      <c r="D49" s="67" t="s">
        <v>1282</v>
      </c>
      <c r="E49" s="67" t="s">
        <v>16</v>
      </c>
      <c r="F49" s="67" t="s">
        <v>16</v>
      </c>
      <c r="G49" s="67" t="s">
        <v>1275</v>
      </c>
      <c r="H49" s="14" t="str">
        <f t="shared" si="100"/>
        <v>C4</v>
      </c>
      <c r="I49" s="14" t="s">
        <v>9</v>
      </c>
      <c r="J49" s="15">
        <f t="shared" si="101"/>
        <v>192</v>
      </c>
      <c r="K49" s="15">
        <f t="shared" si="101"/>
        <v>0</v>
      </c>
      <c r="L49" s="15">
        <f t="shared" si="101"/>
        <v>0</v>
      </c>
      <c r="M49" s="15">
        <f t="shared" si="101"/>
        <v>4</v>
      </c>
      <c r="N49" s="15">
        <f t="shared" si="102"/>
        <v>196</v>
      </c>
      <c r="O49" s="30" t="str">
        <f t="shared" si="103"/>
        <v>C4</v>
      </c>
      <c r="P49" s="72" t="s">
        <v>1314</v>
      </c>
    </row>
    <row r="50" spans="2:16" s="2" customFormat="1" ht="16.5" customHeight="1">
      <c r="B50" s="102" t="s">
        <v>1290</v>
      </c>
      <c r="C50" s="113" t="str">
        <f t="shared" si="99"/>
        <v>FF00C0000005C5</v>
      </c>
      <c r="D50" s="67" t="s">
        <v>1282</v>
      </c>
      <c r="E50" s="67" t="s">
        <v>16</v>
      </c>
      <c r="F50" s="67" t="s">
        <v>16</v>
      </c>
      <c r="G50" s="67" t="s">
        <v>1284</v>
      </c>
      <c r="H50" s="14" t="str">
        <f t="shared" si="100"/>
        <v>C5</v>
      </c>
      <c r="I50" s="14" t="s">
        <v>9</v>
      </c>
      <c r="J50" s="15">
        <f t="shared" si="101"/>
        <v>192</v>
      </c>
      <c r="K50" s="15">
        <f t="shared" si="101"/>
        <v>0</v>
      </c>
      <c r="L50" s="15">
        <f t="shared" si="101"/>
        <v>0</v>
      </c>
      <c r="M50" s="15">
        <f t="shared" si="101"/>
        <v>5</v>
      </c>
      <c r="N50" s="15">
        <f t="shared" si="102"/>
        <v>197</v>
      </c>
      <c r="O50" s="30" t="str">
        <f t="shared" si="103"/>
        <v>C5</v>
      </c>
      <c r="P50" s="72" t="s">
        <v>1315</v>
      </c>
    </row>
    <row r="51" spans="2:16" s="2" customFormat="1" ht="16.5" customHeight="1">
      <c r="B51" s="102" t="s">
        <v>1291</v>
      </c>
      <c r="C51" s="113" t="str">
        <f t="shared" si="99"/>
        <v>FF00C0000006C6</v>
      </c>
      <c r="D51" s="67" t="s">
        <v>1282</v>
      </c>
      <c r="E51" s="67" t="s">
        <v>16</v>
      </c>
      <c r="F51" s="67" t="s">
        <v>16</v>
      </c>
      <c r="G51" s="67" t="s">
        <v>1285</v>
      </c>
      <c r="H51" s="14" t="str">
        <f t="shared" si="100"/>
        <v>C6</v>
      </c>
      <c r="I51" s="14" t="s">
        <v>9</v>
      </c>
      <c r="J51" s="15">
        <f t="shared" si="101"/>
        <v>192</v>
      </c>
      <c r="K51" s="15">
        <f t="shared" si="101"/>
        <v>0</v>
      </c>
      <c r="L51" s="15">
        <f t="shared" si="101"/>
        <v>0</v>
      </c>
      <c r="M51" s="15">
        <f t="shared" si="101"/>
        <v>6</v>
      </c>
      <c r="N51" s="15">
        <f t="shared" si="102"/>
        <v>198</v>
      </c>
      <c r="O51" s="30" t="str">
        <f t="shared" si="103"/>
        <v>C6</v>
      </c>
      <c r="P51" s="72" t="s">
        <v>1316</v>
      </c>
    </row>
    <row r="52" spans="2:16" s="2" customFormat="1" ht="16.5" customHeight="1">
      <c r="B52" s="102" t="s">
        <v>1292</v>
      </c>
      <c r="C52" s="113" t="str">
        <f t="shared" si="99"/>
        <v>FF00C0000007C7</v>
      </c>
      <c r="D52" s="67" t="s">
        <v>1282</v>
      </c>
      <c r="E52" s="67" t="s">
        <v>16</v>
      </c>
      <c r="F52" s="67" t="s">
        <v>16</v>
      </c>
      <c r="G52" s="67" t="s">
        <v>1286</v>
      </c>
      <c r="H52" s="14" t="str">
        <f t="shared" si="100"/>
        <v>C7</v>
      </c>
      <c r="I52" s="14" t="s">
        <v>9</v>
      </c>
      <c r="J52" s="15">
        <f t="shared" si="101"/>
        <v>192</v>
      </c>
      <c r="K52" s="15">
        <f t="shared" si="101"/>
        <v>0</v>
      </c>
      <c r="L52" s="15">
        <f t="shared" si="101"/>
        <v>0</v>
      </c>
      <c r="M52" s="15">
        <f t="shared" si="101"/>
        <v>7</v>
      </c>
      <c r="N52" s="15">
        <f t="shared" si="102"/>
        <v>199</v>
      </c>
      <c r="O52" s="30" t="str">
        <f t="shared" si="103"/>
        <v>C7</v>
      </c>
      <c r="P52" s="72" t="s">
        <v>1317</v>
      </c>
    </row>
    <row r="53" spans="2:16" s="2" customFormat="1" ht="16.5" customHeight="1">
      <c r="B53" s="102" t="s">
        <v>1293</v>
      </c>
      <c r="C53" s="113" t="str">
        <f t="shared" si="99"/>
        <v>FF00C0000008C8</v>
      </c>
      <c r="D53" s="67" t="s">
        <v>1282</v>
      </c>
      <c r="E53" s="67" t="s">
        <v>16</v>
      </c>
      <c r="F53" s="67" t="s">
        <v>16</v>
      </c>
      <c r="G53" s="67" t="s">
        <v>1273</v>
      </c>
      <c r="H53" s="14" t="str">
        <f t="shared" si="100"/>
        <v>C8</v>
      </c>
      <c r="I53" s="14" t="s">
        <v>9</v>
      </c>
      <c r="J53" s="15">
        <f t="shared" si="101"/>
        <v>192</v>
      </c>
      <c r="K53" s="15">
        <f t="shared" si="101"/>
        <v>0</v>
      </c>
      <c r="L53" s="15">
        <f t="shared" si="101"/>
        <v>0</v>
      </c>
      <c r="M53" s="15">
        <f t="shared" si="101"/>
        <v>8</v>
      </c>
      <c r="N53" s="15">
        <f t="shared" si="102"/>
        <v>200</v>
      </c>
      <c r="O53" s="30" t="str">
        <f t="shared" si="103"/>
        <v>C8</v>
      </c>
      <c r="P53" s="72" t="s">
        <v>1318</v>
      </c>
    </row>
    <row r="54" spans="2:16" s="2" customFormat="1" ht="16.5" customHeight="1">
      <c r="B54" s="116" t="s">
        <v>1370</v>
      </c>
      <c r="C54" s="115" t="str">
        <f t="shared" si="92"/>
        <v>FF00C1000000C1</v>
      </c>
      <c r="D54" s="117" t="s">
        <v>1380</v>
      </c>
      <c r="E54" s="111" t="s">
        <v>16</v>
      </c>
      <c r="F54" s="111" t="s">
        <v>16</v>
      </c>
      <c r="G54" s="111" t="s">
        <v>16</v>
      </c>
      <c r="H54" s="98" t="str">
        <f t="shared" si="93"/>
        <v>C1</v>
      </c>
      <c r="I54" s="98" t="s">
        <v>9</v>
      </c>
      <c r="J54" s="99">
        <f t="shared" si="94"/>
        <v>193</v>
      </c>
      <c r="K54" s="99">
        <f t="shared" si="95"/>
        <v>0</v>
      </c>
      <c r="L54" s="99">
        <f t="shared" si="96"/>
        <v>0</v>
      </c>
      <c r="M54" s="99">
        <f t="shared" si="97"/>
        <v>0</v>
      </c>
      <c r="N54" s="99">
        <f t="shared" si="98"/>
        <v>193</v>
      </c>
      <c r="O54" s="100" t="str">
        <f t="shared" si="70"/>
        <v>C1</v>
      </c>
      <c r="P54" s="72" t="s">
        <v>1443</v>
      </c>
    </row>
    <row r="55" spans="2:16" s="2" customFormat="1" ht="16.5" customHeight="1">
      <c r="B55" s="102" t="s">
        <v>1371</v>
      </c>
      <c r="C55" s="113" t="str">
        <f t="shared" si="92"/>
        <v>FF00C1000001C2</v>
      </c>
      <c r="D55" s="117" t="s">
        <v>1380</v>
      </c>
      <c r="E55" s="67" t="s">
        <v>16</v>
      </c>
      <c r="F55" s="67" t="s">
        <v>16</v>
      </c>
      <c r="G55" s="67" t="s">
        <v>24</v>
      </c>
      <c r="H55" s="14" t="str">
        <f t="shared" si="93"/>
        <v>C2</v>
      </c>
      <c r="I55" s="14" t="s">
        <v>9</v>
      </c>
      <c r="J55" s="15">
        <f t="shared" si="94"/>
        <v>193</v>
      </c>
      <c r="K55" s="15">
        <f t="shared" si="95"/>
        <v>0</v>
      </c>
      <c r="L55" s="15">
        <f t="shared" si="96"/>
        <v>0</v>
      </c>
      <c r="M55" s="15">
        <f t="shared" si="97"/>
        <v>1</v>
      </c>
      <c r="N55" s="15">
        <f t="shared" si="98"/>
        <v>194</v>
      </c>
      <c r="O55" s="30" t="str">
        <f t="shared" si="70"/>
        <v>C2</v>
      </c>
      <c r="P55" s="72" t="s">
        <v>1444</v>
      </c>
    </row>
    <row r="56" spans="2:16" s="2" customFormat="1" ht="16.5" customHeight="1">
      <c r="B56" s="102" t="s">
        <v>1372</v>
      </c>
      <c r="C56" s="113" t="str">
        <f t="shared" si="92"/>
        <v>FF00C1000002C3</v>
      </c>
      <c r="D56" s="117" t="s">
        <v>1380</v>
      </c>
      <c r="E56" s="67" t="s">
        <v>16</v>
      </c>
      <c r="F56" s="67" t="s">
        <v>16</v>
      </c>
      <c r="G56" s="111" t="s">
        <v>1276</v>
      </c>
      <c r="H56" s="14" t="str">
        <f t="shared" si="93"/>
        <v>C3</v>
      </c>
      <c r="I56" s="14" t="s">
        <v>9</v>
      </c>
      <c r="J56" s="15">
        <f t="shared" si="94"/>
        <v>193</v>
      </c>
      <c r="K56" s="15">
        <f t="shared" si="95"/>
        <v>0</v>
      </c>
      <c r="L56" s="15">
        <f t="shared" si="96"/>
        <v>0</v>
      </c>
      <c r="M56" s="15">
        <f t="shared" si="97"/>
        <v>2</v>
      </c>
      <c r="N56" s="15">
        <f t="shared" si="98"/>
        <v>195</v>
      </c>
      <c r="O56" s="30" t="str">
        <f t="shared" si="70"/>
        <v>C3</v>
      </c>
      <c r="P56" s="72" t="s">
        <v>1445</v>
      </c>
    </row>
    <row r="57" spans="2:16" s="2" customFormat="1" ht="16.5" customHeight="1">
      <c r="B57" s="102" t="s">
        <v>1373</v>
      </c>
      <c r="C57" s="113" t="str">
        <f t="shared" si="85"/>
        <v>FF00C1000003C4</v>
      </c>
      <c r="D57" s="117" t="s">
        <v>1380</v>
      </c>
      <c r="E57" s="67" t="s">
        <v>16</v>
      </c>
      <c r="F57" s="67" t="s">
        <v>16</v>
      </c>
      <c r="G57" s="67" t="s">
        <v>1283</v>
      </c>
      <c r="H57" s="14" t="str">
        <f t="shared" si="86"/>
        <v>C4</v>
      </c>
      <c r="I57" s="14" t="s">
        <v>9</v>
      </c>
      <c r="J57" s="15">
        <f t="shared" si="87"/>
        <v>193</v>
      </c>
      <c r="K57" s="15">
        <f t="shared" si="88"/>
        <v>0</v>
      </c>
      <c r="L57" s="15">
        <f t="shared" si="89"/>
        <v>0</v>
      </c>
      <c r="M57" s="15">
        <f t="shared" si="90"/>
        <v>3</v>
      </c>
      <c r="N57" s="15">
        <f t="shared" si="91"/>
        <v>196</v>
      </c>
      <c r="O57" s="30" t="str">
        <f t="shared" si="70"/>
        <v>C4</v>
      </c>
      <c r="P57" s="72" t="s">
        <v>1446</v>
      </c>
    </row>
    <row r="58" spans="2:16" s="2" customFormat="1" ht="16.5" customHeight="1">
      <c r="B58" s="102" t="s">
        <v>1374</v>
      </c>
      <c r="C58" s="113" t="str">
        <f t="shared" si="85"/>
        <v>FF00C1000004C5</v>
      </c>
      <c r="D58" s="117" t="s">
        <v>1380</v>
      </c>
      <c r="E58" s="67" t="s">
        <v>16</v>
      </c>
      <c r="F58" s="67" t="s">
        <v>16</v>
      </c>
      <c r="G58" s="111" t="s">
        <v>1275</v>
      </c>
      <c r="H58" s="14" t="str">
        <f t="shared" si="86"/>
        <v>C5</v>
      </c>
      <c r="I58" s="14" t="s">
        <v>9</v>
      </c>
      <c r="J58" s="15">
        <f t="shared" si="87"/>
        <v>193</v>
      </c>
      <c r="K58" s="15">
        <f t="shared" si="88"/>
        <v>0</v>
      </c>
      <c r="L58" s="15">
        <f t="shared" si="89"/>
        <v>0</v>
      </c>
      <c r="M58" s="15">
        <f t="shared" si="90"/>
        <v>4</v>
      </c>
      <c r="N58" s="15">
        <f t="shared" si="91"/>
        <v>197</v>
      </c>
      <c r="O58" s="30" t="str">
        <f t="shared" si="70"/>
        <v>C5</v>
      </c>
      <c r="P58" s="72" t="s">
        <v>1447</v>
      </c>
    </row>
    <row r="59" spans="2:16" s="2" customFormat="1" ht="16.5" customHeight="1">
      <c r="B59" s="102" t="s">
        <v>1375</v>
      </c>
      <c r="C59" s="113" t="str">
        <f t="shared" ref="C59:C60" si="104">"FF00"&amp;D59&amp;E59&amp;""&amp;F59&amp;G59&amp;H59</f>
        <v>FF00C1000005C6</v>
      </c>
      <c r="D59" s="117" t="s">
        <v>1380</v>
      </c>
      <c r="E59" s="67" t="s">
        <v>16</v>
      </c>
      <c r="F59" s="67" t="s">
        <v>16</v>
      </c>
      <c r="G59" s="67" t="s">
        <v>1284</v>
      </c>
      <c r="H59" s="14" t="str">
        <f t="shared" ref="H59:H60" si="105">O59</f>
        <v>C6</v>
      </c>
      <c r="I59" s="14" t="s">
        <v>9</v>
      </c>
      <c r="J59" s="15">
        <f t="shared" ref="J59:J60" si="106">HEX2DEC(D59)</f>
        <v>193</v>
      </c>
      <c r="K59" s="15">
        <f t="shared" ref="K59:K60" si="107">HEX2DEC(E59)</f>
        <v>0</v>
      </c>
      <c r="L59" s="15">
        <f t="shared" ref="L59:L60" si="108">HEX2DEC(F59)</f>
        <v>0</v>
      </c>
      <c r="M59" s="15">
        <f t="shared" ref="M59:M60" si="109">HEX2DEC(G59)</f>
        <v>5</v>
      </c>
      <c r="N59" s="15">
        <f t="shared" ref="N59:N60" si="110">SUM(J59:M59)</f>
        <v>198</v>
      </c>
      <c r="O59" s="30" t="str">
        <f t="shared" si="70"/>
        <v>C6</v>
      </c>
      <c r="P59" s="72" t="s">
        <v>1448</v>
      </c>
    </row>
    <row r="60" spans="2:16" s="2" customFormat="1" ht="16.5" customHeight="1">
      <c r="B60" s="102" t="s">
        <v>1376</v>
      </c>
      <c r="C60" s="113" t="str">
        <f t="shared" si="104"/>
        <v>FF00C1000006C7</v>
      </c>
      <c r="D60" s="117" t="s">
        <v>1380</v>
      </c>
      <c r="E60" s="67" t="s">
        <v>16</v>
      </c>
      <c r="F60" s="67" t="s">
        <v>16</v>
      </c>
      <c r="G60" s="111" t="s">
        <v>1285</v>
      </c>
      <c r="H60" s="14" t="str">
        <f t="shared" si="105"/>
        <v>C7</v>
      </c>
      <c r="I60" s="14" t="s">
        <v>9</v>
      </c>
      <c r="J60" s="15">
        <f t="shared" si="106"/>
        <v>193</v>
      </c>
      <c r="K60" s="15">
        <f t="shared" si="107"/>
        <v>0</v>
      </c>
      <c r="L60" s="15">
        <f t="shared" si="108"/>
        <v>0</v>
      </c>
      <c r="M60" s="15">
        <f t="shared" si="109"/>
        <v>6</v>
      </c>
      <c r="N60" s="15">
        <f t="shared" si="110"/>
        <v>199</v>
      </c>
      <c r="O60" s="30" t="str">
        <f t="shared" si="70"/>
        <v>C7</v>
      </c>
      <c r="P60" s="72" t="s">
        <v>1449</v>
      </c>
    </row>
    <row r="61" spans="2:16" s="2" customFormat="1" ht="16.5" customHeight="1">
      <c r="B61" s="102" t="s">
        <v>1377</v>
      </c>
      <c r="C61" s="113" t="str">
        <f t="shared" ref="C61:C62" si="111">"FF00"&amp;D61&amp;E61&amp;""&amp;F61&amp;G61&amp;H61</f>
        <v>FF00C1000007C8</v>
      </c>
      <c r="D61" s="117" t="s">
        <v>1380</v>
      </c>
      <c r="E61" s="67" t="s">
        <v>16</v>
      </c>
      <c r="F61" s="67" t="s">
        <v>16</v>
      </c>
      <c r="G61" s="67" t="s">
        <v>1286</v>
      </c>
      <c r="H61" s="14" t="str">
        <f t="shared" ref="H61:H62" si="112">O61</f>
        <v>C8</v>
      </c>
      <c r="I61" s="14" t="s">
        <v>9</v>
      </c>
      <c r="J61" s="15">
        <f t="shared" ref="J61:J62" si="113">HEX2DEC(D61)</f>
        <v>193</v>
      </c>
      <c r="K61" s="15">
        <f t="shared" ref="K61:K62" si="114">HEX2DEC(E61)</f>
        <v>0</v>
      </c>
      <c r="L61" s="15">
        <f t="shared" ref="L61:L62" si="115">HEX2DEC(F61)</f>
        <v>0</v>
      </c>
      <c r="M61" s="15">
        <f t="shared" ref="M61:M62" si="116">HEX2DEC(G61)</f>
        <v>7</v>
      </c>
      <c r="N61" s="15">
        <f t="shared" ref="N61:N62" si="117">SUM(J61:M61)</f>
        <v>200</v>
      </c>
      <c r="O61" s="30" t="str">
        <f t="shared" si="70"/>
        <v>C8</v>
      </c>
      <c r="P61" s="72" t="s">
        <v>1450</v>
      </c>
    </row>
    <row r="62" spans="2:16" s="2" customFormat="1" ht="16.5" customHeight="1">
      <c r="B62" s="102" t="s">
        <v>1378</v>
      </c>
      <c r="C62" s="113" t="str">
        <f t="shared" si="111"/>
        <v>FF00C1000008C9</v>
      </c>
      <c r="D62" s="117" t="s">
        <v>1380</v>
      </c>
      <c r="E62" s="67" t="s">
        <v>16</v>
      </c>
      <c r="F62" s="67" t="s">
        <v>16</v>
      </c>
      <c r="G62" s="111" t="s">
        <v>1273</v>
      </c>
      <c r="H62" s="14" t="str">
        <f t="shared" si="112"/>
        <v>C9</v>
      </c>
      <c r="I62" s="14" t="s">
        <v>9</v>
      </c>
      <c r="J62" s="15">
        <f t="shared" si="113"/>
        <v>193</v>
      </c>
      <c r="K62" s="15">
        <f t="shared" si="114"/>
        <v>0</v>
      </c>
      <c r="L62" s="15">
        <f t="shared" si="115"/>
        <v>0</v>
      </c>
      <c r="M62" s="15">
        <f t="shared" si="116"/>
        <v>8</v>
      </c>
      <c r="N62" s="15">
        <f t="shared" si="117"/>
        <v>201</v>
      </c>
      <c r="O62" s="30" t="str">
        <f t="shared" si="70"/>
        <v>C9</v>
      </c>
      <c r="P62" s="72" t="s">
        <v>1451</v>
      </c>
    </row>
    <row r="63" spans="2:16" s="2" customFormat="1" ht="16.5" customHeight="1">
      <c r="B63" s="102" t="s">
        <v>1379</v>
      </c>
      <c r="C63" s="113" t="str">
        <f t="shared" si="85"/>
        <v>FF00C1000009CA</v>
      </c>
      <c r="D63" s="117" t="s">
        <v>1380</v>
      </c>
      <c r="E63" s="67" t="s">
        <v>16</v>
      </c>
      <c r="F63" s="67" t="s">
        <v>16</v>
      </c>
      <c r="G63" s="67" t="s">
        <v>1381</v>
      </c>
      <c r="H63" s="14" t="str">
        <f t="shared" si="86"/>
        <v>CA</v>
      </c>
      <c r="I63" s="14" t="s">
        <v>9</v>
      </c>
      <c r="J63" s="15">
        <f t="shared" si="87"/>
        <v>193</v>
      </c>
      <c r="K63" s="15">
        <f t="shared" si="88"/>
        <v>0</v>
      </c>
      <c r="L63" s="15">
        <f t="shared" si="89"/>
        <v>0</v>
      </c>
      <c r="M63" s="15">
        <f t="shared" si="90"/>
        <v>9</v>
      </c>
      <c r="N63" s="15">
        <f t="shared" si="91"/>
        <v>202</v>
      </c>
      <c r="O63" s="30" t="str">
        <f t="shared" si="70"/>
        <v>CA</v>
      </c>
      <c r="P63" s="72" t="s">
        <v>1452</v>
      </c>
    </row>
    <row r="64" spans="2:16" s="2" customFormat="1" ht="16.5" customHeight="1">
      <c r="B64" s="102" t="s">
        <v>1382</v>
      </c>
      <c r="C64" s="113" t="str">
        <f t="shared" si="85"/>
        <v>FF00C2000000C2</v>
      </c>
      <c r="D64" s="67" t="s">
        <v>1384</v>
      </c>
      <c r="E64" s="67" t="s">
        <v>16</v>
      </c>
      <c r="F64" s="67" t="s">
        <v>16</v>
      </c>
      <c r="G64" s="67" t="s">
        <v>16</v>
      </c>
      <c r="H64" s="14" t="str">
        <f t="shared" si="86"/>
        <v>C2</v>
      </c>
      <c r="I64" s="14" t="s">
        <v>9</v>
      </c>
      <c r="J64" s="15">
        <f t="shared" si="87"/>
        <v>194</v>
      </c>
      <c r="K64" s="15">
        <f t="shared" si="88"/>
        <v>0</v>
      </c>
      <c r="L64" s="15">
        <f t="shared" si="89"/>
        <v>0</v>
      </c>
      <c r="M64" s="15">
        <f t="shared" si="90"/>
        <v>0</v>
      </c>
      <c r="N64" s="15">
        <f t="shared" si="91"/>
        <v>194</v>
      </c>
      <c r="O64" s="30" t="str">
        <f t="shared" si="70"/>
        <v>C2</v>
      </c>
      <c r="P64" s="72" t="s">
        <v>1457</v>
      </c>
    </row>
    <row r="65" spans="2:16" s="2" customFormat="1" ht="16.5" customHeight="1">
      <c r="B65" s="102" t="s">
        <v>1383</v>
      </c>
      <c r="C65" s="113" t="str">
        <f t="shared" ref="C65:C68" si="118">"FF00"&amp;D65&amp;E65&amp;""&amp;F65&amp;G65&amp;H65</f>
        <v>FF00C2000001C3</v>
      </c>
      <c r="D65" s="67" t="s">
        <v>1384</v>
      </c>
      <c r="E65" s="67" t="s">
        <v>16</v>
      </c>
      <c r="F65" s="67" t="s">
        <v>16</v>
      </c>
      <c r="G65" s="67" t="s">
        <v>24</v>
      </c>
      <c r="H65" s="14" t="str">
        <f t="shared" ref="H65:H68" si="119">O65</f>
        <v>C3</v>
      </c>
      <c r="I65" s="14" t="s">
        <v>9</v>
      </c>
      <c r="J65" s="15">
        <f t="shared" ref="J65:J68" si="120">HEX2DEC(D65)</f>
        <v>194</v>
      </c>
      <c r="K65" s="15">
        <f t="shared" ref="K65:K68" si="121">HEX2DEC(E65)</f>
        <v>0</v>
      </c>
      <c r="L65" s="15">
        <f t="shared" ref="L65:L68" si="122">HEX2DEC(F65)</f>
        <v>0</v>
      </c>
      <c r="M65" s="15">
        <f t="shared" ref="M65:M68" si="123">HEX2DEC(G65)</f>
        <v>1</v>
      </c>
      <c r="N65" s="15">
        <f t="shared" ref="N65:N68" si="124">SUM(J65:M65)</f>
        <v>195</v>
      </c>
      <c r="O65" s="30" t="str">
        <f t="shared" si="70"/>
        <v>C3</v>
      </c>
      <c r="P65" s="72" t="s">
        <v>1453</v>
      </c>
    </row>
    <row r="66" spans="2:16" s="2" customFormat="1" ht="16.5" customHeight="1">
      <c r="B66" s="102" t="s">
        <v>1385</v>
      </c>
      <c r="C66" s="113" t="str">
        <f t="shared" si="118"/>
        <v>FF00C3000001C4</v>
      </c>
      <c r="D66" s="67" t="s">
        <v>1386</v>
      </c>
      <c r="E66" s="67" t="s">
        <v>16</v>
      </c>
      <c r="F66" s="67" t="s">
        <v>16</v>
      </c>
      <c r="G66" s="67" t="s">
        <v>24</v>
      </c>
      <c r="H66" s="14" t="str">
        <f t="shared" si="119"/>
        <v>C4</v>
      </c>
      <c r="I66" s="14" t="s">
        <v>9</v>
      </c>
      <c r="J66" s="15">
        <f t="shared" si="120"/>
        <v>195</v>
      </c>
      <c r="K66" s="15">
        <f t="shared" si="121"/>
        <v>0</v>
      </c>
      <c r="L66" s="15">
        <f t="shared" si="122"/>
        <v>0</v>
      </c>
      <c r="M66" s="15">
        <f t="shared" si="123"/>
        <v>1</v>
      </c>
      <c r="N66" s="15">
        <f t="shared" si="124"/>
        <v>196</v>
      </c>
      <c r="O66" s="30" t="str">
        <f t="shared" si="70"/>
        <v>C4</v>
      </c>
      <c r="P66" s="72" t="s">
        <v>1454</v>
      </c>
    </row>
    <row r="67" spans="2:16" s="2" customFormat="1" ht="16.5" customHeight="1">
      <c r="B67" s="102" t="s">
        <v>1389</v>
      </c>
      <c r="C67" s="113" t="str">
        <f t="shared" si="118"/>
        <v>FF00C3000000C3</v>
      </c>
      <c r="D67" s="67" t="s">
        <v>1386</v>
      </c>
      <c r="E67" s="67" t="s">
        <v>16</v>
      </c>
      <c r="F67" s="67" t="s">
        <v>16</v>
      </c>
      <c r="G67" s="67" t="s">
        <v>16</v>
      </c>
      <c r="H67" s="14" t="str">
        <f t="shared" si="119"/>
        <v>C3</v>
      </c>
      <c r="I67" s="14" t="s">
        <v>9</v>
      </c>
      <c r="J67" s="15">
        <f t="shared" si="120"/>
        <v>195</v>
      </c>
      <c r="K67" s="15">
        <f t="shared" si="121"/>
        <v>0</v>
      </c>
      <c r="L67" s="15">
        <f t="shared" si="122"/>
        <v>0</v>
      </c>
      <c r="M67" s="15">
        <f t="shared" si="123"/>
        <v>0</v>
      </c>
      <c r="N67" s="15">
        <f t="shared" si="124"/>
        <v>195</v>
      </c>
      <c r="O67" s="30" t="str">
        <f t="shared" si="70"/>
        <v>C3</v>
      </c>
      <c r="P67" s="72" t="s">
        <v>1455</v>
      </c>
    </row>
    <row r="68" spans="2:16" s="2" customFormat="1" ht="16.5" customHeight="1" thickBot="1">
      <c r="B68" s="103" t="s">
        <v>1387</v>
      </c>
      <c r="C68" s="114" t="str">
        <f t="shared" si="118"/>
        <v>FF00C4000000C4</v>
      </c>
      <c r="D68" s="69" t="s">
        <v>1388</v>
      </c>
      <c r="E68" s="69" t="s">
        <v>16</v>
      </c>
      <c r="F68" s="69" t="s">
        <v>16</v>
      </c>
      <c r="G68" s="69" t="s">
        <v>16</v>
      </c>
      <c r="H68" s="36" t="str">
        <f t="shared" si="119"/>
        <v>C4</v>
      </c>
      <c r="I68" s="36" t="s">
        <v>9</v>
      </c>
      <c r="J68" s="37">
        <f t="shared" si="120"/>
        <v>196</v>
      </c>
      <c r="K68" s="37">
        <f t="shared" si="121"/>
        <v>0</v>
      </c>
      <c r="L68" s="37">
        <f t="shared" si="122"/>
        <v>0</v>
      </c>
      <c r="M68" s="37">
        <f t="shared" si="123"/>
        <v>0</v>
      </c>
      <c r="N68" s="37">
        <f t="shared" si="124"/>
        <v>196</v>
      </c>
      <c r="O68" s="38" t="str">
        <f t="shared" si="70"/>
        <v>C4</v>
      </c>
      <c r="P68" s="72" t="s">
        <v>1456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1CA2C-2102-45AC-92BA-FE564D531E29}">
  <sheetPr filterMode="1"/>
  <dimension ref="B1:N265"/>
  <sheetViews>
    <sheetView workbookViewId="0">
      <pane xSplit="1" ySplit="2" topLeftCell="B13" activePane="bottomRight" state="frozen"/>
      <selection pane="topRight" activeCell="B1" sqref="B1"/>
      <selection pane="bottomLeft" activeCell="A3" sqref="A3"/>
      <selection pane="bottomRight" activeCell="C115" sqref="C115"/>
    </sheetView>
  </sheetViews>
  <sheetFormatPr defaultColWidth="8.6640625" defaultRowHeight="17.25"/>
  <cols>
    <col min="1" max="1" width="2.44140625" customWidth="1"/>
    <col min="2" max="2" width="23.33203125" bestFit="1" customWidth="1"/>
    <col min="3" max="3" width="30.6640625" customWidth="1"/>
    <col min="4" max="4" width="8.33203125" bestFit="1" customWidth="1"/>
    <col min="5" max="5" width="6.33203125" style="9" bestFit="1" customWidth="1"/>
    <col min="6" max="6" width="24.44140625" customWidth="1"/>
    <col min="7" max="7" width="2.6640625" customWidth="1"/>
    <col min="8" max="8" width="2.109375" bestFit="1" customWidth="1"/>
    <col min="9" max="9" width="9" bestFit="1" customWidth="1"/>
  </cols>
  <sheetData>
    <row r="1" spans="2:14">
      <c r="B1" s="79"/>
      <c r="C1" s="80" t="s">
        <v>278</v>
      </c>
      <c r="D1" s="79"/>
      <c r="E1" s="80"/>
      <c r="F1" s="79"/>
    </row>
    <row r="2" spans="2:14">
      <c r="B2" s="81" t="s">
        <v>705</v>
      </c>
      <c r="C2" s="81" t="s">
        <v>7</v>
      </c>
      <c r="D2" s="81" t="s">
        <v>311</v>
      </c>
      <c r="E2" s="81" t="s">
        <v>313</v>
      </c>
      <c r="F2" s="81" t="s">
        <v>324</v>
      </c>
    </row>
    <row r="3" spans="2:14" hidden="1">
      <c r="B3" s="82" t="s">
        <v>552</v>
      </c>
      <c r="C3" s="83" t="s">
        <v>277</v>
      </c>
      <c r="D3" s="83" t="s">
        <v>312</v>
      </c>
      <c r="E3" s="84">
        <v>2</v>
      </c>
      <c r="F3" s="83"/>
      <c r="G3" s="78"/>
      <c r="H3" s="10">
        <v>0</v>
      </c>
      <c r="I3" s="10" t="s">
        <v>318</v>
      </c>
      <c r="J3" s="77" t="s">
        <v>319</v>
      </c>
      <c r="K3" s="10"/>
      <c r="L3" s="10"/>
      <c r="M3" s="10"/>
      <c r="N3" s="10"/>
    </row>
    <row r="4" spans="2:14" hidden="1">
      <c r="B4" s="82" t="s">
        <v>553</v>
      </c>
      <c r="C4" s="83" t="s">
        <v>280</v>
      </c>
      <c r="D4" s="83" t="s">
        <v>312</v>
      </c>
      <c r="E4" s="84">
        <v>0</v>
      </c>
      <c r="F4" s="83"/>
      <c r="G4" s="78"/>
      <c r="H4" s="10">
        <v>1</v>
      </c>
      <c r="I4" s="10" t="s">
        <v>320</v>
      </c>
      <c r="J4" s="77" t="s">
        <v>321</v>
      </c>
      <c r="K4" s="10"/>
      <c r="L4" s="10"/>
      <c r="M4" s="10"/>
      <c r="N4" s="10"/>
    </row>
    <row r="5" spans="2:14" hidden="1">
      <c r="B5" s="82" t="s">
        <v>706</v>
      </c>
      <c r="C5" s="83" t="s">
        <v>281</v>
      </c>
      <c r="D5" s="83" t="s">
        <v>312</v>
      </c>
      <c r="E5" s="84">
        <v>2</v>
      </c>
      <c r="F5" s="83"/>
      <c r="G5" s="78"/>
      <c r="H5" s="10">
        <v>2</v>
      </c>
      <c r="I5" s="10" t="s">
        <v>322</v>
      </c>
      <c r="J5" s="77" t="s">
        <v>323</v>
      </c>
      <c r="K5" s="10"/>
      <c r="L5" s="10"/>
      <c r="M5" s="10"/>
      <c r="N5" s="10"/>
    </row>
    <row r="6" spans="2:14" hidden="1">
      <c r="B6" s="82" t="s">
        <v>554</v>
      </c>
      <c r="C6" s="83" t="s">
        <v>279</v>
      </c>
      <c r="D6" s="83" t="s">
        <v>312</v>
      </c>
      <c r="E6" s="84">
        <v>2</v>
      </c>
      <c r="F6" s="83"/>
      <c r="G6" s="78"/>
    </row>
    <row r="7" spans="2:14" hidden="1">
      <c r="B7" s="82" t="s">
        <v>555</v>
      </c>
      <c r="C7" s="83" t="s">
        <v>282</v>
      </c>
      <c r="D7" s="83" t="s">
        <v>312</v>
      </c>
      <c r="E7" s="84">
        <v>2</v>
      </c>
      <c r="F7" s="83"/>
      <c r="G7" s="78"/>
    </row>
    <row r="8" spans="2:14" hidden="1">
      <c r="B8" s="82" t="s">
        <v>556</v>
      </c>
      <c r="C8" s="83" t="s">
        <v>283</v>
      </c>
      <c r="D8" s="83" t="s">
        <v>312</v>
      </c>
      <c r="E8" s="84">
        <v>0</v>
      </c>
      <c r="F8" s="83"/>
      <c r="G8" s="78"/>
    </row>
    <row r="9" spans="2:14" hidden="1">
      <c r="B9" s="82" t="s">
        <v>557</v>
      </c>
      <c r="C9" s="83" t="s">
        <v>284</v>
      </c>
      <c r="D9" s="83" t="s">
        <v>312</v>
      </c>
      <c r="E9" s="84">
        <v>1</v>
      </c>
      <c r="F9" s="83"/>
      <c r="G9" s="78"/>
    </row>
    <row r="10" spans="2:14" hidden="1">
      <c r="B10" s="82" t="s">
        <v>558</v>
      </c>
      <c r="C10" s="83" t="s">
        <v>285</v>
      </c>
      <c r="D10" s="83" t="s">
        <v>312</v>
      </c>
      <c r="E10" s="84">
        <v>0</v>
      </c>
      <c r="F10" s="83"/>
      <c r="G10" s="78"/>
    </row>
    <row r="11" spans="2:14" hidden="1">
      <c r="B11" s="82" t="s">
        <v>559</v>
      </c>
      <c r="C11" s="83" t="s">
        <v>286</v>
      </c>
      <c r="D11" s="83" t="s">
        <v>312</v>
      </c>
      <c r="E11" s="84">
        <v>0</v>
      </c>
      <c r="F11" s="83" t="s">
        <v>560</v>
      </c>
      <c r="G11" s="78"/>
    </row>
    <row r="12" spans="2:14" hidden="1">
      <c r="B12" s="82" t="s">
        <v>561</v>
      </c>
      <c r="C12" s="83" t="s">
        <v>287</v>
      </c>
      <c r="D12" s="83" t="s">
        <v>312</v>
      </c>
      <c r="E12" s="84">
        <v>0</v>
      </c>
      <c r="F12" s="83"/>
      <c r="G12" s="78"/>
    </row>
    <row r="13" spans="2:14">
      <c r="B13" s="82" t="s">
        <v>695</v>
      </c>
      <c r="C13" s="83" t="s">
        <v>325</v>
      </c>
      <c r="D13" s="83" t="s">
        <v>708</v>
      </c>
      <c r="E13" s="84">
        <v>0</v>
      </c>
      <c r="F13" s="83"/>
      <c r="G13" s="78"/>
    </row>
    <row r="14" spans="2:14" hidden="1">
      <c r="B14" s="82" t="s">
        <v>562</v>
      </c>
      <c r="C14" s="83" t="s">
        <v>288</v>
      </c>
      <c r="D14" s="83" t="s">
        <v>312</v>
      </c>
      <c r="E14" s="84">
        <v>0</v>
      </c>
      <c r="F14" s="83"/>
      <c r="G14" s="78"/>
    </row>
    <row r="15" spans="2:14" hidden="1">
      <c r="B15" s="82" t="s">
        <v>563</v>
      </c>
      <c r="C15" s="83" t="s">
        <v>289</v>
      </c>
      <c r="D15" s="83" t="s">
        <v>312</v>
      </c>
      <c r="E15" s="84">
        <v>1</v>
      </c>
      <c r="F15" s="83"/>
      <c r="G15" s="78"/>
    </row>
    <row r="16" spans="2:14" hidden="1">
      <c r="B16" s="82" t="s">
        <v>564</v>
      </c>
      <c r="C16" s="83" t="s">
        <v>290</v>
      </c>
      <c r="D16" s="83" t="s">
        <v>312</v>
      </c>
      <c r="E16" s="84">
        <v>1</v>
      </c>
      <c r="F16" s="83"/>
      <c r="G16" s="78"/>
    </row>
    <row r="17" spans="2:7" hidden="1">
      <c r="B17" s="82" t="s">
        <v>565</v>
      </c>
      <c r="C17" s="83" t="s">
        <v>291</v>
      </c>
      <c r="D17" s="83" t="s">
        <v>312</v>
      </c>
      <c r="E17" s="84">
        <v>1</v>
      </c>
      <c r="F17" s="83"/>
      <c r="G17" s="78"/>
    </row>
    <row r="18" spans="2:7" hidden="1">
      <c r="B18" s="82" t="s">
        <v>570</v>
      </c>
      <c r="C18" s="83" t="s">
        <v>571</v>
      </c>
      <c r="D18" s="83" t="s">
        <v>312</v>
      </c>
      <c r="E18" s="84">
        <v>1</v>
      </c>
      <c r="F18" s="83"/>
      <c r="G18" s="78"/>
    </row>
    <row r="19" spans="2:7" hidden="1">
      <c r="B19" s="82" t="s">
        <v>578</v>
      </c>
      <c r="C19" s="83" t="s">
        <v>293</v>
      </c>
      <c r="D19" s="83" t="s">
        <v>312</v>
      </c>
      <c r="E19" s="84">
        <v>0</v>
      </c>
      <c r="F19" s="83"/>
      <c r="G19" s="78"/>
    </row>
    <row r="20" spans="2:7" hidden="1">
      <c r="B20" s="82" t="s">
        <v>581</v>
      </c>
      <c r="C20" s="83" t="s">
        <v>294</v>
      </c>
      <c r="D20" s="83" t="s">
        <v>312</v>
      </c>
      <c r="E20" s="84">
        <v>1</v>
      </c>
      <c r="F20" s="83" t="s">
        <v>579</v>
      </c>
      <c r="G20" s="78"/>
    </row>
    <row r="21" spans="2:7" hidden="1">
      <c r="B21" s="82" t="s">
        <v>580</v>
      </c>
      <c r="C21" s="83" t="s">
        <v>295</v>
      </c>
      <c r="D21" s="83" t="s">
        <v>312</v>
      </c>
      <c r="E21" s="84">
        <v>1</v>
      </c>
      <c r="F21" s="83"/>
      <c r="G21" s="78"/>
    </row>
    <row r="22" spans="2:7" hidden="1">
      <c r="B22" s="82" t="s">
        <v>582</v>
      </c>
      <c r="C22" s="83" t="s">
        <v>296</v>
      </c>
      <c r="D22" s="83" t="s">
        <v>312</v>
      </c>
      <c r="E22" s="84">
        <v>0</v>
      </c>
      <c r="F22" s="83"/>
      <c r="G22" s="78"/>
    </row>
    <row r="23" spans="2:7" hidden="1">
      <c r="B23" s="82" t="s">
        <v>583</v>
      </c>
      <c r="C23" s="83" t="s">
        <v>297</v>
      </c>
      <c r="D23" s="83" t="s">
        <v>312</v>
      </c>
      <c r="E23" s="84">
        <v>0</v>
      </c>
      <c r="F23" s="83"/>
      <c r="G23" s="78"/>
    </row>
    <row r="24" spans="2:7" hidden="1">
      <c r="B24" s="82" t="s">
        <v>584</v>
      </c>
      <c r="C24" s="83" t="s">
        <v>298</v>
      </c>
      <c r="D24" s="83" t="s">
        <v>312</v>
      </c>
      <c r="E24" s="84">
        <v>0</v>
      </c>
      <c r="F24" s="83"/>
      <c r="G24" s="78"/>
    </row>
    <row r="25" spans="2:7" hidden="1">
      <c r="B25" s="82" t="s">
        <v>707</v>
      </c>
      <c r="C25" s="83" t="s">
        <v>299</v>
      </c>
      <c r="D25" s="83" t="s">
        <v>312</v>
      </c>
      <c r="E25" s="84">
        <v>0</v>
      </c>
      <c r="F25" s="83"/>
      <c r="G25" s="78"/>
    </row>
    <row r="26" spans="2:7" hidden="1">
      <c r="B26" s="82" t="s">
        <v>585</v>
      </c>
      <c r="C26" s="83" t="s">
        <v>300</v>
      </c>
      <c r="D26" s="83" t="s">
        <v>312</v>
      </c>
      <c r="E26" s="84">
        <v>0</v>
      </c>
      <c r="F26" s="83"/>
      <c r="G26" s="78"/>
    </row>
    <row r="27" spans="2:7">
      <c r="B27" s="82" t="s">
        <v>566</v>
      </c>
      <c r="C27" s="83" t="s">
        <v>314</v>
      </c>
      <c r="D27" s="83" t="s">
        <v>708</v>
      </c>
      <c r="E27" s="84">
        <v>1</v>
      </c>
      <c r="F27" s="83"/>
      <c r="G27" s="78"/>
    </row>
    <row r="28" spans="2:7">
      <c r="B28" s="82" t="s">
        <v>567</v>
      </c>
      <c r="C28" s="83" t="s">
        <v>326</v>
      </c>
      <c r="D28" s="83" t="s">
        <v>708</v>
      </c>
      <c r="E28" s="84">
        <v>1</v>
      </c>
      <c r="F28" s="83"/>
      <c r="G28" s="78"/>
    </row>
    <row r="29" spans="2:7">
      <c r="B29" s="82" t="s">
        <v>568</v>
      </c>
      <c r="C29" s="83" t="s">
        <v>327</v>
      </c>
      <c r="D29" s="83" t="s">
        <v>708</v>
      </c>
      <c r="E29" s="84">
        <v>1</v>
      </c>
      <c r="F29" s="83"/>
      <c r="G29" s="78"/>
    </row>
    <row r="30" spans="2:7">
      <c r="B30" s="82" t="s">
        <v>569</v>
      </c>
      <c r="C30" s="83" t="s">
        <v>328</v>
      </c>
      <c r="D30" s="83" t="s">
        <v>708</v>
      </c>
      <c r="E30" s="84">
        <v>1</v>
      </c>
      <c r="F30" s="83"/>
      <c r="G30" s="78"/>
    </row>
    <row r="31" spans="2:7">
      <c r="B31" s="82" t="s">
        <v>572</v>
      </c>
      <c r="C31" s="83" t="s">
        <v>329</v>
      </c>
      <c r="D31" s="83" t="s">
        <v>708</v>
      </c>
      <c r="E31" s="84">
        <v>2</v>
      </c>
      <c r="F31" s="83"/>
      <c r="G31" s="78"/>
    </row>
    <row r="32" spans="2:7">
      <c r="B32" s="82" t="s">
        <v>573</v>
      </c>
      <c r="C32" s="83" t="s">
        <v>330</v>
      </c>
      <c r="D32" s="83" t="s">
        <v>708</v>
      </c>
      <c r="E32" s="84">
        <v>2</v>
      </c>
      <c r="F32" s="83"/>
      <c r="G32" s="78"/>
    </row>
    <row r="33" spans="2:7">
      <c r="B33" s="82" t="s">
        <v>574</v>
      </c>
      <c r="C33" s="83" t="s">
        <v>331</v>
      </c>
      <c r="D33" s="83" t="s">
        <v>708</v>
      </c>
      <c r="E33" s="84">
        <v>2</v>
      </c>
      <c r="F33" s="83"/>
      <c r="G33" s="78"/>
    </row>
    <row r="34" spans="2:7">
      <c r="B34" s="82" t="s">
        <v>575</v>
      </c>
      <c r="C34" s="83" t="s">
        <v>332</v>
      </c>
      <c r="D34" s="83" t="s">
        <v>708</v>
      </c>
      <c r="E34" s="84">
        <v>2</v>
      </c>
      <c r="F34" s="83" t="s">
        <v>577</v>
      </c>
      <c r="G34" s="78"/>
    </row>
    <row r="35" spans="2:7">
      <c r="B35" s="82" t="s">
        <v>576</v>
      </c>
      <c r="C35" s="83" t="s">
        <v>333</v>
      </c>
      <c r="D35" s="83" t="s">
        <v>708</v>
      </c>
      <c r="E35" s="84">
        <v>2</v>
      </c>
      <c r="F35" s="83"/>
      <c r="G35" s="78"/>
    </row>
    <row r="36" spans="2:7">
      <c r="B36" s="82" t="s">
        <v>709</v>
      </c>
      <c r="C36" s="83" t="s">
        <v>340</v>
      </c>
      <c r="D36" s="83" t="s">
        <v>708</v>
      </c>
      <c r="E36" s="84">
        <v>1</v>
      </c>
      <c r="F36" s="83"/>
      <c r="G36" s="78"/>
    </row>
    <row r="37" spans="2:7">
      <c r="B37" s="82" t="s">
        <v>710</v>
      </c>
      <c r="C37" s="83" t="s">
        <v>341</v>
      </c>
      <c r="D37" s="83" t="s">
        <v>708</v>
      </c>
      <c r="E37" s="84">
        <v>1</v>
      </c>
      <c r="F37" s="83"/>
      <c r="G37" s="78"/>
    </row>
    <row r="38" spans="2:7">
      <c r="B38" s="82" t="s">
        <v>711</v>
      </c>
      <c r="C38" s="83" t="s">
        <v>342</v>
      </c>
      <c r="D38" s="83" t="s">
        <v>708</v>
      </c>
      <c r="E38" s="84">
        <v>1</v>
      </c>
      <c r="F38" s="83" t="s">
        <v>577</v>
      </c>
      <c r="G38" s="78"/>
    </row>
    <row r="39" spans="2:7">
      <c r="B39" s="82" t="s">
        <v>712</v>
      </c>
      <c r="C39" s="83" t="s">
        <v>343</v>
      </c>
      <c r="D39" s="83" t="s">
        <v>708</v>
      </c>
      <c r="E39" s="84">
        <v>1</v>
      </c>
      <c r="F39" s="83"/>
      <c r="G39" s="78"/>
    </row>
    <row r="40" spans="2:7">
      <c r="B40" s="82" t="s">
        <v>713</v>
      </c>
      <c r="C40" s="83" t="s">
        <v>344</v>
      </c>
      <c r="D40" s="83" t="s">
        <v>708</v>
      </c>
      <c r="E40" s="84">
        <v>1</v>
      </c>
      <c r="F40" s="83"/>
      <c r="G40" s="78"/>
    </row>
    <row r="41" spans="2:7">
      <c r="B41" s="82" t="s">
        <v>714</v>
      </c>
      <c r="C41" s="83" t="s">
        <v>345</v>
      </c>
      <c r="D41" s="83" t="s">
        <v>708</v>
      </c>
      <c r="E41" s="84">
        <v>1</v>
      </c>
      <c r="F41" s="83"/>
      <c r="G41" s="78"/>
    </row>
    <row r="42" spans="2:7">
      <c r="B42" s="82" t="s">
        <v>715</v>
      </c>
      <c r="C42" s="83" t="s">
        <v>346</v>
      </c>
      <c r="D42" s="83" t="s">
        <v>708</v>
      </c>
      <c r="E42" s="84">
        <v>1</v>
      </c>
      <c r="F42" s="83"/>
      <c r="G42" s="78"/>
    </row>
    <row r="43" spans="2:7">
      <c r="B43" s="82" t="s">
        <v>716</v>
      </c>
      <c r="C43" s="83" t="s">
        <v>347</v>
      </c>
      <c r="D43" s="83" t="s">
        <v>708</v>
      </c>
      <c r="E43" s="84">
        <v>1</v>
      </c>
      <c r="F43" s="83" t="s">
        <v>577</v>
      </c>
      <c r="G43" s="78"/>
    </row>
    <row r="44" spans="2:7">
      <c r="B44" s="82" t="s">
        <v>717</v>
      </c>
      <c r="C44" s="83" t="s">
        <v>348</v>
      </c>
      <c r="D44" s="83" t="s">
        <v>708</v>
      </c>
      <c r="E44" s="84">
        <v>1</v>
      </c>
      <c r="F44" s="83"/>
      <c r="G44" s="78"/>
    </row>
    <row r="45" spans="2:7">
      <c r="B45" s="82" t="s">
        <v>718</v>
      </c>
      <c r="C45" s="83" t="s">
        <v>349</v>
      </c>
      <c r="D45" s="83" t="s">
        <v>708</v>
      </c>
      <c r="E45" s="84">
        <v>1</v>
      </c>
      <c r="F45" s="83"/>
      <c r="G45" s="78"/>
    </row>
    <row r="46" spans="2:7">
      <c r="B46" s="82" t="s">
        <v>834</v>
      </c>
      <c r="C46" s="83" t="s">
        <v>350</v>
      </c>
      <c r="D46" s="83" t="s">
        <v>708</v>
      </c>
      <c r="E46" s="84">
        <v>1</v>
      </c>
      <c r="F46" s="83"/>
      <c r="G46" s="78"/>
    </row>
    <row r="47" spans="2:7">
      <c r="B47" s="82" t="s">
        <v>833</v>
      </c>
      <c r="C47" s="83" t="s">
        <v>351</v>
      </c>
      <c r="D47" s="83" t="s">
        <v>708</v>
      </c>
      <c r="E47" s="84">
        <v>1</v>
      </c>
      <c r="F47" s="83"/>
      <c r="G47" s="78"/>
    </row>
    <row r="48" spans="2:7">
      <c r="B48" s="82" t="s">
        <v>832</v>
      </c>
      <c r="C48" s="83" t="s">
        <v>352</v>
      </c>
      <c r="D48" s="83" t="s">
        <v>708</v>
      </c>
      <c r="E48" s="84">
        <v>1</v>
      </c>
      <c r="F48" s="83"/>
      <c r="G48" s="78"/>
    </row>
    <row r="49" spans="2:7">
      <c r="B49" s="82" t="s">
        <v>1492</v>
      </c>
      <c r="C49" s="83" t="s">
        <v>1493</v>
      </c>
      <c r="D49" s="83" t="s">
        <v>708</v>
      </c>
      <c r="E49" s="84">
        <v>1</v>
      </c>
      <c r="F49" s="83"/>
      <c r="G49" s="78"/>
    </row>
    <row r="50" spans="2:7">
      <c r="B50" s="82" t="s">
        <v>835</v>
      </c>
      <c r="C50" s="83" t="s">
        <v>699</v>
      </c>
      <c r="D50" s="83" t="s">
        <v>708</v>
      </c>
      <c r="E50" s="84">
        <v>1</v>
      </c>
      <c r="F50" s="83"/>
      <c r="G50" s="78"/>
    </row>
    <row r="51" spans="2:7">
      <c r="B51" s="82" t="s">
        <v>836</v>
      </c>
      <c r="C51" s="83" t="s">
        <v>700</v>
      </c>
      <c r="D51" s="83" t="s">
        <v>708</v>
      </c>
      <c r="E51" s="84">
        <v>1</v>
      </c>
      <c r="F51" s="83"/>
      <c r="G51" s="78"/>
    </row>
    <row r="52" spans="2:7">
      <c r="B52" s="82" t="s">
        <v>837</v>
      </c>
      <c r="C52" s="83" t="s">
        <v>697</v>
      </c>
      <c r="D52" s="83" t="s">
        <v>708</v>
      </c>
      <c r="E52" s="84">
        <v>1</v>
      </c>
      <c r="F52" s="83" t="s">
        <v>701</v>
      </c>
      <c r="G52" s="78"/>
    </row>
    <row r="53" spans="2:7">
      <c r="B53" s="82" t="s">
        <v>838</v>
      </c>
      <c r="C53" s="83" t="s">
        <v>353</v>
      </c>
      <c r="D53" s="83" t="s">
        <v>708</v>
      </c>
      <c r="E53" s="84">
        <v>1</v>
      </c>
      <c r="F53" s="83"/>
      <c r="G53" s="78"/>
    </row>
    <row r="54" spans="2:7">
      <c r="B54" s="82" t="s">
        <v>839</v>
      </c>
      <c r="C54" s="83" t="s">
        <v>698</v>
      </c>
      <c r="D54" s="83" t="s">
        <v>708</v>
      </c>
      <c r="E54" s="84">
        <v>1</v>
      </c>
      <c r="F54" s="83" t="s">
        <v>701</v>
      </c>
      <c r="G54" s="78"/>
    </row>
    <row r="55" spans="2:7">
      <c r="B55" s="82" t="s">
        <v>840</v>
      </c>
      <c r="C55" s="83" t="s">
        <v>702</v>
      </c>
      <c r="D55" s="83" t="s">
        <v>708</v>
      </c>
      <c r="E55" s="84">
        <v>1</v>
      </c>
      <c r="F55" s="83" t="s">
        <v>703</v>
      </c>
      <c r="G55" s="78"/>
    </row>
    <row r="56" spans="2:7">
      <c r="B56" s="82" t="s">
        <v>841</v>
      </c>
      <c r="C56" s="83" t="s">
        <v>702</v>
      </c>
      <c r="D56" s="83" t="s">
        <v>708</v>
      </c>
      <c r="E56" s="84">
        <v>1</v>
      </c>
      <c r="F56" s="83" t="s">
        <v>703</v>
      </c>
      <c r="G56" s="78"/>
    </row>
    <row r="57" spans="2:7" hidden="1">
      <c r="B57" s="82" t="s">
        <v>693</v>
      </c>
      <c r="C57" s="83" t="s">
        <v>301</v>
      </c>
      <c r="D57" s="83" t="s">
        <v>312</v>
      </c>
      <c r="E57" s="84">
        <v>1</v>
      </c>
      <c r="F57" s="83"/>
      <c r="G57" s="78"/>
    </row>
    <row r="58" spans="2:7">
      <c r="B58" s="82" t="s">
        <v>842</v>
      </c>
      <c r="C58" s="83" t="s">
        <v>354</v>
      </c>
      <c r="D58" s="83" t="s">
        <v>708</v>
      </c>
      <c r="E58" s="84">
        <v>1</v>
      </c>
      <c r="F58" s="83"/>
      <c r="G58" s="78"/>
    </row>
    <row r="59" spans="2:7">
      <c r="B59" s="82" t="s">
        <v>719</v>
      </c>
      <c r="C59" s="83" t="s">
        <v>355</v>
      </c>
      <c r="D59" s="83" t="s">
        <v>708</v>
      </c>
      <c r="E59" s="84">
        <v>1</v>
      </c>
      <c r="F59" s="83"/>
      <c r="G59" s="78"/>
    </row>
    <row r="60" spans="2:7">
      <c r="B60" s="82" t="s">
        <v>720</v>
      </c>
      <c r="C60" s="83" t="s">
        <v>356</v>
      </c>
      <c r="D60" s="83" t="s">
        <v>708</v>
      </c>
      <c r="E60" s="84">
        <v>1</v>
      </c>
      <c r="F60" s="83"/>
      <c r="G60" s="78"/>
    </row>
    <row r="61" spans="2:7">
      <c r="B61" s="82" t="s">
        <v>1499</v>
      </c>
      <c r="C61" s="83" t="s">
        <v>1500</v>
      </c>
      <c r="D61" s="83" t="s">
        <v>708</v>
      </c>
      <c r="E61" s="84">
        <v>1</v>
      </c>
      <c r="F61" s="83"/>
      <c r="G61" s="78"/>
    </row>
    <row r="62" spans="2:7">
      <c r="B62" s="82" t="s">
        <v>1496</v>
      </c>
      <c r="C62" s="83" t="s">
        <v>357</v>
      </c>
      <c r="D62" s="83" t="s">
        <v>708</v>
      </c>
      <c r="E62" s="84">
        <v>1</v>
      </c>
      <c r="F62" s="83"/>
      <c r="G62" s="78"/>
    </row>
    <row r="63" spans="2:7">
      <c r="B63" s="82" t="s">
        <v>1503</v>
      </c>
      <c r="C63" s="83" t="s">
        <v>1504</v>
      </c>
      <c r="D63" s="83" t="s">
        <v>708</v>
      </c>
      <c r="E63" s="84">
        <v>1</v>
      </c>
      <c r="F63" s="83"/>
      <c r="G63" s="78"/>
    </row>
    <row r="64" spans="2:7">
      <c r="B64" s="82" t="s">
        <v>1501</v>
      </c>
      <c r="C64" s="83" t="s">
        <v>1502</v>
      </c>
      <c r="D64" s="83" t="s">
        <v>708</v>
      </c>
      <c r="E64" s="84">
        <v>1</v>
      </c>
      <c r="F64" s="83"/>
      <c r="G64" s="78"/>
    </row>
    <row r="65" spans="2:7">
      <c r="B65" s="82" t="s">
        <v>1494</v>
      </c>
      <c r="C65" s="83" t="s">
        <v>1495</v>
      </c>
      <c r="D65" s="83" t="s">
        <v>708</v>
      </c>
      <c r="E65" s="84">
        <v>1</v>
      </c>
      <c r="F65" s="83"/>
      <c r="G65" s="78"/>
    </row>
    <row r="66" spans="2:7">
      <c r="B66" s="82" t="s">
        <v>1497</v>
      </c>
      <c r="C66" s="83" t="s">
        <v>1498</v>
      </c>
      <c r="D66" s="83" t="s">
        <v>708</v>
      </c>
      <c r="E66" s="84">
        <v>1</v>
      </c>
      <c r="F66" s="83"/>
      <c r="G66" s="78"/>
    </row>
    <row r="67" spans="2:7">
      <c r="B67" s="82" t="s">
        <v>694</v>
      </c>
      <c r="C67" s="83" t="s">
        <v>302</v>
      </c>
      <c r="D67" s="83" t="s">
        <v>312</v>
      </c>
      <c r="E67" s="84">
        <v>1</v>
      </c>
      <c r="F67" s="83"/>
      <c r="G67" s="78"/>
    </row>
    <row r="68" spans="2:7" ht="24.75" customHeight="1">
      <c r="B68" s="82" t="s">
        <v>586</v>
      </c>
      <c r="C68" s="83" t="s">
        <v>303</v>
      </c>
      <c r="D68" s="83" t="s">
        <v>312</v>
      </c>
      <c r="E68" s="84">
        <v>1</v>
      </c>
      <c r="F68" s="83"/>
      <c r="G68" s="78"/>
    </row>
    <row r="69" spans="2:7">
      <c r="B69" s="82" t="s">
        <v>721</v>
      </c>
      <c r="C69" s="83" t="s">
        <v>358</v>
      </c>
      <c r="D69" s="83" t="s">
        <v>708</v>
      </c>
      <c r="E69" s="84">
        <v>1</v>
      </c>
      <c r="F69" s="83"/>
      <c r="G69" s="78"/>
    </row>
    <row r="70" spans="2:7">
      <c r="B70" s="82" t="s">
        <v>722</v>
      </c>
      <c r="C70" s="83" t="s">
        <v>359</v>
      </c>
      <c r="D70" s="83" t="s">
        <v>708</v>
      </c>
      <c r="E70" s="84">
        <v>1</v>
      </c>
      <c r="F70" s="83"/>
      <c r="G70" s="78"/>
    </row>
    <row r="71" spans="2:7">
      <c r="B71" s="82" t="s">
        <v>723</v>
      </c>
      <c r="C71" s="83" t="s">
        <v>360</v>
      </c>
      <c r="D71" s="83" t="s">
        <v>708</v>
      </c>
      <c r="E71" s="84">
        <v>1</v>
      </c>
      <c r="F71" s="83"/>
      <c r="G71" s="78"/>
    </row>
    <row r="72" spans="2:7">
      <c r="B72" s="82" t="s">
        <v>724</v>
      </c>
      <c r="C72" s="83" t="s">
        <v>361</v>
      </c>
      <c r="D72" s="83" t="s">
        <v>708</v>
      </c>
      <c r="E72" s="84">
        <v>1</v>
      </c>
      <c r="F72" s="83"/>
      <c r="G72" s="78"/>
    </row>
    <row r="73" spans="2:7">
      <c r="B73" s="82" t="s">
        <v>725</v>
      </c>
      <c r="C73" s="83" t="s">
        <v>362</v>
      </c>
      <c r="D73" s="83" t="s">
        <v>708</v>
      </c>
      <c r="E73" s="84">
        <v>1</v>
      </c>
      <c r="F73" s="83"/>
      <c r="G73" s="78"/>
    </row>
    <row r="74" spans="2:7">
      <c r="B74" s="82" t="s">
        <v>726</v>
      </c>
      <c r="C74" s="83" t="s">
        <v>363</v>
      </c>
      <c r="D74" s="83" t="s">
        <v>708</v>
      </c>
      <c r="E74" s="84">
        <v>1</v>
      </c>
      <c r="F74" s="83"/>
      <c r="G74" s="78"/>
    </row>
    <row r="75" spans="2:7">
      <c r="B75" s="82" t="s">
        <v>829</v>
      </c>
      <c r="C75" s="83" t="s">
        <v>364</v>
      </c>
      <c r="D75" s="83" t="s">
        <v>708</v>
      </c>
      <c r="E75" s="84">
        <v>1</v>
      </c>
      <c r="F75" s="83"/>
      <c r="G75" s="78"/>
    </row>
    <row r="76" spans="2:7">
      <c r="B76" s="82" t="s">
        <v>830</v>
      </c>
      <c r="C76" s="83" t="s">
        <v>365</v>
      </c>
      <c r="D76" s="83" t="s">
        <v>708</v>
      </c>
      <c r="E76" s="84">
        <v>1</v>
      </c>
      <c r="F76" s="83"/>
      <c r="G76" s="78"/>
    </row>
    <row r="77" spans="2:7">
      <c r="B77" s="82" t="s">
        <v>831</v>
      </c>
      <c r="C77" s="83" t="s">
        <v>366</v>
      </c>
      <c r="D77" s="83" t="s">
        <v>708</v>
      </c>
      <c r="E77" s="84">
        <v>1</v>
      </c>
      <c r="F77" s="83"/>
      <c r="G77" s="78"/>
    </row>
    <row r="78" spans="2:7">
      <c r="B78" s="82" t="s">
        <v>727</v>
      </c>
      <c r="C78" s="83" t="s">
        <v>367</v>
      </c>
      <c r="D78" s="83" t="s">
        <v>708</v>
      </c>
      <c r="E78" s="84">
        <v>1</v>
      </c>
      <c r="F78" s="83"/>
      <c r="G78" s="78"/>
    </row>
    <row r="79" spans="2:7">
      <c r="B79" s="82" t="s">
        <v>728</v>
      </c>
      <c r="C79" s="83" t="s">
        <v>368</v>
      </c>
      <c r="D79" s="83" t="s">
        <v>708</v>
      </c>
      <c r="E79" s="84">
        <v>1</v>
      </c>
      <c r="F79" s="83"/>
      <c r="G79" s="78"/>
    </row>
    <row r="80" spans="2:7" hidden="1">
      <c r="B80" s="82" t="s">
        <v>587</v>
      </c>
      <c r="C80" s="83" t="s">
        <v>304</v>
      </c>
      <c r="D80" s="83" t="s">
        <v>312</v>
      </c>
      <c r="E80" s="84">
        <v>1</v>
      </c>
      <c r="F80" s="83" t="s">
        <v>579</v>
      </c>
      <c r="G80" s="78"/>
    </row>
    <row r="81" spans="2:7" hidden="1">
      <c r="B81" s="82" t="s">
        <v>588</v>
      </c>
      <c r="C81" s="83" t="s">
        <v>305</v>
      </c>
      <c r="D81" s="83" t="s">
        <v>312</v>
      </c>
      <c r="E81" s="84">
        <v>0</v>
      </c>
      <c r="F81" s="83"/>
      <c r="G81" s="78"/>
    </row>
    <row r="82" spans="2:7" hidden="1">
      <c r="B82" s="82" t="s">
        <v>589</v>
      </c>
      <c r="C82" s="83" t="s">
        <v>306</v>
      </c>
      <c r="D82" s="83" t="s">
        <v>312</v>
      </c>
      <c r="E82" s="84">
        <v>0</v>
      </c>
      <c r="F82" s="83" t="s">
        <v>560</v>
      </c>
      <c r="G82" s="78"/>
    </row>
    <row r="83" spans="2:7" hidden="1">
      <c r="B83" s="82" t="s">
        <v>590</v>
      </c>
      <c r="C83" s="83" t="s">
        <v>307</v>
      </c>
      <c r="D83" s="83" t="s">
        <v>312</v>
      </c>
      <c r="E83" s="84">
        <v>0</v>
      </c>
      <c r="F83" s="83" t="s">
        <v>591</v>
      </c>
      <c r="G83" s="78"/>
    </row>
    <row r="84" spans="2:7" hidden="1">
      <c r="B84" s="82" t="s">
        <v>592</v>
      </c>
      <c r="C84" s="83" t="s">
        <v>308</v>
      </c>
      <c r="D84" s="83" t="s">
        <v>312</v>
      </c>
      <c r="E84" s="84">
        <v>1</v>
      </c>
      <c r="F84" s="83"/>
      <c r="G84" s="78"/>
    </row>
    <row r="85" spans="2:7">
      <c r="B85" s="82" t="s">
        <v>729</v>
      </c>
      <c r="C85" s="83" t="s">
        <v>369</v>
      </c>
      <c r="D85" s="83" t="s">
        <v>708</v>
      </c>
      <c r="E85" s="84">
        <v>2</v>
      </c>
      <c r="F85" s="83"/>
      <c r="G85" s="78"/>
    </row>
    <row r="86" spans="2:7">
      <c r="B86" s="82" t="s">
        <v>730</v>
      </c>
      <c r="C86" s="83" t="s">
        <v>370</v>
      </c>
      <c r="D86" s="83" t="s">
        <v>708</v>
      </c>
      <c r="E86" s="84">
        <v>2</v>
      </c>
      <c r="F86" s="83"/>
      <c r="G86" s="78"/>
    </row>
    <row r="87" spans="2:7">
      <c r="B87" s="82" t="s">
        <v>827</v>
      </c>
      <c r="C87" s="83" t="s">
        <v>371</v>
      </c>
      <c r="D87" s="83" t="s">
        <v>708</v>
      </c>
      <c r="E87" s="84">
        <v>2</v>
      </c>
      <c r="F87" s="83" t="s">
        <v>577</v>
      </c>
      <c r="G87" s="78"/>
    </row>
    <row r="88" spans="2:7">
      <c r="B88" s="82" t="s">
        <v>828</v>
      </c>
      <c r="C88" s="83" t="s">
        <v>593</v>
      </c>
      <c r="D88" s="83" t="s">
        <v>708</v>
      </c>
      <c r="E88" s="84">
        <v>2</v>
      </c>
      <c r="F88" s="83"/>
      <c r="G88" s="78"/>
    </row>
    <row r="89" spans="2:7">
      <c r="B89" s="82" t="s">
        <v>731</v>
      </c>
      <c r="C89" s="83" t="s">
        <v>372</v>
      </c>
      <c r="D89" s="83" t="s">
        <v>708</v>
      </c>
      <c r="E89" s="84">
        <v>1</v>
      </c>
      <c r="F89" s="83"/>
      <c r="G89" s="78"/>
    </row>
    <row r="90" spans="2:7">
      <c r="B90" s="82" t="s">
        <v>732</v>
      </c>
      <c r="C90" s="83" t="s">
        <v>373</v>
      </c>
      <c r="D90" s="83" t="s">
        <v>708</v>
      </c>
      <c r="E90" s="84">
        <v>1</v>
      </c>
      <c r="F90" s="83"/>
      <c r="G90" s="78"/>
    </row>
    <row r="91" spans="2:7">
      <c r="B91" s="82" t="s">
        <v>820</v>
      </c>
      <c r="C91" s="83" t="s">
        <v>374</v>
      </c>
      <c r="D91" s="83" t="s">
        <v>708</v>
      </c>
      <c r="E91" s="84">
        <v>1</v>
      </c>
      <c r="F91" s="83"/>
      <c r="G91" s="78"/>
    </row>
    <row r="92" spans="2:7">
      <c r="B92" s="82" t="s">
        <v>821</v>
      </c>
      <c r="C92" s="83" t="s">
        <v>375</v>
      </c>
      <c r="D92" s="83" t="s">
        <v>708</v>
      </c>
      <c r="E92" s="84">
        <v>1</v>
      </c>
      <c r="F92" s="83"/>
      <c r="G92" s="78"/>
    </row>
    <row r="93" spans="2:7">
      <c r="B93" s="82" t="s">
        <v>822</v>
      </c>
      <c r="C93" s="83" t="s">
        <v>376</v>
      </c>
      <c r="D93" s="83" t="s">
        <v>708</v>
      </c>
      <c r="E93" s="84">
        <v>1</v>
      </c>
      <c r="F93" s="83"/>
      <c r="G93" s="78"/>
    </row>
    <row r="94" spans="2:7">
      <c r="B94" s="82" t="s">
        <v>823</v>
      </c>
      <c r="C94" s="83" t="s">
        <v>377</v>
      </c>
      <c r="D94" s="83" t="s">
        <v>708</v>
      </c>
      <c r="E94" s="84">
        <v>1</v>
      </c>
      <c r="F94" s="83"/>
      <c r="G94" s="78"/>
    </row>
    <row r="95" spans="2:7">
      <c r="B95" s="82" t="s">
        <v>824</v>
      </c>
      <c r="C95" s="83" t="s">
        <v>378</v>
      </c>
      <c r="D95" s="83" t="s">
        <v>708</v>
      </c>
      <c r="E95" s="84">
        <v>1</v>
      </c>
      <c r="F95" s="83"/>
      <c r="G95" s="78"/>
    </row>
    <row r="96" spans="2:7">
      <c r="B96" s="82" t="s">
        <v>825</v>
      </c>
      <c r="C96" s="83" t="s">
        <v>594</v>
      </c>
      <c r="D96" s="83" t="s">
        <v>708</v>
      </c>
      <c r="E96" s="84">
        <v>1</v>
      </c>
      <c r="F96" s="83"/>
      <c r="G96" s="78"/>
    </row>
    <row r="97" spans="2:7">
      <c r="B97" s="82" t="s">
        <v>826</v>
      </c>
      <c r="C97" s="83" t="s">
        <v>595</v>
      </c>
      <c r="D97" s="83" t="s">
        <v>708</v>
      </c>
      <c r="E97" s="84">
        <v>1</v>
      </c>
      <c r="F97" s="83"/>
      <c r="G97" s="78"/>
    </row>
    <row r="98" spans="2:7">
      <c r="B98" s="82" t="s">
        <v>812</v>
      </c>
      <c r="C98" s="83" t="s">
        <v>379</v>
      </c>
      <c r="D98" s="83" t="s">
        <v>708</v>
      </c>
      <c r="E98" s="84">
        <v>1</v>
      </c>
      <c r="F98" s="83"/>
      <c r="G98" s="78"/>
    </row>
    <row r="99" spans="2:7">
      <c r="B99" s="82" t="s">
        <v>813</v>
      </c>
      <c r="C99" s="83" t="s">
        <v>380</v>
      </c>
      <c r="D99" s="83" t="s">
        <v>708</v>
      </c>
      <c r="E99" s="84">
        <v>1</v>
      </c>
      <c r="F99" s="83"/>
      <c r="G99" s="78"/>
    </row>
    <row r="100" spans="2:7">
      <c r="B100" s="82" t="s">
        <v>814</v>
      </c>
      <c r="C100" s="83" t="s">
        <v>596</v>
      </c>
      <c r="D100" s="83" t="s">
        <v>708</v>
      </c>
      <c r="E100" s="84">
        <v>1</v>
      </c>
      <c r="F100" s="83"/>
      <c r="G100" s="78"/>
    </row>
    <row r="101" spans="2:7">
      <c r="B101" s="82" t="s">
        <v>815</v>
      </c>
      <c r="C101" s="83" t="s">
        <v>597</v>
      </c>
      <c r="D101" s="83" t="s">
        <v>708</v>
      </c>
      <c r="E101" s="84">
        <v>1</v>
      </c>
      <c r="F101" s="83" t="s">
        <v>598</v>
      </c>
      <c r="G101" s="78"/>
    </row>
    <row r="102" spans="2:7">
      <c r="B102" s="82" t="s">
        <v>816</v>
      </c>
      <c r="C102" s="83" t="s">
        <v>599</v>
      </c>
      <c r="D102" s="83" t="s">
        <v>708</v>
      </c>
      <c r="E102" s="84">
        <v>1</v>
      </c>
      <c r="F102" s="83"/>
      <c r="G102" s="78"/>
    </row>
    <row r="103" spans="2:7">
      <c r="B103" s="82" t="s">
        <v>817</v>
      </c>
      <c r="C103" s="83" t="s">
        <v>600</v>
      </c>
      <c r="D103" s="83" t="s">
        <v>708</v>
      </c>
      <c r="E103" s="84">
        <v>1</v>
      </c>
      <c r="F103" s="83"/>
      <c r="G103" s="78"/>
    </row>
    <row r="104" spans="2:7">
      <c r="B104" s="82" t="s">
        <v>818</v>
      </c>
      <c r="C104" s="83" t="s">
        <v>601</v>
      </c>
      <c r="D104" s="83" t="s">
        <v>708</v>
      </c>
      <c r="E104" s="84">
        <v>1</v>
      </c>
      <c r="F104" s="83"/>
      <c r="G104" s="78"/>
    </row>
    <row r="105" spans="2:7">
      <c r="B105" s="82" t="s">
        <v>819</v>
      </c>
      <c r="C105" s="83" t="s">
        <v>602</v>
      </c>
      <c r="D105" s="83" t="s">
        <v>708</v>
      </c>
      <c r="E105" s="84">
        <v>1</v>
      </c>
      <c r="F105" s="83"/>
      <c r="G105" s="78"/>
    </row>
    <row r="106" spans="2:7">
      <c r="B106" s="82" t="s">
        <v>603</v>
      </c>
      <c r="C106" s="83" t="s">
        <v>381</v>
      </c>
      <c r="D106" s="83" t="s">
        <v>708</v>
      </c>
      <c r="E106" s="84">
        <v>1</v>
      </c>
      <c r="F106" s="84" t="s">
        <v>704</v>
      </c>
      <c r="G106" s="78"/>
    </row>
    <row r="107" spans="2:7">
      <c r="B107" s="82" t="s">
        <v>808</v>
      </c>
      <c r="C107" s="83" t="s">
        <v>604</v>
      </c>
      <c r="D107" s="83" t="s">
        <v>708</v>
      </c>
      <c r="E107" s="84">
        <v>1</v>
      </c>
      <c r="F107" s="83"/>
      <c r="G107" s="78"/>
    </row>
    <row r="108" spans="2:7">
      <c r="B108" s="82" t="s">
        <v>809</v>
      </c>
      <c r="C108" s="83" t="s">
        <v>605</v>
      </c>
      <c r="D108" s="83" t="s">
        <v>708</v>
      </c>
      <c r="E108" s="84">
        <v>1</v>
      </c>
      <c r="F108" s="83"/>
      <c r="G108" s="78"/>
    </row>
    <row r="109" spans="2:7">
      <c r="B109" s="82" t="s">
        <v>810</v>
      </c>
      <c r="C109" s="83" t="s">
        <v>606</v>
      </c>
      <c r="D109" s="83" t="s">
        <v>708</v>
      </c>
      <c r="E109" s="84">
        <v>1</v>
      </c>
      <c r="F109" s="83"/>
      <c r="G109" s="78"/>
    </row>
    <row r="110" spans="2:7">
      <c r="B110" s="82" t="s">
        <v>811</v>
      </c>
      <c r="C110" s="83" t="s">
        <v>607</v>
      </c>
      <c r="D110" s="83" t="s">
        <v>708</v>
      </c>
      <c r="E110" s="84">
        <v>1</v>
      </c>
      <c r="F110" s="83"/>
      <c r="G110" s="78"/>
    </row>
    <row r="111" spans="2:7">
      <c r="B111" s="82" t="s">
        <v>796</v>
      </c>
      <c r="C111" s="83" t="s">
        <v>476</v>
      </c>
      <c r="D111" s="83" t="s">
        <v>708</v>
      </c>
      <c r="E111" s="84">
        <v>1</v>
      </c>
      <c r="F111" s="83" t="s">
        <v>513</v>
      </c>
      <c r="G111" s="78"/>
    </row>
    <row r="112" spans="2:7">
      <c r="B112" s="82" t="s">
        <v>674</v>
      </c>
      <c r="C112" s="83" t="s">
        <v>477</v>
      </c>
      <c r="D112" s="83" t="s">
        <v>708</v>
      </c>
      <c r="E112" s="84">
        <v>1</v>
      </c>
      <c r="F112" s="83"/>
      <c r="G112" s="78"/>
    </row>
    <row r="113" spans="2:7">
      <c r="B113" s="82" t="s">
        <v>733</v>
      </c>
      <c r="C113" s="83" t="s">
        <v>389</v>
      </c>
      <c r="D113" s="83" t="s">
        <v>708</v>
      </c>
      <c r="E113" s="84">
        <v>2</v>
      </c>
      <c r="F113" s="83"/>
      <c r="G113" s="78"/>
    </row>
    <row r="114" spans="2:7">
      <c r="B114" s="82" t="s">
        <v>734</v>
      </c>
      <c r="C114" s="83" t="s">
        <v>390</v>
      </c>
      <c r="D114" s="83" t="s">
        <v>708</v>
      </c>
      <c r="E114" s="84">
        <v>2</v>
      </c>
      <c r="F114" s="83"/>
      <c r="G114" s="78"/>
    </row>
    <row r="115" spans="2:7">
      <c r="B115" s="82" t="s">
        <v>735</v>
      </c>
      <c r="C115" s="83" t="s">
        <v>391</v>
      </c>
      <c r="D115" s="83" t="s">
        <v>708</v>
      </c>
      <c r="E115" s="84">
        <v>2</v>
      </c>
      <c r="F115" s="83"/>
      <c r="G115" s="78"/>
    </row>
    <row r="116" spans="2:7">
      <c r="B116" s="82" t="s">
        <v>736</v>
      </c>
      <c r="C116" s="83" t="s">
        <v>392</v>
      </c>
      <c r="D116" s="83" t="s">
        <v>708</v>
      </c>
      <c r="E116" s="84">
        <v>2</v>
      </c>
      <c r="F116" s="83"/>
      <c r="G116" s="78"/>
    </row>
    <row r="117" spans="2:7">
      <c r="B117" s="82" t="s">
        <v>737</v>
      </c>
      <c r="C117" s="83" t="s">
        <v>393</v>
      </c>
      <c r="D117" s="83" t="s">
        <v>708</v>
      </c>
      <c r="E117" s="84">
        <v>2</v>
      </c>
      <c r="F117" s="83"/>
      <c r="G117" s="78"/>
    </row>
    <row r="118" spans="2:7">
      <c r="B118" s="82" t="s">
        <v>738</v>
      </c>
      <c r="C118" s="83" t="s">
        <v>394</v>
      </c>
      <c r="D118" s="83" t="s">
        <v>708</v>
      </c>
      <c r="E118" s="84">
        <v>2</v>
      </c>
      <c r="F118" s="83"/>
      <c r="G118" s="78"/>
    </row>
    <row r="119" spans="2:7">
      <c r="B119" s="82" t="s">
        <v>807</v>
      </c>
      <c r="C119" s="83" t="s">
        <v>499</v>
      </c>
      <c r="D119" s="83" t="s">
        <v>708</v>
      </c>
      <c r="E119" s="84">
        <v>1</v>
      </c>
      <c r="F119" s="83" t="s">
        <v>522</v>
      </c>
      <c r="G119" s="78"/>
    </row>
    <row r="120" spans="2:7">
      <c r="B120" s="82" t="s">
        <v>739</v>
      </c>
      <c r="C120" s="83" t="s">
        <v>608</v>
      </c>
      <c r="D120" s="83" t="s">
        <v>708</v>
      </c>
      <c r="E120" s="84">
        <v>1</v>
      </c>
      <c r="F120" s="83"/>
      <c r="G120" s="78"/>
    </row>
    <row r="121" spans="2:7">
      <c r="B121" s="82" t="s">
        <v>740</v>
      </c>
      <c r="C121" s="83" t="s">
        <v>609</v>
      </c>
      <c r="D121" s="83" t="s">
        <v>708</v>
      </c>
      <c r="E121" s="84">
        <v>1</v>
      </c>
      <c r="F121" s="83"/>
      <c r="G121" s="78"/>
    </row>
    <row r="122" spans="2:7" hidden="1">
      <c r="B122" s="82" t="s">
        <v>610</v>
      </c>
      <c r="C122" s="83" t="s">
        <v>309</v>
      </c>
      <c r="D122" s="83" t="s">
        <v>312</v>
      </c>
      <c r="E122" s="84">
        <v>0</v>
      </c>
      <c r="F122" s="83"/>
      <c r="G122" s="78"/>
    </row>
    <row r="123" spans="2:7" hidden="1">
      <c r="B123" s="82" t="s">
        <v>611</v>
      </c>
      <c r="C123" s="83" t="s">
        <v>310</v>
      </c>
      <c r="D123" s="83" t="s">
        <v>312</v>
      </c>
      <c r="E123" s="84">
        <v>1</v>
      </c>
      <c r="F123" s="83" t="s">
        <v>579</v>
      </c>
      <c r="G123" s="78"/>
    </row>
    <row r="124" spans="2:7">
      <c r="B124" s="82" t="s">
        <v>612</v>
      </c>
      <c r="C124" s="83" t="s">
        <v>395</v>
      </c>
      <c r="D124" s="83" t="s">
        <v>708</v>
      </c>
      <c r="E124" s="84">
        <v>1</v>
      </c>
      <c r="F124" s="83" t="s">
        <v>500</v>
      </c>
      <c r="G124" s="78"/>
    </row>
    <row r="125" spans="2:7">
      <c r="B125" s="82" t="s">
        <v>613</v>
      </c>
      <c r="C125" s="83" t="s">
        <v>396</v>
      </c>
      <c r="D125" s="83" t="s">
        <v>708</v>
      </c>
      <c r="E125" s="84">
        <v>1</v>
      </c>
      <c r="F125" s="83" t="s">
        <v>501</v>
      </c>
      <c r="G125" s="78"/>
    </row>
    <row r="126" spans="2:7">
      <c r="B126" s="82" t="s">
        <v>614</v>
      </c>
      <c r="C126" s="83" t="s">
        <v>397</v>
      </c>
      <c r="D126" s="83" t="s">
        <v>708</v>
      </c>
      <c r="E126" s="84">
        <v>1</v>
      </c>
      <c r="F126" s="83"/>
      <c r="G126" s="78"/>
    </row>
    <row r="127" spans="2:7">
      <c r="B127" s="82" t="s">
        <v>615</v>
      </c>
      <c r="C127" s="83" t="s">
        <v>398</v>
      </c>
      <c r="D127" s="83" t="s">
        <v>708</v>
      </c>
      <c r="E127" s="84">
        <v>1</v>
      </c>
      <c r="F127" s="83"/>
      <c r="G127" s="78"/>
    </row>
    <row r="128" spans="2:7">
      <c r="B128" s="82" t="s">
        <v>616</v>
      </c>
      <c r="C128" s="83" t="s">
        <v>399</v>
      </c>
      <c r="D128" s="83" t="s">
        <v>708</v>
      </c>
      <c r="E128" s="84">
        <v>1</v>
      </c>
      <c r="F128" s="83"/>
      <c r="G128" s="78"/>
    </row>
    <row r="129" spans="2:7">
      <c r="B129" s="82" t="s">
        <v>617</v>
      </c>
      <c r="C129" s="83" t="s">
        <v>400</v>
      </c>
      <c r="D129" s="83" t="s">
        <v>708</v>
      </c>
      <c r="E129" s="84">
        <v>1</v>
      </c>
      <c r="F129" s="83"/>
      <c r="G129" s="78"/>
    </row>
    <row r="130" spans="2:7">
      <c r="B130" s="82" t="s">
        <v>618</v>
      </c>
      <c r="C130" s="83" t="s">
        <v>401</v>
      </c>
      <c r="D130" s="83" t="s">
        <v>708</v>
      </c>
      <c r="E130" s="84">
        <v>1</v>
      </c>
      <c r="F130" s="83"/>
      <c r="G130" s="78"/>
    </row>
    <row r="131" spans="2:7">
      <c r="B131" s="82" t="s">
        <v>741</v>
      </c>
      <c r="C131" s="83" t="s">
        <v>402</v>
      </c>
      <c r="D131" s="83" t="s">
        <v>708</v>
      </c>
      <c r="E131" s="84">
        <v>2</v>
      </c>
      <c r="F131" s="83"/>
      <c r="G131" s="78"/>
    </row>
    <row r="132" spans="2:7">
      <c r="B132" s="82" t="s">
        <v>742</v>
      </c>
      <c r="C132" s="83" t="s">
        <v>403</v>
      </c>
      <c r="D132" s="83" t="s">
        <v>708</v>
      </c>
      <c r="E132" s="84">
        <v>2</v>
      </c>
      <c r="F132" s="83"/>
      <c r="G132" s="78"/>
    </row>
    <row r="133" spans="2:7">
      <c r="B133" s="82" t="s">
        <v>743</v>
      </c>
      <c r="C133" s="83" t="s">
        <v>404</v>
      </c>
      <c r="D133" s="83" t="s">
        <v>708</v>
      </c>
      <c r="E133" s="84">
        <v>2</v>
      </c>
      <c r="F133" s="83"/>
      <c r="G133" s="78"/>
    </row>
    <row r="134" spans="2:7">
      <c r="B134" s="82" t="s">
        <v>744</v>
      </c>
      <c r="C134" s="83" t="s">
        <v>405</v>
      </c>
      <c r="D134" s="83" t="s">
        <v>708</v>
      </c>
      <c r="E134" s="84">
        <v>2</v>
      </c>
      <c r="F134" s="83"/>
      <c r="G134" s="78"/>
    </row>
    <row r="135" spans="2:7">
      <c r="B135" s="82" t="s">
        <v>745</v>
      </c>
      <c r="C135" s="83" t="s">
        <v>406</v>
      </c>
      <c r="D135" s="83" t="s">
        <v>708</v>
      </c>
      <c r="E135" s="84">
        <v>2</v>
      </c>
      <c r="F135" s="83"/>
      <c r="G135" s="78"/>
    </row>
    <row r="136" spans="2:7">
      <c r="B136" s="82" t="s">
        <v>746</v>
      </c>
      <c r="C136" s="83" t="s">
        <v>407</v>
      </c>
      <c r="D136" s="83" t="s">
        <v>708</v>
      </c>
      <c r="E136" s="84">
        <v>2</v>
      </c>
      <c r="F136" s="83"/>
      <c r="G136" s="78"/>
    </row>
    <row r="137" spans="2:7">
      <c r="B137" s="82" t="s">
        <v>747</v>
      </c>
      <c r="C137" s="83" t="s">
        <v>408</v>
      </c>
      <c r="D137" s="83" t="s">
        <v>708</v>
      </c>
      <c r="E137" s="84">
        <v>2</v>
      </c>
      <c r="F137" s="83"/>
      <c r="G137" s="78"/>
    </row>
    <row r="138" spans="2:7">
      <c r="B138" s="82" t="s">
        <v>748</v>
      </c>
      <c r="C138" s="83" t="s">
        <v>409</v>
      </c>
      <c r="D138" s="83" t="s">
        <v>708</v>
      </c>
      <c r="E138" s="84">
        <v>2</v>
      </c>
      <c r="F138" s="83"/>
      <c r="G138" s="78"/>
    </row>
    <row r="139" spans="2:7">
      <c r="B139" s="82" t="s">
        <v>749</v>
      </c>
      <c r="C139" s="83" t="s">
        <v>410</v>
      </c>
      <c r="D139" s="83" t="s">
        <v>708</v>
      </c>
      <c r="E139" s="84">
        <v>2</v>
      </c>
      <c r="F139" s="83"/>
      <c r="G139" s="78"/>
    </row>
    <row r="140" spans="2:7">
      <c r="B140" s="82" t="s">
        <v>619</v>
      </c>
      <c r="C140" s="83" t="s">
        <v>411</v>
      </c>
      <c r="D140" s="83" t="s">
        <v>708</v>
      </c>
      <c r="E140" s="84">
        <v>1</v>
      </c>
      <c r="F140" s="83"/>
      <c r="G140" s="78"/>
    </row>
    <row r="141" spans="2:7">
      <c r="B141" s="82" t="s">
        <v>620</v>
      </c>
      <c r="C141" s="83" t="s">
        <v>412</v>
      </c>
      <c r="D141" s="83" t="s">
        <v>708</v>
      </c>
      <c r="E141" s="84">
        <v>1</v>
      </c>
      <c r="F141" s="83"/>
      <c r="G141" s="78"/>
    </row>
    <row r="142" spans="2:7">
      <c r="B142" s="82" t="s">
        <v>621</v>
      </c>
      <c r="C142" s="83" t="s">
        <v>413</v>
      </c>
      <c r="D142" s="83" t="s">
        <v>708</v>
      </c>
      <c r="E142" s="84">
        <v>1</v>
      </c>
      <c r="F142" s="83"/>
      <c r="G142" s="78"/>
    </row>
    <row r="143" spans="2:7">
      <c r="B143" s="82" t="s">
        <v>622</v>
      </c>
      <c r="C143" s="83" t="s">
        <v>414</v>
      </c>
      <c r="D143" s="83" t="s">
        <v>708</v>
      </c>
      <c r="E143" s="84">
        <v>1</v>
      </c>
      <c r="F143" s="83"/>
      <c r="G143" s="78"/>
    </row>
    <row r="144" spans="2:7">
      <c r="B144" s="82" t="s">
        <v>623</v>
      </c>
      <c r="C144" s="83" t="s">
        <v>415</v>
      </c>
      <c r="D144" s="83" t="s">
        <v>708</v>
      </c>
      <c r="E144" s="84">
        <v>1</v>
      </c>
      <c r="F144" s="83"/>
      <c r="G144" s="78"/>
    </row>
    <row r="145" spans="2:7">
      <c r="B145" s="82" t="s">
        <v>624</v>
      </c>
      <c r="C145" s="83" t="s">
        <v>416</v>
      </c>
      <c r="D145" s="83" t="s">
        <v>708</v>
      </c>
      <c r="E145" s="84">
        <v>1</v>
      </c>
      <c r="F145" s="83"/>
      <c r="G145" s="78"/>
    </row>
    <row r="146" spans="2:7">
      <c r="B146" s="82" t="s">
        <v>625</v>
      </c>
      <c r="C146" s="83" t="s">
        <v>417</v>
      </c>
      <c r="D146" s="83" t="s">
        <v>708</v>
      </c>
      <c r="E146" s="84">
        <v>1</v>
      </c>
      <c r="F146" s="83"/>
      <c r="G146" s="78"/>
    </row>
    <row r="147" spans="2:7">
      <c r="B147" s="82" t="s">
        <v>626</v>
      </c>
      <c r="C147" s="83" t="s">
        <v>418</v>
      </c>
      <c r="D147" s="83" t="s">
        <v>708</v>
      </c>
      <c r="E147" s="84">
        <v>1</v>
      </c>
      <c r="F147" s="83"/>
      <c r="G147" s="78"/>
    </row>
    <row r="148" spans="2:7">
      <c r="B148" s="82" t="s">
        <v>627</v>
      </c>
      <c r="C148" s="83" t="s">
        <v>419</v>
      </c>
      <c r="D148" s="83" t="s">
        <v>708</v>
      </c>
      <c r="E148" s="84">
        <v>1</v>
      </c>
      <c r="F148" s="83"/>
      <c r="G148" s="78"/>
    </row>
    <row r="149" spans="2:7">
      <c r="B149" s="82" t="s">
        <v>628</v>
      </c>
      <c r="C149" s="83" t="s">
        <v>420</v>
      </c>
      <c r="D149" s="83" t="s">
        <v>708</v>
      </c>
      <c r="E149" s="84">
        <v>1</v>
      </c>
      <c r="F149" s="83"/>
      <c r="G149" s="78"/>
    </row>
    <row r="150" spans="2:7">
      <c r="B150" s="82" t="s">
        <v>629</v>
      </c>
      <c r="C150" s="83" t="s">
        <v>421</v>
      </c>
      <c r="D150" s="83" t="s">
        <v>708</v>
      </c>
      <c r="E150" s="84">
        <v>1</v>
      </c>
      <c r="F150" s="83"/>
      <c r="G150" s="78"/>
    </row>
    <row r="151" spans="2:7">
      <c r="B151" s="82" t="s">
        <v>630</v>
      </c>
      <c r="C151" s="83" t="s">
        <v>632</v>
      </c>
      <c r="D151" s="83" t="s">
        <v>708</v>
      </c>
      <c r="E151" s="84">
        <v>1</v>
      </c>
      <c r="F151" s="83" t="s">
        <v>577</v>
      </c>
      <c r="G151" s="78"/>
    </row>
    <row r="152" spans="2:7">
      <c r="B152" s="82" t="s">
        <v>631</v>
      </c>
      <c r="C152" s="83" t="s">
        <v>422</v>
      </c>
      <c r="D152" s="83" t="s">
        <v>708</v>
      </c>
      <c r="E152" s="84">
        <v>1</v>
      </c>
      <c r="F152" s="83"/>
      <c r="G152" s="78"/>
    </row>
    <row r="153" spans="2:7">
      <c r="B153" s="82" t="s">
        <v>633</v>
      </c>
      <c r="C153" s="83" t="s">
        <v>423</v>
      </c>
      <c r="D153" s="83" t="s">
        <v>708</v>
      </c>
      <c r="E153" s="84">
        <v>1</v>
      </c>
      <c r="F153" s="83" t="s">
        <v>577</v>
      </c>
      <c r="G153" s="78"/>
    </row>
    <row r="154" spans="2:7">
      <c r="B154" s="82" t="s">
        <v>634</v>
      </c>
      <c r="C154" s="83" t="s">
        <v>424</v>
      </c>
      <c r="D154" s="83" t="s">
        <v>708</v>
      </c>
      <c r="E154" s="84">
        <v>1</v>
      </c>
      <c r="F154" s="83"/>
      <c r="G154" s="78"/>
    </row>
    <row r="155" spans="2:7">
      <c r="B155" s="82" t="s">
        <v>635</v>
      </c>
      <c r="C155" s="83" t="s">
        <v>425</v>
      </c>
      <c r="D155" s="83" t="s">
        <v>708</v>
      </c>
      <c r="E155" s="84">
        <v>1</v>
      </c>
      <c r="F155" s="83"/>
      <c r="G155" s="78"/>
    </row>
    <row r="156" spans="2:7">
      <c r="B156" s="82" t="s">
        <v>636</v>
      </c>
      <c r="C156" s="83" t="s">
        <v>426</v>
      </c>
      <c r="D156" s="83" t="s">
        <v>708</v>
      </c>
      <c r="E156" s="84">
        <v>1</v>
      </c>
      <c r="F156" s="83" t="s">
        <v>577</v>
      </c>
      <c r="G156" s="78"/>
    </row>
    <row r="157" spans="2:7">
      <c r="B157" s="82" t="s">
        <v>637</v>
      </c>
      <c r="C157" s="83" t="s">
        <v>427</v>
      </c>
      <c r="D157" s="83" t="s">
        <v>708</v>
      </c>
      <c r="E157" s="84">
        <v>1</v>
      </c>
      <c r="F157" s="83"/>
      <c r="G157" s="78"/>
    </row>
    <row r="158" spans="2:7">
      <c r="B158" s="82" t="s">
        <v>638</v>
      </c>
      <c r="C158" s="83" t="s">
        <v>428</v>
      </c>
      <c r="D158" s="83" t="s">
        <v>708</v>
      </c>
      <c r="E158" s="84">
        <v>1</v>
      </c>
      <c r="F158" s="83"/>
      <c r="G158" s="78"/>
    </row>
    <row r="159" spans="2:7">
      <c r="B159" s="82" t="s">
        <v>639</v>
      </c>
      <c r="C159" s="83" t="s">
        <v>429</v>
      </c>
      <c r="D159" s="83" t="s">
        <v>708</v>
      </c>
      <c r="E159" s="84">
        <v>1</v>
      </c>
      <c r="F159" s="83"/>
      <c r="G159" s="78"/>
    </row>
    <row r="160" spans="2:7">
      <c r="B160" s="82" t="s">
        <v>641</v>
      </c>
      <c r="C160" s="83" t="s">
        <v>642</v>
      </c>
      <c r="D160" s="83" t="s">
        <v>708</v>
      </c>
      <c r="E160" s="84">
        <v>1</v>
      </c>
      <c r="F160" s="83" t="s">
        <v>577</v>
      </c>
      <c r="G160" s="78"/>
    </row>
    <row r="161" spans="2:7">
      <c r="B161" s="82" t="s">
        <v>640</v>
      </c>
      <c r="C161" s="83" t="s">
        <v>430</v>
      </c>
      <c r="D161" s="83" t="s">
        <v>708</v>
      </c>
      <c r="E161" s="84">
        <v>1</v>
      </c>
      <c r="F161" s="83"/>
      <c r="G161" s="78"/>
    </row>
    <row r="162" spans="2:7">
      <c r="B162" s="82" t="s">
        <v>750</v>
      </c>
      <c r="C162" s="83" t="s">
        <v>431</v>
      </c>
      <c r="D162" s="83" t="s">
        <v>708</v>
      </c>
      <c r="E162" s="84">
        <v>1</v>
      </c>
      <c r="F162" s="83" t="s">
        <v>502</v>
      </c>
      <c r="G162" s="78"/>
    </row>
    <row r="163" spans="2:7">
      <c r="B163" s="82" t="s">
        <v>751</v>
      </c>
      <c r="C163" s="83" t="s">
        <v>643</v>
      </c>
      <c r="D163" s="83" t="s">
        <v>708</v>
      </c>
      <c r="E163" s="84">
        <v>1</v>
      </c>
      <c r="F163" s="83" t="s">
        <v>577</v>
      </c>
      <c r="G163" s="78"/>
    </row>
    <row r="164" spans="2:7">
      <c r="B164" s="82" t="s">
        <v>752</v>
      </c>
      <c r="C164" s="83" t="s">
        <v>432</v>
      </c>
      <c r="D164" s="83" t="s">
        <v>708</v>
      </c>
      <c r="E164" s="84">
        <v>1</v>
      </c>
      <c r="F164" s="83"/>
      <c r="G164" s="78"/>
    </row>
    <row r="165" spans="2:7">
      <c r="B165" s="82" t="s">
        <v>753</v>
      </c>
      <c r="C165" s="83" t="s">
        <v>433</v>
      </c>
      <c r="D165" s="83" t="s">
        <v>708</v>
      </c>
      <c r="E165" s="84">
        <v>1</v>
      </c>
      <c r="F165" s="83" t="s">
        <v>503</v>
      </c>
      <c r="G165" s="78"/>
    </row>
    <row r="166" spans="2:7">
      <c r="B166" s="82" t="s">
        <v>754</v>
      </c>
      <c r="C166" s="83" t="s">
        <v>434</v>
      </c>
      <c r="D166" s="83" t="s">
        <v>708</v>
      </c>
      <c r="E166" s="84">
        <v>1</v>
      </c>
      <c r="F166" s="83"/>
      <c r="G166" s="78"/>
    </row>
    <row r="167" spans="2:7">
      <c r="B167" s="82" t="s">
        <v>755</v>
      </c>
      <c r="C167" s="83" t="s">
        <v>435</v>
      </c>
      <c r="D167" s="83" t="s">
        <v>708</v>
      </c>
      <c r="E167" s="84">
        <v>1</v>
      </c>
      <c r="F167" s="83" t="s">
        <v>504</v>
      </c>
      <c r="G167" s="78"/>
    </row>
    <row r="168" spans="2:7">
      <c r="B168" s="82" t="s">
        <v>756</v>
      </c>
      <c r="C168" s="83" t="s">
        <v>644</v>
      </c>
      <c r="D168" s="83" t="s">
        <v>708</v>
      </c>
      <c r="E168" s="84">
        <v>1</v>
      </c>
      <c r="F168" s="83"/>
      <c r="G168" s="78"/>
    </row>
    <row r="169" spans="2:7">
      <c r="B169" s="82" t="s">
        <v>757</v>
      </c>
      <c r="C169" s="83" t="s">
        <v>645</v>
      </c>
      <c r="D169" s="83" t="s">
        <v>708</v>
      </c>
      <c r="E169" s="84">
        <v>1</v>
      </c>
      <c r="F169" s="83"/>
      <c r="G169" s="78"/>
    </row>
    <row r="170" spans="2:7">
      <c r="B170" s="82" t="s">
        <v>804</v>
      </c>
      <c r="C170" s="83" t="s">
        <v>436</v>
      </c>
      <c r="D170" s="83" t="s">
        <v>708</v>
      </c>
      <c r="E170" s="84">
        <v>1</v>
      </c>
      <c r="F170" s="83" t="s">
        <v>505</v>
      </c>
      <c r="G170" s="78"/>
    </row>
    <row r="171" spans="2:7">
      <c r="B171" s="82" t="s">
        <v>805</v>
      </c>
      <c r="C171" s="83" t="s">
        <v>437</v>
      </c>
      <c r="D171" s="83" t="s">
        <v>708</v>
      </c>
      <c r="E171" s="84">
        <v>1</v>
      </c>
      <c r="F171" s="83"/>
      <c r="G171" s="78"/>
    </row>
    <row r="172" spans="2:7">
      <c r="B172" s="82" t="s">
        <v>758</v>
      </c>
      <c r="C172" s="83" t="s">
        <v>438</v>
      </c>
      <c r="D172" s="83" t="s">
        <v>708</v>
      </c>
      <c r="E172" s="84">
        <v>1</v>
      </c>
      <c r="F172" s="83" t="s">
        <v>506</v>
      </c>
      <c r="G172" s="78"/>
    </row>
    <row r="173" spans="2:7">
      <c r="B173" s="82" t="s">
        <v>759</v>
      </c>
      <c r="C173" s="83" t="s">
        <v>439</v>
      </c>
      <c r="D173" s="83" t="s">
        <v>708</v>
      </c>
      <c r="E173" s="84">
        <v>1</v>
      </c>
      <c r="F173" s="83" t="s">
        <v>577</v>
      </c>
      <c r="G173" s="78"/>
    </row>
    <row r="174" spans="2:7">
      <c r="B174" s="82" t="s">
        <v>760</v>
      </c>
      <c r="C174" s="83" t="s">
        <v>440</v>
      </c>
      <c r="D174" s="83" t="s">
        <v>708</v>
      </c>
      <c r="E174" s="84">
        <v>1</v>
      </c>
      <c r="F174" s="83"/>
      <c r="G174" s="78"/>
    </row>
    <row r="175" spans="2:7">
      <c r="B175" s="82" t="s">
        <v>761</v>
      </c>
      <c r="C175" s="83" t="s">
        <v>441</v>
      </c>
      <c r="D175" s="83" t="s">
        <v>708</v>
      </c>
      <c r="E175" s="84">
        <v>1</v>
      </c>
      <c r="F175" s="83" t="s">
        <v>507</v>
      </c>
      <c r="G175" s="78"/>
    </row>
    <row r="176" spans="2:7">
      <c r="B176" s="82" t="s">
        <v>762</v>
      </c>
      <c r="C176" s="83" t="s">
        <v>646</v>
      </c>
      <c r="D176" s="83" t="s">
        <v>708</v>
      </c>
      <c r="E176" s="84">
        <v>1</v>
      </c>
      <c r="F176" s="83" t="s">
        <v>577</v>
      </c>
      <c r="G176" s="78"/>
    </row>
    <row r="177" spans="2:7">
      <c r="B177" s="82" t="s">
        <v>763</v>
      </c>
      <c r="C177" s="83" t="s">
        <v>442</v>
      </c>
      <c r="D177" s="83" t="s">
        <v>708</v>
      </c>
      <c r="E177" s="84">
        <v>1</v>
      </c>
      <c r="F177" s="83"/>
      <c r="G177" s="78"/>
    </row>
    <row r="178" spans="2:7" ht="27">
      <c r="B178" s="82" t="s">
        <v>764</v>
      </c>
      <c r="C178" s="83" t="s">
        <v>315</v>
      </c>
      <c r="D178" s="83" t="s">
        <v>708</v>
      </c>
      <c r="E178" s="84">
        <v>1</v>
      </c>
      <c r="F178" s="83" t="s">
        <v>647</v>
      </c>
      <c r="G178" s="78"/>
    </row>
    <row r="179" spans="2:7">
      <c r="B179" s="82" t="s">
        <v>765</v>
      </c>
      <c r="C179" s="83" t="s">
        <v>316</v>
      </c>
      <c r="D179" s="83" t="s">
        <v>708</v>
      </c>
      <c r="E179" s="84">
        <v>1</v>
      </c>
      <c r="F179" s="83"/>
      <c r="G179" s="78"/>
    </row>
    <row r="180" spans="2:7">
      <c r="B180" s="82" t="s">
        <v>766</v>
      </c>
      <c r="C180" s="83" t="s">
        <v>443</v>
      </c>
      <c r="D180" s="83" t="s">
        <v>708</v>
      </c>
      <c r="E180" s="84">
        <v>1</v>
      </c>
      <c r="F180" s="83"/>
      <c r="G180" s="78"/>
    </row>
    <row r="181" spans="2:7">
      <c r="B181" s="82" t="s">
        <v>767</v>
      </c>
      <c r="C181" s="83" t="s">
        <v>444</v>
      </c>
      <c r="D181" s="83" t="s">
        <v>708</v>
      </c>
      <c r="E181" s="84">
        <v>1</v>
      </c>
      <c r="F181" s="83"/>
      <c r="G181" s="78"/>
    </row>
    <row r="182" spans="2:7">
      <c r="B182" s="82" t="s">
        <v>768</v>
      </c>
      <c r="C182" s="83" t="s">
        <v>445</v>
      </c>
      <c r="D182" s="83" t="s">
        <v>708</v>
      </c>
      <c r="E182" s="84">
        <v>1</v>
      </c>
      <c r="F182" s="83"/>
      <c r="G182" s="78"/>
    </row>
    <row r="183" spans="2:7">
      <c r="B183" s="82" t="s">
        <v>806</v>
      </c>
      <c r="C183" s="83" t="s">
        <v>537</v>
      </c>
      <c r="D183" s="83" t="s">
        <v>708</v>
      </c>
      <c r="E183" s="84">
        <v>1</v>
      </c>
      <c r="F183" s="83"/>
      <c r="G183" s="78"/>
    </row>
    <row r="184" spans="2:7">
      <c r="B184" s="82" t="s">
        <v>769</v>
      </c>
      <c r="C184" s="83" t="s">
        <v>446</v>
      </c>
      <c r="D184" s="83" t="s">
        <v>708</v>
      </c>
      <c r="E184" s="84">
        <v>1</v>
      </c>
      <c r="F184" s="83"/>
      <c r="G184" s="78"/>
    </row>
    <row r="185" spans="2:7">
      <c r="B185" s="82" t="s">
        <v>770</v>
      </c>
      <c r="C185" s="83" t="s">
        <v>447</v>
      </c>
      <c r="D185" s="83" t="s">
        <v>708</v>
      </c>
      <c r="E185" s="84">
        <v>1</v>
      </c>
      <c r="F185" s="83" t="s">
        <v>577</v>
      </c>
      <c r="G185" s="78"/>
    </row>
    <row r="186" spans="2:7">
      <c r="B186" s="82" t="s">
        <v>771</v>
      </c>
      <c r="C186" s="83" t="s">
        <v>448</v>
      </c>
      <c r="D186" s="83" t="s">
        <v>708</v>
      </c>
      <c r="E186" s="84">
        <v>1</v>
      </c>
      <c r="F186" s="83"/>
      <c r="G186" s="78"/>
    </row>
    <row r="187" spans="2:7">
      <c r="B187" s="82" t="s">
        <v>648</v>
      </c>
      <c r="C187" s="83" t="s">
        <v>449</v>
      </c>
      <c r="D187" s="83" t="s">
        <v>708</v>
      </c>
      <c r="E187" s="84">
        <v>1</v>
      </c>
      <c r="F187" s="83"/>
      <c r="G187" s="78"/>
    </row>
    <row r="188" spans="2:7">
      <c r="B188" s="82" t="s">
        <v>649</v>
      </c>
      <c r="C188" s="83" t="s">
        <v>450</v>
      </c>
      <c r="D188" s="83" t="s">
        <v>708</v>
      </c>
      <c r="E188" s="84">
        <v>1</v>
      </c>
      <c r="F188" s="83" t="s">
        <v>577</v>
      </c>
      <c r="G188" s="78"/>
    </row>
    <row r="189" spans="2:7">
      <c r="B189" s="82" t="s">
        <v>650</v>
      </c>
      <c r="C189" s="83" t="s">
        <v>451</v>
      </c>
      <c r="D189" s="83" t="s">
        <v>708</v>
      </c>
      <c r="E189" s="84">
        <v>1</v>
      </c>
      <c r="F189" s="83"/>
      <c r="G189" s="78"/>
    </row>
    <row r="190" spans="2:7">
      <c r="B190" s="82" t="s">
        <v>651</v>
      </c>
      <c r="C190" s="83" t="s">
        <v>452</v>
      </c>
      <c r="D190" s="83" t="s">
        <v>708</v>
      </c>
      <c r="E190" s="84">
        <v>1</v>
      </c>
      <c r="F190" s="83" t="s">
        <v>577</v>
      </c>
      <c r="G190" s="78"/>
    </row>
    <row r="191" spans="2:7">
      <c r="B191" s="82" t="s">
        <v>652</v>
      </c>
      <c r="C191" s="83" t="s">
        <v>453</v>
      </c>
      <c r="D191" s="83" t="s">
        <v>708</v>
      </c>
      <c r="E191" s="84">
        <v>1</v>
      </c>
      <c r="F191" s="83" t="s">
        <v>659</v>
      </c>
      <c r="G191" s="78"/>
    </row>
    <row r="192" spans="2:7">
      <c r="B192" s="82" t="s">
        <v>653</v>
      </c>
      <c r="C192" s="83" t="s">
        <v>454</v>
      </c>
      <c r="D192" s="83" t="s">
        <v>708</v>
      </c>
      <c r="E192" s="84">
        <v>1</v>
      </c>
      <c r="F192" s="83"/>
      <c r="G192" s="78"/>
    </row>
    <row r="193" spans="2:7">
      <c r="B193" s="82" t="s">
        <v>654</v>
      </c>
      <c r="C193" s="83" t="s">
        <v>455</v>
      </c>
      <c r="D193" s="83" t="s">
        <v>708</v>
      </c>
      <c r="E193" s="84">
        <v>1</v>
      </c>
      <c r="F193" s="83" t="s">
        <v>508</v>
      </c>
      <c r="G193" s="78"/>
    </row>
    <row r="194" spans="2:7">
      <c r="B194" s="82" t="s">
        <v>655</v>
      </c>
      <c r="C194" s="83" t="s">
        <v>456</v>
      </c>
      <c r="D194" s="83" t="s">
        <v>708</v>
      </c>
      <c r="E194" s="84">
        <v>1</v>
      </c>
      <c r="F194" s="83"/>
      <c r="G194" s="78"/>
    </row>
    <row r="195" spans="2:7">
      <c r="B195" s="82" t="s">
        <v>656</v>
      </c>
      <c r="C195" s="83" t="s">
        <v>457</v>
      </c>
      <c r="D195" s="83" t="s">
        <v>708</v>
      </c>
      <c r="E195" s="84">
        <v>1</v>
      </c>
      <c r="F195" s="83"/>
      <c r="G195" s="78"/>
    </row>
    <row r="196" spans="2:7">
      <c r="B196" s="82" t="s">
        <v>657</v>
      </c>
      <c r="C196" s="83" t="s">
        <v>458</v>
      </c>
      <c r="D196" s="83" t="s">
        <v>708</v>
      </c>
      <c r="E196" s="84">
        <v>1</v>
      </c>
      <c r="F196" s="83"/>
      <c r="G196" s="78"/>
    </row>
    <row r="197" spans="2:7">
      <c r="B197" s="82" t="s">
        <v>658</v>
      </c>
      <c r="C197" s="83" t="s">
        <v>538</v>
      </c>
      <c r="D197" s="83" t="s">
        <v>708</v>
      </c>
      <c r="E197" s="84">
        <v>1</v>
      </c>
      <c r="F197" s="83"/>
      <c r="G197" s="78"/>
    </row>
    <row r="198" spans="2:7">
      <c r="B198" s="82" t="s">
        <v>772</v>
      </c>
      <c r="C198" s="83" t="s">
        <v>459</v>
      </c>
      <c r="D198" s="83" t="s">
        <v>708</v>
      </c>
      <c r="E198" s="84">
        <v>1</v>
      </c>
      <c r="F198" s="83" t="s">
        <v>509</v>
      </c>
      <c r="G198" s="78"/>
    </row>
    <row r="199" spans="2:7">
      <c r="B199" s="82" t="s">
        <v>773</v>
      </c>
      <c r="C199" s="83" t="s">
        <v>460</v>
      </c>
      <c r="D199" s="83" t="s">
        <v>708</v>
      </c>
      <c r="E199" s="84">
        <v>1</v>
      </c>
      <c r="F199" s="83"/>
      <c r="G199" s="78"/>
    </row>
    <row r="200" spans="2:7">
      <c r="B200" s="82" t="s">
        <v>774</v>
      </c>
      <c r="C200" s="83" t="s">
        <v>461</v>
      </c>
      <c r="D200" s="83" t="s">
        <v>708</v>
      </c>
      <c r="E200" s="84">
        <v>1</v>
      </c>
      <c r="F200" s="83" t="s">
        <v>510</v>
      </c>
      <c r="G200" s="78"/>
    </row>
    <row r="201" spans="2:7">
      <c r="B201" s="82" t="s">
        <v>775</v>
      </c>
      <c r="C201" s="83" t="s">
        <v>462</v>
      </c>
      <c r="D201" s="83" t="s">
        <v>708</v>
      </c>
      <c r="E201" s="84">
        <v>1</v>
      </c>
      <c r="F201" s="83"/>
      <c r="G201" s="78"/>
    </row>
    <row r="202" spans="2:7">
      <c r="B202" s="82" t="s">
        <v>776</v>
      </c>
      <c r="C202" s="83" t="s">
        <v>463</v>
      </c>
      <c r="D202" s="83" t="s">
        <v>708</v>
      </c>
      <c r="E202" s="84">
        <v>1</v>
      </c>
      <c r="F202" s="83"/>
      <c r="G202" s="78"/>
    </row>
    <row r="203" spans="2:7">
      <c r="B203" s="82" t="s">
        <v>777</v>
      </c>
      <c r="C203" s="83" t="s">
        <v>464</v>
      </c>
      <c r="D203" s="83" t="s">
        <v>708</v>
      </c>
      <c r="E203" s="84">
        <v>1</v>
      </c>
      <c r="F203" s="83"/>
      <c r="G203" s="78"/>
    </row>
    <row r="204" spans="2:7">
      <c r="B204" s="82" t="s">
        <v>778</v>
      </c>
      <c r="C204" s="83" t="s">
        <v>465</v>
      </c>
      <c r="D204" s="83" t="s">
        <v>708</v>
      </c>
      <c r="E204" s="84">
        <v>1</v>
      </c>
      <c r="F204" s="83"/>
      <c r="G204" s="78"/>
    </row>
    <row r="205" spans="2:7">
      <c r="B205" s="82" t="s">
        <v>779</v>
      </c>
      <c r="C205" s="83" t="s">
        <v>466</v>
      </c>
      <c r="D205" s="83" t="s">
        <v>708</v>
      </c>
      <c r="E205" s="84">
        <v>1</v>
      </c>
      <c r="F205" s="83"/>
      <c r="G205" s="78"/>
    </row>
    <row r="206" spans="2:7">
      <c r="B206" s="82" t="s">
        <v>780</v>
      </c>
      <c r="C206" s="83" t="s">
        <v>467</v>
      </c>
      <c r="D206" s="83" t="s">
        <v>708</v>
      </c>
      <c r="E206" s="84">
        <v>1</v>
      </c>
      <c r="F206" s="83" t="s">
        <v>511</v>
      </c>
      <c r="G206" s="78"/>
    </row>
    <row r="207" spans="2:7">
      <c r="B207" s="82" t="s">
        <v>781</v>
      </c>
      <c r="C207" s="83" t="s">
        <v>660</v>
      </c>
      <c r="D207" s="83" t="s">
        <v>708</v>
      </c>
      <c r="E207" s="84">
        <v>1</v>
      </c>
      <c r="F207" s="83" t="s">
        <v>577</v>
      </c>
      <c r="G207" s="78"/>
    </row>
    <row r="208" spans="2:7">
      <c r="B208" s="82" t="s">
        <v>782</v>
      </c>
      <c r="C208" s="83" t="s">
        <v>662</v>
      </c>
      <c r="D208" s="83" t="s">
        <v>708</v>
      </c>
      <c r="E208" s="84">
        <v>1</v>
      </c>
      <c r="F208" s="83"/>
      <c r="G208" s="78"/>
    </row>
    <row r="209" spans="2:7">
      <c r="B209" s="82" t="s">
        <v>783</v>
      </c>
      <c r="C209" s="83" t="s">
        <v>661</v>
      </c>
      <c r="D209" s="83" t="s">
        <v>708</v>
      </c>
      <c r="E209" s="84">
        <v>1</v>
      </c>
      <c r="F209" s="83" t="s">
        <v>663</v>
      </c>
      <c r="G209" s="78"/>
    </row>
    <row r="210" spans="2:7">
      <c r="B210" s="82" t="s">
        <v>784</v>
      </c>
      <c r="C210" s="83" t="s">
        <v>468</v>
      </c>
      <c r="D210" s="83" t="s">
        <v>708</v>
      </c>
      <c r="E210" s="84">
        <v>1</v>
      </c>
      <c r="F210" s="83"/>
      <c r="G210" s="78"/>
    </row>
    <row r="211" spans="2:7">
      <c r="B211" s="82" t="s">
        <v>785</v>
      </c>
      <c r="C211" s="83" t="s">
        <v>664</v>
      </c>
      <c r="D211" s="83" t="s">
        <v>708</v>
      </c>
      <c r="E211" s="84">
        <v>1</v>
      </c>
      <c r="F211" s="83"/>
      <c r="G211" s="78"/>
    </row>
    <row r="212" spans="2:7">
      <c r="B212" s="82" t="s">
        <v>786</v>
      </c>
      <c r="C212" s="83" t="s">
        <v>665</v>
      </c>
      <c r="D212" s="83" t="s">
        <v>708</v>
      </c>
      <c r="E212" s="84">
        <v>1</v>
      </c>
      <c r="F212" s="83" t="s">
        <v>577</v>
      </c>
      <c r="G212" s="78"/>
    </row>
    <row r="213" spans="2:7">
      <c r="B213" s="82" t="s">
        <v>787</v>
      </c>
      <c r="C213" s="83" t="s">
        <v>666</v>
      </c>
      <c r="D213" s="83" t="s">
        <v>708</v>
      </c>
      <c r="E213" s="84">
        <v>1</v>
      </c>
      <c r="F213" s="83" t="s">
        <v>663</v>
      </c>
      <c r="G213" s="78"/>
    </row>
    <row r="214" spans="2:7">
      <c r="B214" s="82" t="s">
        <v>788</v>
      </c>
      <c r="C214" s="83" t="s">
        <v>469</v>
      </c>
      <c r="D214" s="83" t="s">
        <v>708</v>
      </c>
      <c r="E214" s="84">
        <v>1</v>
      </c>
      <c r="F214" s="83"/>
      <c r="G214" s="78"/>
    </row>
    <row r="215" spans="2:7">
      <c r="B215" s="82" t="s">
        <v>789</v>
      </c>
      <c r="C215" s="83" t="s">
        <v>667</v>
      </c>
      <c r="D215" s="83" t="s">
        <v>708</v>
      </c>
      <c r="E215" s="84">
        <v>1</v>
      </c>
      <c r="F215" s="83" t="s">
        <v>577</v>
      </c>
      <c r="G215" s="78"/>
    </row>
    <row r="216" spans="2:7">
      <c r="B216" s="82" t="s">
        <v>790</v>
      </c>
      <c r="C216" s="83" t="s">
        <v>470</v>
      </c>
      <c r="D216" s="83" t="s">
        <v>708</v>
      </c>
      <c r="E216" s="84">
        <v>1</v>
      </c>
      <c r="F216" s="83"/>
      <c r="G216" s="78"/>
    </row>
    <row r="217" spans="2:7">
      <c r="B217" s="82" t="s">
        <v>791</v>
      </c>
      <c r="C217" s="83" t="s">
        <v>470</v>
      </c>
      <c r="D217" s="83" t="s">
        <v>708</v>
      </c>
      <c r="E217" s="84">
        <v>1</v>
      </c>
      <c r="F217" s="83" t="s">
        <v>663</v>
      </c>
      <c r="G217" s="78"/>
    </row>
    <row r="218" spans="2:7">
      <c r="B218" s="82" t="s">
        <v>792</v>
      </c>
      <c r="C218" s="83" t="s">
        <v>471</v>
      </c>
      <c r="D218" s="83" t="s">
        <v>708</v>
      </c>
      <c r="E218" s="84">
        <v>1</v>
      </c>
      <c r="F218" s="83"/>
      <c r="G218" s="78"/>
    </row>
    <row r="219" spans="2:7">
      <c r="B219" s="82" t="s">
        <v>793</v>
      </c>
      <c r="C219" s="83" t="s">
        <v>472</v>
      </c>
      <c r="D219" s="83" t="s">
        <v>708</v>
      </c>
      <c r="E219" s="84">
        <v>1</v>
      </c>
      <c r="F219" s="83" t="s">
        <v>577</v>
      </c>
      <c r="G219" s="78"/>
    </row>
    <row r="220" spans="2:7">
      <c r="B220" s="82" t="s">
        <v>794</v>
      </c>
      <c r="C220" s="83" t="s">
        <v>473</v>
      </c>
      <c r="D220" s="83" t="s">
        <v>708</v>
      </c>
      <c r="E220" s="84">
        <v>1</v>
      </c>
      <c r="F220" s="83"/>
      <c r="G220" s="78"/>
    </row>
    <row r="221" spans="2:7">
      <c r="B221" s="82" t="s">
        <v>795</v>
      </c>
      <c r="C221" s="83" t="s">
        <v>473</v>
      </c>
      <c r="D221" s="83" t="s">
        <v>708</v>
      </c>
      <c r="E221" s="84">
        <v>1</v>
      </c>
      <c r="F221" s="83" t="s">
        <v>663</v>
      </c>
      <c r="G221" s="78"/>
    </row>
    <row r="222" spans="2:7" ht="16.5" customHeight="1">
      <c r="B222" s="82" t="s">
        <v>668</v>
      </c>
      <c r="C222" s="83" t="s">
        <v>474</v>
      </c>
      <c r="D222" s="83" t="s">
        <v>708</v>
      </c>
      <c r="E222" s="84">
        <v>1</v>
      </c>
      <c r="F222" s="83" t="s">
        <v>512</v>
      </c>
      <c r="G222" s="78"/>
    </row>
    <row r="223" spans="2:7">
      <c r="B223" s="82" t="s">
        <v>669</v>
      </c>
      <c r="C223" s="83" t="s">
        <v>475</v>
      </c>
      <c r="D223" s="83" t="s">
        <v>708</v>
      </c>
      <c r="E223" s="84">
        <v>1</v>
      </c>
      <c r="F223" s="83"/>
      <c r="G223" s="78"/>
    </row>
    <row r="224" spans="2:7">
      <c r="B224" s="82" t="s">
        <v>672</v>
      </c>
      <c r="C224" s="83" t="s">
        <v>670</v>
      </c>
      <c r="D224" s="83" t="s">
        <v>708</v>
      </c>
      <c r="E224" s="84">
        <v>1</v>
      </c>
      <c r="F224" s="83"/>
      <c r="G224" s="78"/>
    </row>
    <row r="225" spans="2:7">
      <c r="B225" s="82" t="s">
        <v>673</v>
      </c>
      <c r="C225" s="83" t="s">
        <v>671</v>
      </c>
      <c r="D225" s="83" t="s">
        <v>708</v>
      </c>
      <c r="E225" s="84">
        <v>1</v>
      </c>
      <c r="F225" s="83"/>
      <c r="G225" s="78"/>
    </row>
    <row r="226" spans="2:7">
      <c r="B226" s="82" t="s">
        <v>796</v>
      </c>
      <c r="C226" s="83" t="s">
        <v>476</v>
      </c>
      <c r="D226" s="83" t="s">
        <v>708</v>
      </c>
      <c r="E226" s="84">
        <v>1</v>
      </c>
      <c r="F226" s="83" t="s">
        <v>513</v>
      </c>
      <c r="G226" s="78"/>
    </row>
    <row r="227" spans="2:7">
      <c r="B227" s="82" t="s">
        <v>674</v>
      </c>
      <c r="C227" s="83" t="s">
        <v>477</v>
      </c>
      <c r="D227" s="83" t="s">
        <v>708</v>
      </c>
      <c r="E227" s="84">
        <v>1</v>
      </c>
      <c r="F227" s="83"/>
      <c r="G227" s="78"/>
    </row>
    <row r="228" spans="2:7">
      <c r="B228" s="82" t="s">
        <v>797</v>
      </c>
      <c r="C228" s="83" t="s">
        <v>478</v>
      </c>
      <c r="D228" s="83" t="s">
        <v>708</v>
      </c>
      <c r="E228" s="84">
        <v>1</v>
      </c>
      <c r="F228" s="83" t="s">
        <v>514</v>
      </c>
      <c r="G228" s="78"/>
    </row>
    <row r="229" spans="2:7">
      <c r="B229" s="82" t="s">
        <v>675</v>
      </c>
      <c r="C229" s="83" t="s">
        <v>479</v>
      </c>
      <c r="D229" s="83" t="s">
        <v>708</v>
      </c>
      <c r="E229" s="84">
        <v>1</v>
      </c>
      <c r="F229" s="83"/>
      <c r="G229" s="78"/>
    </row>
    <row r="230" spans="2:7">
      <c r="B230" s="82" t="s">
        <v>676</v>
      </c>
      <c r="C230" s="83" t="s">
        <v>480</v>
      </c>
      <c r="D230" s="83" t="s">
        <v>708</v>
      </c>
      <c r="E230" s="84">
        <v>1</v>
      </c>
      <c r="F230" s="83"/>
      <c r="G230" s="78"/>
    </row>
    <row r="231" spans="2:7">
      <c r="B231" s="82" t="s">
        <v>798</v>
      </c>
      <c r="C231" s="83" t="s">
        <v>481</v>
      </c>
      <c r="D231" s="83" t="s">
        <v>708</v>
      </c>
      <c r="E231" s="84">
        <v>1</v>
      </c>
      <c r="F231" s="83" t="s">
        <v>515</v>
      </c>
      <c r="G231" s="78"/>
    </row>
    <row r="232" spans="2:7">
      <c r="B232" s="82" t="s">
        <v>677</v>
      </c>
      <c r="C232" s="83" t="s">
        <v>482</v>
      </c>
      <c r="D232" s="83" t="s">
        <v>708</v>
      </c>
      <c r="E232" s="84">
        <v>1</v>
      </c>
      <c r="F232" s="83"/>
      <c r="G232" s="78"/>
    </row>
    <row r="233" spans="2:7">
      <c r="B233" s="82" t="s">
        <v>678</v>
      </c>
      <c r="C233" s="83" t="s">
        <v>483</v>
      </c>
      <c r="D233" s="83" t="s">
        <v>708</v>
      </c>
      <c r="E233" s="84">
        <v>1</v>
      </c>
      <c r="F233" s="83"/>
      <c r="G233" s="78"/>
    </row>
    <row r="234" spans="2:7">
      <c r="B234" s="82" t="s">
        <v>679</v>
      </c>
      <c r="C234" s="83" t="s">
        <v>484</v>
      </c>
      <c r="D234" s="83" t="s">
        <v>708</v>
      </c>
      <c r="E234" s="84">
        <v>1</v>
      </c>
      <c r="F234" s="83"/>
      <c r="G234" s="78"/>
    </row>
    <row r="235" spans="2:7">
      <c r="B235" s="82" t="s">
        <v>680</v>
      </c>
      <c r="C235" s="83" t="s">
        <v>485</v>
      </c>
      <c r="D235" s="83" t="s">
        <v>708</v>
      </c>
      <c r="E235" s="84">
        <v>1</v>
      </c>
      <c r="F235" s="83"/>
      <c r="G235" s="78"/>
    </row>
    <row r="236" spans="2:7">
      <c r="B236" s="82" t="s">
        <v>799</v>
      </c>
      <c r="C236" s="83" t="s">
        <v>486</v>
      </c>
      <c r="D236" s="83" t="s">
        <v>708</v>
      </c>
      <c r="E236" s="84">
        <v>1</v>
      </c>
      <c r="F236" s="83" t="s">
        <v>516</v>
      </c>
      <c r="G236" s="78"/>
    </row>
    <row r="237" spans="2:7">
      <c r="B237" s="82" t="s">
        <v>681</v>
      </c>
      <c r="C237" s="83" t="s">
        <v>487</v>
      </c>
      <c r="D237" s="83" t="s">
        <v>708</v>
      </c>
      <c r="E237" s="84">
        <v>1</v>
      </c>
      <c r="F237" s="83"/>
      <c r="G237" s="78"/>
    </row>
    <row r="238" spans="2:7">
      <c r="B238" s="82" t="s">
        <v>682</v>
      </c>
      <c r="C238" s="83" t="s">
        <v>488</v>
      </c>
      <c r="D238" s="83" t="s">
        <v>708</v>
      </c>
      <c r="E238" s="84">
        <v>1</v>
      </c>
      <c r="F238" s="83"/>
      <c r="G238" s="78"/>
    </row>
    <row r="239" spans="2:7">
      <c r="B239" s="82" t="s">
        <v>683</v>
      </c>
      <c r="C239" s="83" t="s">
        <v>489</v>
      </c>
      <c r="D239" s="83" t="s">
        <v>708</v>
      </c>
      <c r="E239" s="84">
        <v>1</v>
      </c>
      <c r="F239" s="83" t="s">
        <v>517</v>
      </c>
      <c r="G239" s="78"/>
    </row>
    <row r="240" spans="2:7">
      <c r="B240" s="82" t="s">
        <v>684</v>
      </c>
      <c r="C240" s="83" t="s">
        <v>490</v>
      </c>
      <c r="D240" s="83" t="s">
        <v>708</v>
      </c>
      <c r="E240" s="84">
        <v>1</v>
      </c>
      <c r="F240" s="83"/>
      <c r="G240" s="78"/>
    </row>
    <row r="241" spans="2:7">
      <c r="B241" s="82" t="s">
        <v>800</v>
      </c>
      <c r="C241" s="83" t="s">
        <v>491</v>
      </c>
      <c r="D241" s="83" t="s">
        <v>708</v>
      </c>
      <c r="E241" s="84">
        <v>1</v>
      </c>
      <c r="F241" s="83" t="s">
        <v>518</v>
      </c>
      <c r="G241" s="78"/>
    </row>
    <row r="242" spans="2:7">
      <c r="B242" s="82" t="s">
        <v>685</v>
      </c>
      <c r="C242" s="83" t="s">
        <v>492</v>
      </c>
      <c r="D242" s="83" t="s">
        <v>708</v>
      </c>
      <c r="E242" s="84">
        <v>1</v>
      </c>
      <c r="F242" s="83"/>
      <c r="G242" s="78"/>
    </row>
    <row r="243" spans="2:7">
      <c r="B243" s="82" t="s">
        <v>801</v>
      </c>
      <c r="C243" s="83" t="s">
        <v>495</v>
      </c>
      <c r="D243" s="83" t="s">
        <v>708</v>
      </c>
      <c r="E243" s="84">
        <v>1</v>
      </c>
      <c r="F243" s="83" t="s">
        <v>520</v>
      </c>
      <c r="G243" s="78"/>
    </row>
    <row r="244" spans="2:7">
      <c r="B244" s="82" t="s">
        <v>686</v>
      </c>
      <c r="C244" s="83" t="s">
        <v>688</v>
      </c>
      <c r="D244" s="83" t="s">
        <v>708</v>
      </c>
      <c r="E244" s="84">
        <v>1</v>
      </c>
      <c r="F244" s="83" t="s">
        <v>577</v>
      </c>
      <c r="G244" s="78"/>
    </row>
    <row r="245" spans="2:7">
      <c r="B245" s="82" t="s">
        <v>687</v>
      </c>
      <c r="C245" s="83" t="s">
        <v>496</v>
      </c>
      <c r="D245" s="83" t="s">
        <v>708</v>
      </c>
      <c r="E245" s="84">
        <v>1</v>
      </c>
      <c r="F245" s="83"/>
      <c r="G245" s="78"/>
    </row>
    <row r="246" spans="2:7">
      <c r="B246" s="82" t="s">
        <v>802</v>
      </c>
      <c r="C246" s="83" t="s">
        <v>497</v>
      </c>
      <c r="D246" s="83" t="s">
        <v>708</v>
      </c>
      <c r="E246" s="84">
        <v>1</v>
      </c>
      <c r="F246" s="83" t="s">
        <v>521</v>
      </c>
      <c r="G246" s="78"/>
    </row>
    <row r="247" spans="2:7">
      <c r="B247" s="82" t="s">
        <v>689</v>
      </c>
      <c r="C247" s="83" t="s">
        <v>691</v>
      </c>
      <c r="D247" s="83" t="s">
        <v>708</v>
      </c>
      <c r="E247" s="84">
        <v>1</v>
      </c>
      <c r="F247" s="83"/>
      <c r="G247" s="78"/>
    </row>
    <row r="248" spans="2:7">
      <c r="B248" s="82" t="s">
        <v>690</v>
      </c>
      <c r="C248" s="83" t="s">
        <v>498</v>
      </c>
      <c r="D248" s="83" t="s">
        <v>708</v>
      </c>
      <c r="E248" s="84">
        <v>1</v>
      </c>
      <c r="F248" s="83"/>
      <c r="G248" s="78"/>
    </row>
    <row r="249" spans="2:7">
      <c r="B249" s="82" t="s">
        <v>803</v>
      </c>
      <c r="C249" s="83" t="s">
        <v>493</v>
      </c>
      <c r="D249" s="83" t="s">
        <v>708</v>
      </c>
      <c r="E249" s="84">
        <v>1</v>
      </c>
      <c r="F249" s="83" t="s">
        <v>519</v>
      </c>
      <c r="G249" s="78"/>
    </row>
    <row r="250" spans="2:7">
      <c r="B250" s="82" t="s">
        <v>692</v>
      </c>
      <c r="C250" s="83" t="s">
        <v>494</v>
      </c>
      <c r="D250" s="83" t="s">
        <v>708</v>
      </c>
      <c r="E250" s="84">
        <v>1</v>
      </c>
      <c r="F250" s="83"/>
      <c r="G250" s="78"/>
    </row>
    <row r="251" spans="2:7" hidden="1">
      <c r="B251" s="83" t="s">
        <v>530</v>
      </c>
      <c r="C251" s="83" t="s">
        <v>382</v>
      </c>
      <c r="D251" s="83" t="s">
        <v>317</v>
      </c>
      <c r="E251" s="84">
        <v>1</v>
      </c>
      <c r="F251" s="83" t="s">
        <v>696</v>
      </c>
      <c r="G251" s="78"/>
    </row>
    <row r="252" spans="2:7" hidden="1">
      <c r="B252" s="83" t="s">
        <v>531</v>
      </c>
      <c r="C252" s="83" t="s">
        <v>383</v>
      </c>
      <c r="D252" s="83" t="s">
        <v>317</v>
      </c>
      <c r="E252" s="84">
        <v>1</v>
      </c>
      <c r="F252" s="83" t="s">
        <v>696</v>
      </c>
      <c r="G252" s="78"/>
    </row>
    <row r="253" spans="2:7" hidden="1">
      <c r="B253" s="83" t="s">
        <v>532</v>
      </c>
      <c r="C253" s="83" t="s">
        <v>384</v>
      </c>
      <c r="D253" s="83" t="s">
        <v>317</v>
      </c>
      <c r="E253" s="84">
        <v>1</v>
      </c>
      <c r="F253" s="83" t="s">
        <v>696</v>
      </c>
      <c r="G253" s="78"/>
    </row>
    <row r="254" spans="2:7" hidden="1">
      <c r="B254" s="83" t="s">
        <v>533</v>
      </c>
      <c r="C254" s="83" t="s">
        <v>385</v>
      </c>
      <c r="D254" s="83" t="s">
        <v>317</v>
      </c>
      <c r="E254" s="84">
        <v>1</v>
      </c>
      <c r="F254" s="83" t="s">
        <v>696</v>
      </c>
      <c r="G254" s="78"/>
    </row>
    <row r="255" spans="2:7" hidden="1">
      <c r="B255" s="83" t="s">
        <v>534</v>
      </c>
      <c r="C255" s="83" t="s">
        <v>386</v>
      </c>
      <c r="D255" s="83" t="s">
        <v>317</v>
      </c>
      <c r="E255" s="84">
        <v>1</v>
      </c>
      <c r="F255" s="83" t="s">
        <v>696</v>
      </c>
      <c r="G255" s="78"/>
    </row>
    <row r="256" spans="2:7" hidden="1">
      <c r="B256" s="83" t="s">
        <v>535</v>
      </c>
      <c r="C256" s="83" t="s">
        <v>387</v>
      </c>
      <c r="D256" s="83" t="s">
        <v>317</v>
      </c>
      <c r="E256" s="84">
        <v>1</v>
      </c>
      <c r="F256" s="83" t="s">
        <v>696</v>
      </c>
      <c r="G256" s="78"/>
    </row>
    <row r="257" spans="2:7" hidden="1">
      <c r="B257" s="83" t="s">
        <v>536</v>
      </c>
      <c r="C257" s="83" t="s">
        <v>388</v>
      </c>
      <c r="D257" s="83" t="s">
        <v>317</v>
      </c>
      <c r="E257" s="84">
        <v>1</v>
      </c>
      <c r="F257" s="83" t="s">
        <v>696</v>
      </c>
      <c r="G257" s="78"/>
    </row>
    <row r="258" spans="2:7" hidden="1">
      <c r="B258" s="83" t="s">
        <v>523</v>
      </c>
      <c r="C258" s="83" t="s">
        <v>292</v>
      </c>
      <c r="D258" s="83" t="s">
        <v>312</v>
      </c>
      <c r="E258" s="84">
        <v>1</v>
      </c>
      <c r="F258" s="83" t="s">
        <v>696</v>
      </c>
      <c r="G258" s="78"/>
    </row>
    <row r="259" spans="2:7" hidden="1">
      <c r="B259" s="83" t="s">
        <v>524</v>
      </c>
      <c r="C259" s="83" t="s">
        <v>334</v>
      </c>
      <c r="D259" s="83" t="s">
        <v>317</v>
      </c>
      <c r="E259" s="84">
        <v>2</v>
      </c>
      <c r="F259" s="83" t="s">
        <v>696</v>
      </c>
      <c r="G259" s="78"/>
    </row>
    <row r="260" spans="2:7" hidden="1">
      <c r="B260" s="83" t="s">
        <v>525</v>
      </c>
      <c r="C260" s="83" t="s">
        <v>335</v>
      </c>
      <c r="D260" s="83" t="s">
        <v>317</v>
      </c>
      <c r="E260" s="84">
        <v>2</v>
      </c>
      <c r="F260" s="83" t="s">
        <v>696</v>
      </c>
      <c r="G260" s="78"/>
    </row>
    <row r="261" spans="2:7" hidden="1">
      <c r="B261" s="83" t="s">
        <v>526</v>
      </c>
      <c r="C261" s="83" t="s">
        <v>336</v>
      </c>
      <c r="D261" s="83" t="s">
        <v>317</v>
      </c>
      <c r="E261" s="84">
        <v>2</v>
      </c>
      <c r="F261" s="83" t="s">
        <v>696</v>
      </c>
      <c r="G261" s="78"/>
    </row>
    <row r="262" spans="2:7" hidden="1">
      <c r="B262" s="83" t="s">
        <v>527</v>
      </c>
      <c r="C262" s="83" t="s">
        <v>337</v>
      </c>
      <c r="D262" s="83" t="s">
        <v>317</v>
      </c>
      <c r="E262" s="84">
        <v>2</v>
      </c>
      <c r="F262" s="83" t="s">
        <v>696</v>
      </c>
      <c r="G262" s="78"/>
    </row>
    <row r="263" spans="2:7" hidden="1">
      <c r="B263" s="83" t="s">
        <v>528</v>
      </c>
      <c r="C263" s="83" t="s">
        <v>338</v>
      </c>
      <c r="D263" s="83" t="s">
        <v>317</v>
      </c>
      <c r="E263" s="84">
        <v>2</v>
      </c>
      <c r="F263" s="83" t="s">
        <v>696</v>
      </c>
      <c r="G263" s="78"/>
    </row>
    <row r="264" spans="2:7" hidden="1">
      <c r="B264" s="83" t="s">
        <v>529</v>
      </c>
      <c r="C264" s="83" t="s">
        <v>339</v>
      </c>
      <c r="D264" s="83" t="s">
        <v>317</v>
      </c>
      <c r="E264" s="84">
        <v>2</v>
      </c>
      <c r="F264" s="83" t="s">
        <v>696</v>
      </c>
      <c r="G264" s="78"/>
    </row>
    <row r="265" spans="2:7">
      <c r="B265" s="82" t="s">
        <v>1490</v>
      </c>
      <c r="C265" s="83" t="s">
        <v>1491</v>
      </c>
      <c r="D265" s="83" t="s">
        <v>708</v>
      </c>
      <c r="E265" s="84">
        <v>1</v>
      </c>
      <c r="F265" s="83"/>
      <c r="G265" s="78"/>
    </row>
  </sheetData>
  <autoFilter ref="B2:N264" xr:uid="{3E81CA2C-2102-45AC-92BA-FE564D531E29}">
    <filterColumn colId="2">
      <filters>
        <filter val="Get/Post"/>
      </filters>
    </filterColumn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EB275-FA34-45A8-B46C-8DC3CCB3E735}">
  <dimension ref="B1:H69"/>
  <sheetViews>
    <sheetView topLeftCell="A8" zoomScaleNormal="100" workbookViewId="0">
      <selection activeCell="H21" sqref="H21"/>
    </sheetView>
  </sheetViews>
  <sheetFormatPr defaultColWidth="11.5546875" defaultRowHeight="17.25"/>
  <cols>
    <col min="1" max="1" width="0.88671875" customWidth="1"/>
    <col min="2" max="2" width="13.109375" customWidth="1"/>
    <col min="3" max="3" width="26.44140625" customWidth="1"/>
    <col min="4" max="4" width="19.33203125" customWidth="1"/>
    <col min="5" max="5" width="16.6640625" customWidth="1"/>
    <col min="6" max="6" width="27.109375" customWidth="1"/>
    <col min="7" max="7" width="4.6640625" style="80" bestFit="1" customWidth="1"/>
    <col min="8" max="8" width="42.44140625" bestFit="1" customWidth="1"/>
  </cols>
  <sheetData>
    <row r="1" spans="2:8">
      <c r="B1" s="79"/>
      <c r="C1" s="79"/>
      <c r="D1" s="79"/>
      <c r="H1" s="80" t="s">
        <v>1112</v>
      </c>
    </row>
    <row r="2" spans="2:8" s="2" customFormat="1">
      <c r="B2" s="86" t="s">
        <v>705</v>
      </c>
      <c r="C2" s="86" t="s">
        <v>7</v>
      </c>
      <c r="D2" s="86" t="s">
        <v>1113</v>
      </c>
      <c r="E2" s="86" t="s">
        <v>1114</v>
      </c>
      <c r="F2" s="86" t="s">
        <v>1117</v>
      </c>
      <c r="G2" s="86" t="s">
        <v>311</v>
      </c>
      <c r="H2" s="86" t="s">
        <v>324</v>
      </c>
    </row>
    <row r="3" spans="2:8">
      <c r="B3" s="88" t="s">
        <v>1159</v>
      </c>
      <c r="C3" s="88" t="str">
        <f t="shared" ref="C3:C12" si="0">IF(G3="get", D3, D3&amp;"="&amp;E3)</f>
        <v>app,video_mode=set,NTSC</v>
      </c>
      <c r="D3" s="88" t="s">
        <v>1160</v>
      </c>
      <c r="E3" s="88" t="s">
        <v>1161</v>
      </c>
      <c r="F3" s="88" t="s">
        <v>1164</v>
      </c>
      <c r="G3" s="88" t="s">
        <v>1118</v>
      </c>
      <c r="H3" s="88"/>
    </row>
    <row r="4" spans="2:8">
      <c r="B4" s="88" t="s">
        <v>1162</v>
      </c>
      <c r="C4" s="88" t="str">
        <f t="shared" si="0"/>
        <v>app,video_mode=set,PAL</v>
      </c>
      <c r="D4" s="88" t="s">
        <v>1160</v>
      </c>
      <c r="E4" s="88" t="s">
        <v>1163</v>
      </c>
      <c r="F4" s="88" t="s">
        <v>1164</v>
      </c>
      <c r="G4" s="88" t="s">
        <v>1118</v>
      </c>
      <c r="H4" s="88"/>
    </row>
    <row r="5" spans="2:8" ht="27">
      <c r="B5" s="88" t="s">
        <v>1167</v>
      </c>
      <c r="C5" s="88" t="str">
        <f t="shared" si="0"/>
        <v>app,video_src=set,1920x1080_30fps</v>
      </c>
      <c r="D5" s="88" t="s">
        <v>1169</v>
      </c>
      <c r="E5" s="88" t="s">
        <v>1165</v>
      </c>
      <c r="F5" s="88" t="s">
        <v>1164</v>
      </c>
      <c r="G5" s="88" t="s">
        <v>1118</v>
      </c>
      <c r="H5" s="88"/>
    </row>
    <row r="6" spans="2:8" ht="27">
      <c r="B6" s="88" t="s">
        <v>1168</v>
      </c>
      <c r="C6" s="88" t="str">
        <f t="shared" si="0"/>
        <v>app,video_src=set,1920x1080_60fps</v>
      </c>
      <c r="D6" s="88" t="s">
        <v>1169</v>
      </c>
      <c r="E6" s="88" t="s">
        <v>1166</v>
      </c>
      <c r="F6" s="88" t="s">
        <v>1164</v>
      </c>
      <c r="G6" s="88" t="s">
        <v>1118</v>
      </c>
      <c r="H6" s="88"/>
    </row>
    <row r="7" spans="2:8">
      <c r="B7" s="88" t="s">
        <v>1172</v>
      </c>
      <c r="C7" s="88" t="str">
        <f t="shared" si="0"/>
        <v>app,video_enc1_codec=set,H265MP</v>
      </c>
      <c r="D7" s="88" t="s">
        <v>1237</v>
      </c>
      <c r="E7" s="88" t="s">
        <v>1171</v>
      </c>
      <c r="F7" s="88" t="s">
        <v>1170</v>
      </c>
      <c r="G7" s="88" t="s">
        <v>1118</v>
      </c>
      <c r="H7" s="88"/>
    </row>
    <row r="8" spans="2:8">
      <c r="B8" s="88" t="s">
        <v>1173</v>
      </c>
      <c r="C8" s="88" t="str">
        <f t="shared" ref="C8:C9" si="1">IF(G8="get", D8, D8&amp;"="&amp;E8)</f>
        <v>app,video_enc1_codec=set,H264MP</v>
      </c>
      <c r="D8" s="88" t="s">
        <v>1237</v>
      </c>
      <c r="E8" s="88" t="s">
        <v>1174</v>
      </c>
      <c r="F8" s="88" t="s">
        <v>1170</v>
      </c>
      <c r="G8" s="88" t="s">
        <v>1118</v>
      </c>
      <c r="H8" s="88"/>
    </row>
    <row r="9" spans="2:8">
      <c r="B9" s="88" t="s">
        <v>1176</v>
      </c>
      <c r="C9" s="88" t="str">
        <f t="shared" si="1"/>
        <v>app,video_enc1_codec=set,MJPEG</v>
      </c>
      <c r="D9" s="88" t="s">
        <v>1237</v>
      </c>
      <c r="E9" s="88" t="s">
        <v>1177</v>
      </c>
      <c r="F9" s="88" t="s">
        <v>1170</v>
      </c>
      <c r="G9" s="88" t="s">
        <v>1118</v>
      </c>
      <c r="H9" s="88"/>
    </row>
    <row r="10" spans="2:8">
      <c r="B10" s="88" t="s">
        <v>1182</v>
      </c>
      <c r="C10" s="88" t="str">
        <f t="shared" ref="C10:C11" si="2">IF(G10="get", D10, D10&amp;"="&amp;E10)</f>
        <v>app,video_enc1_fps=set,1</v>
      </c>
      <c r="D10" s="88" t="s">
        <v>1236</v>
      </c>
      <c r="E10" s="88" t="s">
        <v>1179</v>
      </c>
      <c r="F10" s="88" t="s">
        <v>1170</v>
      </c>
      <c r="G10" s="88" t="s">
        <v>1118</v>
      </c>
      <c r="H10" s="88"/>
    </row>
    <row r="11" spans="2:8">
      <c r="B11" s="88" t="s">
        <v>1183</v>
      </c>
      <c r="C11" s="88" t="str">
        <f t="shared" si="2"/>
        <v>app,video_enc1_fps=set,30</v>
      </c>
      <c r="D11" s="88" t="s">
        <v>1236</v>
      </c>
      <c r="E11" s="88" t="s">
        <v>1180</v>
      </c>
      <c r="F11" s="88" t="s">
        <v>1170</v>
      </c>
      <c r="G11" s="88" t="s">
        <v>1118</v>
      </c>
      <c r="H11" s="88"/>
    </row>
    <row r="12" spans="2:8">
      <c r="B12" s="88" t="s">
        <v>1184</v>
      </c>
      <c r="C12" s="88" t="str">
        <f t="shared" si="0"/>
        <v>app,video_enc1_fps=set,60</v>
      </c>
      <c r="D12" s="88" t="s">
        <v>1236</v>
      </c>
      <c r="E12" s="88" t="s">
        <v>1181</v>
      </c>
      <c r="F12" s="88" t="s">
        <v>1170</v>
      </c>
      <c r="G12" s="88" t="s">
        <v>1118</v>
      </c>
      <c r="H12" s="88"/>
    </row>
    <row r="13" spans="2:8">
      <c r="B13" s="88" t="s">
        <v>19</v>
      </c>
      <c r="C13" s="88" t="str">
        <f>IF(G13="get", D13, D13&amp;"="&amp;E13)</f>
        <v>group,app,flip=basic,set,enable</v>
      </c>
      <c r="D13" s="88" t="s">
        <v>1151</v>
      </c>
      <c r="E13" s="88" t="s">
        <v>1152</v>
      </c>
      <c r="F13" s="88" t="s">
        <v>1158</v>
      </c>
      <c r="G13" s="88" t="s">
        <v>1118</v>
      </c>
      <c r="H13" s="88"/>
    </row>
    <row r="14" spans="2:8">
      <c r="B14" s="88" t="s">
        <v>20</v>
      </c>
      <c r="C14" s="88" t="str">
        <f t="shared" ref="C14:C16" si="3">IF(G14="get", D14, D14&amp;"="&amp;E14)</f>
        <v>group,app,flip=basic,set,1</v>
      </c>
      <c r="D14" s="88" t="s">
        <v>1151</v>
      </c>
      <c r="E14" s="88" t="s">
        <v>1153</v>
      </c>
      <c r="F14" s="88" t="s">
        <v>1158</v>
      </c>
      <c r="G14" s="88" t="s">
        <v>1118</v>
      </c>
      <c r="H14" s="88"/>
    </row>
    <row r="15" spans="2:8">
      <c r="B15" s="88" t="s">
        <v>21</v>
      </c>
      <c r="C15" s="88" t="str">
        <f t="shared" si="3"/>
        <v>group,app,mirror=basic,set,enable</v>
      </c>
      <c r="D15" s="88" t="s">
        <v>1156</v>
      </c>
      <c r="E15" s="88" t="s">
        <v>1152</v>
      </c>
      <c r="F15" s="88" t="s">
        <v>1158</v>
      </c>
      <c r="G15" s="88" t="s">
        <v>1118</v>
      </c>
      <c r="H15" s="88"/>
    </row>
    <row r="16" spans="2:8">
      <c r="B16" s="88" t="s">
        <v>22</v>
      </c>
      <c r="C16" s="88" t="str">
        <f t="shared" si="3"/>
        <v>group,app,mirror=basic,set,1</v>
      </c>
      <c r="D16" s="88" t="s">
        <v>1156</v>
      </c>
      <c r="E16" s="88" t="s">
        <v>1153</v>
      </c>
      <c r="F16" s="88" t="s">
        <v>1158</v>
      </c>
      <c r="G16" s="88" t="s">
        <v>1118</v>
      </c>
      <c r="H16" s="88"/>
    </row>
    <row r="17" spans="2:8">
      <c r="B17" s="88" t="s">
        <v>1149</v>
      </c>
      <c r="C17" s="88" t="str">
        <f t="shared" ref="C17" si="4">IF(G17="get", D17, D17&amp;"="&amp;E17)</f>
        <v>group,app,focus_mode=af,set,auto</v>
      </c>
      <c r="D17" s="88" t="s">
        <v>1187</v>
      </c>
      <c r="E17" s="88" t="s">
        <v>1154</v>
      </c>
      <c r="F17" s="88" t="s">
        <v>1158</v>
      </c>
      <c r="G17" s="88" t="s">
        <v>1118</v>
      </c>
      <c r="H17" s="88"/>
    </row>
    <row r="18" spans="2:8">
      <c r="B18" s="88" t="s">
        <v>1150</v>
      </c>
      <c r="C18" s="88" t="str">
        <f t="shared" ref="C18:C38" si="5">IF(G18="get", D18, D18&amp;"="&amp;E18)</f>
        <v>group,app,focus_mode=af,set,manual</v>
      </c>
      <c r="D18" s="88" t="s">
        <v>1187</v>
      </c>
      <c r="E18" s="88" t="s">
        <v>1155</v>
      </c>
      <c r="F18" s="88" t="s">
        <v>1158</v>
      </c>
      <c r="G18" s="88" t="s">
        <v>1118</v>
      </c>
      <c r="H18" s="88"/>
    </row>
    <row r="19" spans="2:8">
      <c r="B19" s="88" t="s">
        <v>1185</v>
      </c>
      <c r="C19" s="88" t="str">
        <f t="shared" ref="C19:C34" si="6">IF(G19="get", D19, D19&amp;"="&amp;E19)</f>
        <v>focus=pushaf</v>
      </c>
      <c r="D19" s="88" t="s">
        <v>1116</v>
      </c>
      <c r="E19" s="88" t="s">
        <v>1239</v>
      </c>
      <c r="F19" s="93" t="s">
        <v>1238</v>
      </c>
      <c r="G19" s="88" t="s">
        <v>1118</v>
      </c>
      <c r="H19" s="88"/>
    </row>
    <row r="20" spans="2:8">
      <c r="B20" s="88" t="s">
        <v>1191</v>
      </c>
      <c r="C20" s="88" t="str">
        <f t="shared" si="6"/>
        <v>group,app,focus_speed=af,set,1</v>
      </c>
      <c r="D20" s="88" t="s">
        <v>1188</v>
      </c>
      <c r="E20" s="88" t="s">
        <v>1189</v>
      </c>
      <c r="F20" s="88" t="s">
        <v>1158</v>
      </c>
      <c r="G20" s="88" t="s">
        <v>1118</v>
      </c>
      <c r="H20" s="88"/>
    </row>
    <row r="21" spans="2:8">
      <c r="B21" s="88" t="s">
        <v>1192</v>
      </c>
      <c r="C21" s="88" t="str">
        <f t="shared" si="6"/>
        <v>group,app,focus_speed=af,set,8</v>
      </c>
      <c r="D21" s="88" t="s">
        <v>1188</v>
      </c>
      <c r="E21" s="88" t="s">
        <v>1190</v>
      </c>
      <c r="F21" s="88" t="s">
        <v>1158</v>
      </c>
      <c r="G21" s="88" t="s">
        <v>1118</v>
      </c>
      <c r="H21" s="88"/>
    </row>
    <row r="22" spans="2:8">
      <c r="B22" s="88" t="s">
        <v>1458</v>
      </c>
      <c r="C22" s="88" t="str">
        <f t="shared" ref="C22" si="7">IF(G22="get", D22, D22&amp;"="&amp;E22)</f>
        <v>preset=00</v>
      </c>
      <c r="D22" s="88" t="s">
        <v>1141</v>
      </c>
      <c r="E22" s="90" t="s">
        <v>16</v>
      </c>
      <c r="F22" s="88" t="s">
        <v>1157</v>
      </c>
      <c r="G22" s="88" t="s">
        <v>1118</v>
      </c>
      <c r="H22" s="88" t="s">
        <v>1483</v>
      </c>
    </row>
    <row r="23" spans="2:8">
      <c r="B23" s="88" t="s">
        <v>1267</v>
      </c>
      <c r="C23" s="88" t="str">
        <f t="shared" si="6"/>
        <v>preset=71</v>
      </c>
      <c r="D23" s="88" t="s">
        <v>1141</v>
      </c>
      <c r="E23" s="88">
        <v>71</v>
      </c>
      <c r="F23" s="88" t="s">
        <v>1157</v>
      </c>
      <c r="G23" s="88" t="s">
        <v>1118</v>
      </c>
      <c r="H23" s="88" t="s">
        <v>1475</v>
      </c>
    </row>
    <row r="24" spans="2:8">
      <c r="B24" s="88" t="s">
        <v>1476</v>
      </c>
      <c r="C24" s="88" t="str">
        <f t="shared" si="6"/>
        <v>preset=75</v>
      </c>
      <c r="D24" s="88" t="s">
        <v>1141</v>
      </c>
      <c r="E24" s="88">
        <v>75</v>
      </c>
      <c r="F24" s="88" t="s">
        <v>1157</v>
      </c>
      <c r="G24" s="88" t="s">
        <v>1118</v>
      </c>
      <c r="H24" s="88"/>
    </row>
    <row r="25" spans="2:8">
      <c r="B25" s="88" t="s">
        <v>1268</v>
      </c>
      <c r="C25" s="88" t="str">
        <f t="shared" ref="C25:C26" si="8">IF(G25="get", D25, D25&amp;"="&amp;E25)</f>
        <v>preset=76</v>
      </c>
      <c r="D25" s="88" t="s">
        <v>1141</v>
      </c>
      <c r="E25" s="88">
        <v>76</v>
      </c>
      <c r="F25" s="88" t="s">
        <v>1157</v>
      </c>
      <c r="G25" s="88" t="s">
        <v>1118</v>
      </c>
      <c r="H25" s="88"/>
    </row>
    <row r="26" spans="2:8">
      <c r="B26" s="88" t="s">
        <v>1269</v>
      </c>
      <c r="C26" s="88" t="str">
        <f t="shared" si="8"/>
        <v>preset=77</v>
      </c>
      <c r="D26" s="88" t="s">
        <v>1141</v>
      </c>
      <c r="E26" s="88">
        <v>77</v>
      </c>
      <c r="F26" s="88" t="s">
        <v>1157</v>
      </c>
      <c r="G26" s="88" t="s">
        <v>1118</v>
      </c>
      <c r="H26" s="88"/>
    </row>
    <row r="27" spans="2:8">
      <c r="B27" s="88" t="s">
        <v>1481</v>
      </c>
      <c r="C27" s="88" t="str">
        <f t="shared" ref="C27" si="9">IF(G27="get", D27, D27&amp;"="&amp;E27)</f>
        <v>preset=81</v>
      </c>
      <c r="D27" s="88" t="s">
        <v>1141</v>
      </c>
      <c r="E27" s="88">
        <v>81</v>
      </c>
      <c r="F27" s="88" t="s">
        <v>1157</v>
      </c>
      <c r="G27" s="88" t="s">
        <v>1118</v>
      </c>
      <c r="H27" s="88" t="s">
        <v>1477</v>
      </c>
    </row>
    <row r="28" spans="2:8">
      <c r="B28" s="88" t="s">
        <v>1480</v>
      </c>
      <c r="C28" s="88" t="str">
        <f t="shared" ref="C28" si="10">IF(G28="get", D28, D28&amp;"="&amp;E28)</f>
        <v>preset=83</v>
      </c>
      <c r="D28" s="88" t="s">
        <v>1141</v>
      </c>
      <c r="E28" s="88">
        <v>83</v>
      </c>
      <c r="F28" s="88" t="s">
        <v>1157</v>
      </c>
      <c r="G28" s="88" t="s">
        <v>1118</v>
      </c>
      <c r="H28" s="88" t="s">
        <v>1478</v>
      </c>
    </row>
    <row r="29" spans="2:8">
      <c r="B29" s="88" t="s">
        <v>1482</v>
      </c>
      <c r="C29" s="88" t="str">
        <f t="shared" ref="C29:C32" si="11">IF(G29="get", D29, D29&amp;"="&amp;E29)</f>
        <v>preset=84</v>
      </c>
      <c r="D29" s="88" t="s">
        <v>1141</v>
      </c>
      <c r="E29" s="88">
        <v>84</v>
      </c>
      <c r="F29" s="88" t="s">
        <v>1157</v>
      </c>
      <c r="G29" s="88" t="s">
        <v>1118</v>
      </c>
      <c r="H29" s="88" t="s">
        <v>1479</v>
      </c>
    </row>
    <row r="30" spans="2:8">
      <c r="B30" s="88" t="s">
        <v>1270</v>
      </c>
      <c r="C30" s="88" t="str">
        <f>IF(G30="get", D30, D30&amp;"="&amp;E30)</f>
        <v>preset=87</v>
      </c>
      <c r="D30" s="88" t="s">
        <v>1141</v>
      </c>
      <c r="E30" s="88">
        <v>87</v>
      </c>
      <c r="F30" s="88" t="s">
        <v>1157</v>
      </c>
      <c r="G30" s="88" t="s">
        <v>1118</v>
      </c>
      <c r="H30" s="88"/>
    </row>
    <row r="31" spans="2:8">
      <c r="B31" s="88" t="s">
        <v>1271</v>
      </c>
      <c r="C31" s="88" t="str">
        <f t="shared" ref="C31" si="12">IF(G31="get", D31, D31&amp;"="&amp;E31)</f>
        <v>preset=88</v>
      </c>
      <c r="D31" s="88" t="s">
        <v>1141</v>
      </c>
      <c r="E31" s="88">
        <v>88</v>
      </c>
      <c r="F31" s="88" t="s">
        <v>1157</v>
      </c>
      <c r="G31" s="88" t="s">
        <v>1118</v>
      </c>
      <c r="H31" s="88"/>
    </row>
    <row r="32" spans="2:8">
      <c r="B32" s="88" t="s">
        <v>1473</v>
      </c>
      <c r="C32" s="88" t="str">
        <f t="shared" si="11"/>
        <v>preset=91</v>
      </c>
      <c r="D32" s="88" t="s">
        <v>1141</v>
      </c>
      <c r="E32" s="88">
        <v>91</v>
      </c>
      <c r="F32" s="88" t="s">
        <v>1157</v>
      </c>
      <c r="G32" s="88" t="s">
        <v>1118</v>
      </c>
      <c r="H32" s="88"/>
    </row>
    <row r="33" spans="2:8">
      <c r="B33" s="88" t="s">
        <v>1474</v>
      </c>
      <c r="C33" s="88" t="str">
        <f t="shared" ref="C33" si="13">IF(G33="get", D33, D33&amp;"="&amp;E33)</f>
        <v>preset=90</v>
      </c>
      <c r="D33" s="88" t="s">
        <v>1141</v>
      </c>
      <c r="E33" s="88">
        <v>90</v>
      </c>
      <c r="F33" s="88" t="s">
        <v>1157</v>
      </c>
      <c r="G33" s="88" t="s">
        <v>1118</v>
      </c>
      <c r="H33" s="88"/>
    </row>
    <row r="34" spans="2:8">
      <c r="B34" s="88" t="s">
        <v>1196</v>
      </c>
      <c r="C34" s="88" t="str">
        <f t="shared" si="6"/>
        <v>group,app,dnn_mode=dnn,set,day</v>
      </c>
      <c r="D34" s="88" t="s">
        <v>1193</v>
      </c>
      <c r="E34" s="88" t="s">
        <v>1199</v>
      </c>
      <c r="F34" s="88" t="s">
        <v>1158</v>
      </c>
      <c r="G34" s="88" t="s">
        <v>1118</v>
      </c>
      <c r="H34" s="88"/>
    </row>
    <row r="35" spans="2:8">
      <c r="B35" s="88" t="s">
        <v>1197</v>
      </c>
      <c r="C35" s="88" t="str">
        <f t="shared" si="5"/>
        <v>group,app,dnn_mode=dnn,set,night</v>
      </c>
      <c r="D35" s="88" t="s">
        <v>1193</v>
      </c>
      <c r="E35" s="88" t="s">
        <v>1200</v>
      </c>
      <c r="F35" s="88" t="s">
        <v>1158</v>
      </c>
      <c r="G35" s="88" t="s">
        <v>1118</v>
      </c>
      <c r="H35" s="88"/>
    </row>
    <row r="36" spans="2:8">
      <c r="B36" s="88" t="s">
        <v>1198</v>
      </c>
      <c r="C36" s="88" t="str">
        <f t="shared" si="5"/>
        <v>group,app,dnn_mode=dnn,set,ext</v>
      </c>
      <c r="D36" s="88" t="s">
        <v>1193</v>
      </c>
      <c r="E36" s="88" t="s">
        <v>1201</v>
      </c>
      <c r="F36" s="88" t="s">
        <v>1158</v>
      </c>
      <c r="G36" s="88" t="s">
        <v>1118</v>
      </c>
      <c r="H36" s="88"/>
    </row>
    <row r="37" spans="2:8">
      <c r="B37" s="88" t="s">
        <v>1202</v>
      </c>
      <c r="C37" s="88" t="str">
        <f t="shared" si="5"/>
        <v>group,app,wdr_mode=wdr,set,on</v>
      </c>
      <c r="D37" s="88" t="s">
        <v>1206</v>
      </c>
      <c r="E37" s="88" t="s">
        <v>1207</v>
      </c>
      <c r="F37" s="88" t="s">
        <v>1158</v>
      </c>
      <c r="G37" s="88" t="s">
        <v>1118</v>
      </c>
      <c r="H37" s="88"/>
    </row>
    <row r="38" spans="2:8">
      <c r="B38" s="88" t="s">
        <v>1203</v>
      </c>
      <c r="C38" s="88" t="str">
        <f t="shared" si="5"/>
        <v>group,app,wdr_mode=wdr,set,off</v>
      </c>
      <c r="D38" s="88" t="s">
        <v>1206</v>
      </c>
      <c r="E38" s="88" t="s">
        <v>1208</v>
      </c>
      <c r="F38" s="88" t="s">
        <v>1158</v>
      </c>
      <c r="G38" s="88" t="s">
        <v>1118</v>
      </c>
      <c r="H38" s="88"/>
    </row>
    <row r="39" spans="2:8">
      <c r="B39" s="88" t="s">
        <v>1204</v>
      </c>
      <c r="C39" s="88" t="str">
        <f t="shared" ref="C39:C48" si="14">IF(G39="get", D39, D39&amp;"="&amp;E39)</f>
        <v>group,app,defog_mode=wdr,set,on</v>
      </c>
      <c r="D39" s="88" t="s">
        <v>1209</v>
      </c>
      <c r="E39" s="88" t="s">
        <v>1207</v>
      </c>
      <c r="F39" s="88" t="s">
        <v>1158</v>
      </c>
      <c r="G39" s="88" t="s">
        <v>1118</v>
      </c>
      <c r="H39" s="88"/>
    </row>
    <row r="40" spans="2:8">
      <c r="B40" s="88" t="s">
        <v>1205</v>
      </c>
      <c r="C40" s="88" t="str">
        <f t="shared" si="14"/>
        <v>group,app,defog_mode=wdr,set,off</v>
      </c>
      <c r="D40" s="88" t="s">
        <v>1209</v>
      </c>
      <c r="E40" s="88" t="s">
        <v>1208</v>
      </c>
      <c r="F40" s="88" t="s">
        <v>1158</v>
      </c>
      <c r="G40" s="88" t="s">
        <v>1118</v>
      </c>
      <c r="H40" s="88"/>
    </row>
    <row r="41" spans="2:8">
      <c r="B41" s="88" t="s">
        <v>1213</v>
      </c>
      <c r="C41" s="88" t="str">
        <f t="shared" si="14"/>
        <v>group,app,blc_mode=blc,set,on</v>
      </c>
      <c r="D41" s="88" t="s">
        <v>1212</v>
      </c>
      <c r="E41" s="88" t="s">
        <v>1211</v>
      </c>
      <c r="F41" s="88" t="s">
        <v>1158</v>
      </c>
      <c r="G41" s="88" t="s">
        <v>1118</v>
      </c>
      <c r="H41" s="88"/>
    </row>
    <row r="42" spans="2:8">
      <c r="B42" s="88" t="s">
        <v>1214</v>
      </c>
      <c r="C42" s="88" t="str">
        <f t="shared" si="14"/>
        <v>group,app,blc_mode=blc,set,off</v>
      </c>
      <c r="D42" s="88" t="s">
        <v>1212</v>
      </c>
      <c r="E42" s="88" t="s">
        <v>1210</v>
      </c>
      <c r="F42" s="88" t="s">
        <v>1158</v>
      </c>
      <c r="G42" s="88" t="s">
        <v>1118</v>
      </c>
      <c r="H42" s="88"/>
    </row>
    <row r="43" spans="2:8">
      <c r="B43" s="88" t="s">
        <v>1215</v>
      </c>
      <c r="C43" s="88" t="str">
        <f t="shared" si="14"/>
        <v>group,app,hlc_mode=blc,set,on</v>
      </c>
      <c r="D43" s="88" t="s">
        <v>1217</v>
      </c>
      <c r="E43" s="88" t="s">
        <v>1211</v>
      </c>
      <c r="F43" s="88" t="s">
        <v>1158</v>
      </c>
      <c r="G43" s="88" t="s">
        <v>1118</v>
      </c>
      <c r="H43" s="88"/>
    </row>
    <row r="44" spans="2:8">
      <c r="B44" s="88" t="s">
        <v>1216</v>
      </c>
      <c r="C44" s="88" t="str">
        <f t="shared" si="14"/>
        <v>group,app,hlc_mode=blc,set,off</v>
      </c>
      <c r="D44" s="88" t="s">
        <v>1217</v>
      </c>
      <c r="E44" s="88" t="s">
        <v>1210</v>
      </c>
      <c r="F44" s="88" t="s">
        <v>1158</v>
      </c>
      <c r="G44" s="88" t="s">
        <v>1118</v>
      </c>
      <c r="H44" s="88"/>
    </row>
    <row r="45" spans="2:8">
      <c r="B45" s="88" t="s">
        <v>1221</v>
      </c>
      <c r="C45" s="88" t="str">
        <f t="shared" si="14"/>
        <v>app,dz_enable=set,0</v>
      </c>
      <c r="D45" s="88" t="s">
        <v>1220</v>
      </c>
      <c r="E45" s="88" t="s">
        <v>1219</v>
      </c>
      <c r="F45" s="88" t="s">
        <v>1218</v>
      </c>
      <c r="G45" s="88" t="s">
        <v>1118</v>
      </c>
      <c r="H45" s="88"/>
    </row>
    <row r="46" spans="2:8">
      <c r="B46" s="88" t="s">
        <v>1222</v>
      </c>
      <c r="C46" s="88" t="str">
        <f t="shared" si="14"/>
        <v>app,dz_enable=set,1</v>
      </c>
      <c r="D46" s="88" t="s">
        <v>1220</v>
      </c>
      <c r="E46" s="88" t="s">
        <v>1179</v>
      </c>
      <c r="F46" s="88" t="s">
        <v>1218</v>
      </c>
      <c r="G46" s="88" t="s">
        <v>1118</v>
      </c>
      <c r="H46" s="88"/>
    </row>
    <row r="47" spans="2:8">
      <c r="B47" s="88" t="s">
        <v>963</v>
      </c>
      <c r="C47" s="88" t="str">
        <f t="shared" si="14"/>
        <v>app,dz_level=set,100</v>
      </c>
      <c r="D47" s="88" t="s">
        <v>1227</v>
      </c>
      <c r="E47" s="88" t="s">
        <v>1223</v>
      </c>
      <c r="F47" s="88" t="s">
        <v>1218</v>
      </c>
      <c r="G47" s="88" t="s">
        <v>1118</v>
      </c>
      <c r="H47" s="88"/>
    </row>
    <row r="48" spans="2:8">
      <c r="B48" s="88" t="s">
        <v>965</v>
      </c>
      <c r="C48" s="88" t="str">
        <f t="shared" si="14"/>
        <v>app,dz_level=set,200</v>
      </c>
      <c r="D48" s="88" t="s">
        <v>1227</v>
      </c>
      <c r="E48" s="88" t="s">
        <v>1224</v>
      </c>
      <c r="F48" s="88" t="s">
        <v>1218</v>
      </c>
      <c r="G48" s="88" t="s">
        <v>1118</v>
      </c>
      <c r="H48" s="88"/>
    </row>
    <row r="49" spans="2:8">
      <c r="B49" s="88" t="s">
        <v>966</v>
      </c>
      <c r="C49" s="88" t="str">
        <f t="shared" ref="C49:C52" si="15">IF(G49="get", D49, D49&amp;"="&amp;E49)</f>
        <v>app,dz_level=set,400</v>
      </c>
      <c r="D49" s="88" t="s">
        <v>1227</v>
      </c>
      <c r="E49" s="88" t="s">
        <v>1225</v>
      </c>
      <c r="F49" s="88" t="s">
        <v>1218</v>
      </c>
      <c r="G49" s="88" t="s">
        <v>1118</v>
      </c>
      <c r="H49" s="88"/>
    </row>
    <row r="50" spans="2:8">
      <c r="B50" s="88" t="s">
        <v>1100</v>
      </c>
      <c r="C50" s="88" t="str">
        <f t="shared" si="15"/>
        <v>app,dz_level=set,800</v>
      </c>
      <c r="D50" s="88" t="s">
        <v>1227</v>
      </c>
      <c r="E50" s="88" t="s">
        <v>1226</v>
      </c>
      <c r="F50" s="88" t="s">
        <v>1218</v>
      </c>
      <c r="G50" s="88" t="s">
        <v>1118</v>
      </c>
      <c r="H50" s="88"/>
    </row>
    <row r="51" spans="2:8">
      <c r="B51" s="88" t="s">
        <v>1228</v>
      </c>
      <c r="C51" s="88" t="str">
        <f t="shared" si="15"/>
        <v>app,restart=set,1</v>
      </c>
      <c r="D51" s="88" t="s">
        <v>1240</v>
      </c>
      <c r="E51" s="88" t="s">
        <v>1179</v>
      </c>
      <c r="F51" s="88" t="s">
        <v>1229</v>
      </c>
      <c r="G51" s="88" t="s">
        <v>1118</v>
      </c>
      <c r="H51" s="88"/>
    </row>
    <row r="52" spans="2:8">
      <c r="B52" s="88" t="s">
        <v>1231</v>
      </c>
      <c r="C52" s="88" t="str">
        <f t="shared" si="15"/>
        <v>app,reset=set,1</v>
      </c>
      <c r="D52" s="88" t="s">
        <v>1241</v>
      </c>
      <c r="E52" s="88" t="s">
        <v>1179</v>
      </c>
      <c r="F52" s="88" t="s">
        <v>1234</v>
      </c>
      <c r="G52" s="88" t="s">
        <v>1118</v>
      </c>
      <c r="H52" s="88" t="s">
        <v>1232</v>
      </c>
    </row>
    <row r="53" spans="2:8">
      <c r="B53" s="88" t="s">
        <v>577</v>
      </c>
      <c r="C53" s="88" t="str">
        <f t="shared" ref="C53:C69" si="16">IF(G53="get", D53, D53&amp;"="&amp;E53)</f>
        <v>app,default=set,1</v>
      </c>
      <c r="D53" s="88" t="s">
        <v>1242</v>
      </c>
      <c r="E53" s="88" t="s">
        <v>1179</v>
      </c>
      <c r="F53" s="88" t="s">
        <v>1235</v>
      </c>
      <c r="G53" s="88" t="s">
        <v>1118</v>
      </c>
      <c r="H53" s="88" t="s">
        <v>1233</v>
      </c>
    </row>
    <row r="54" spans="2:8">
      <c r="B54" s="88" t="s">
        <v>1121</v>
      </c>
      <c r="C54" s="88" t="str">
        <f t="shared" ref="C54:C62" si="17">IF(G54="get", D54, D54&amp;"="&amp;E54)</f>
        <v>pspd=1</v>
      </c>
      <c r="D54" s="88" t="s">
        <v>1120</v>
      </c>
      <c r="E54" s="88">
        <v>1</v>
      </c>
      <c r="F54" s="88" t="s">
        <v>1157</v>
      </c>
      <c r="G54" s="88" t="s">
        <v>1118</v>
      </c>
      <c r="H54" s="88" t="s">
        <v>1127</v>
      </c>
    </row>
    <row r="55" spans="2:8">
      <c r="B55" s="88" t="s">
        <v>1122</v>
      </c>
      <c r="C55" s="88" t="str">
        <f t="shared" si="17"/>
        <v>pspd=63</v>
      </c>
      <c r="D55" s="88" t="s">
        <v>1120</v>
      </c>
      <c r="E55" s="88">
        <v>63</v>
      </c>
      <c r="F55" s="88" t="s">
        <v>1157</v>
      </c>
      <c r="G55" s="88" t="s">
        <v>1118</v>
      </c>
      <c r="H55" s="88"/>
    </row>
    <row r="56" spans="2:8">
      <c r="B56" s="88" t="s">
        <v>1124</v>
      </c>
      <c r="C56" s="88" t="str">
        <f t="shared" si="17"/>
        <v>tspd=1</v>
      </c>
      <c r="D56" s="88" t="s">
        <v>1123</v>
      </c>
      <c r="E56" s="88">
        <v>1</v>
      </c>
      <c r="F56" s="88" t="s">
        <v>1157</v>
      </c>
      <c r="G56" s="88" t="s">
        <v>1118</v>
      </c>
      <c r="H56" s="88" t="s">
        <v>1127</v>
      </c>
    </row>
    <row r="57" spans="2:8">
      <c r="B57" s="88" t="s">
        <v>1125</v>
      </c>
      <c r="C57" s="88" t="str">
        <f t="shared" si="17"/>
        <v>tspd=63</v>
      </c>
      <c r="D57" s="88" t="s">
        <v>1123</v>
      </c>
      <c r="E57" s="88">
        <v>63</v>
      </c>
      <c r="F57" s="88" t="s">
        <v>1157</v>
      </c>
      <c r="G57" s="88" t="s">
        <v>1118</v>
      </c>
      <c r="H57" s="88"/>
    </row>
    <row r="58" spans="2:8">
      <c r="B58" s="88" t="s">
        <v>1129</v>
      </c>
      <c r="C58" s="88" t="str">
        <f t="shared" si="17"/>
        <v>zspd=1</v>
      </c>
      <c r="D58" s="88" t="s">
        <v>1126</v>
      </c>
      <c r="E58" s="88">
        <v>1</v>
      </c>
      <c r="F58" s="88" t="s">
        <v>1157</v>
      </c>
      <c r="G58" s="88" t="s">
        <v>1118</v>
      </c>
      <c r="H58" s="88" t="s">
        <v>1128</v>
      </c>
    </row>
    <row r="59" spans="2:8">
      <c r="B59" s="88" t="s">
        <v>1130</v>
      </c>
      <c r="C59" s="88" t="str">
        <f t="shared" si="17"/>
        <v>zspd=8</v>
      </c>
      <c r="D59" s="88" t="s">
        <v>1126</v>
      </c>
      <c r="E59" s="88">
        <v>8</v>
      </c>
      <c r="F59" s="88" t="s">
        <v>1157</v>
      </c>
      <c r="G59" s="88" t="s">
        <v>1118</v>
      </c>
      <c r="H59" s="88"/>
    </row>
    <row r="60" spans="2:8">
      <c r="B60" s="88" t="s">
        <v>1132</v>
      </c>
      <c r="C60" s="88" t="str">
        <f t="shared" si="17"/>
        <v>zoom=1</v>
      </c>
      <c r="D60" s="88" t="s">
        <v>1131</v>
      </c>
      <c r="E60" s="88">
        <v>1</v>
      </c>
      <c r="F60" s="88" t="s">
        <v>1157</v>
      </c>
      <c r="G60" s="88" t="s">
        <v>1118</v>
      </c>
      <c r="H60" s="88"/>
    </row>
    <row r="61" spans="2:8">
      <c r="B61" s="88" t="s">
        <v>1133</v>
      </c>
      <c r="C61" s="88" t="str">
        <f t="shared" si="17"/>
        <v>zoom=1</v>
      </c>
      <c r="D61" s="88" t="s">
        <v>1131</v>
      </c>
      <c r="E61" s="88">
        <v>1</v>
      </c>
      <c r="F61" s="88" t="s">
        <v>1157</v>
      </c>
      <c r="G61" s="88" t="s">
        <v>1118</v>
      </c>
      <c r="H61" s="88"/>
    </row>
    <row r="62" spans="2:8">
      <c r="B62" s="88" t="s">
        <v>993</v>
      </c>
      <c r="C62" s="88" t="str">
        <f t="shared" si="17"/>
        <v>zoom=stop</v>
      </c>
      <c r="D62" s="88" t="s">
        <v>1131</v>
      </c>
      <c r="E62" s="88" t="s">
        <v>1119</v>
      </c>
      <c r="F62" s="88" t="s">
        <v>1157</v>
      </c>
      <c r="G62" s="88" t="s">
        <v>1118</v>
      </c>
      <c r="H62" s="88"/>
    </row>
    <row r="63" spans="2:8">
      <c r="B63" s="88" t="s">
        <v>1136</v>
      </c>
      <c r="C63" s="88" t="str">
        <f t="shared" ref="C63:C68" si="18">IF(G63="get", D63, D63&amp;"="&amp;E63)</f>
        <v>focus=near</v>
      </c>
      <c r="D63" s="88" t="s">
        <v>1116</v>
      </c>
      <c r="E63" s="88" t="s">
        <v>1134</v>
      </c>
      <c r="F63" s="88" t="s">
        <v>1157</v>
      </c>
      <c r="G63" s="88" t="s">
        <v>1118</v>
      </c>
      <c r="H63" s="88"/>
    </row>
    <row r="64" spans="2:8">
      <c r="B64" s="88" t="s">
        <v>1137</v>
      </c>
      <c r="C64" s="88" t="str">
        <f t="shared" si="18"/>
        <v>focus=far</v>
      </c>
      <c r="D64" s="88" t="s">
        <v>1116</v>
      </c>
      <c r="E64" s="88" t="s">
        <v>1135</v>
      </c>
      <c r="F64" s="88" t="s">
        <v>1157</v>
      </c>
      <c r="G64" s="88" t="s">
        <v>1118</v>
      </c>
      <c r="H64" s="88"/>
    </row>
    <row r="65" spans="2:8">
      <c r="B65" s="88" t="s">
        <v>1138</v>
      </c>
      <c r="C65" s="88" t="str">
        <f t="shared" si="18"/>
        <v>focus=1</v>
      </c>
      <c r="D65" s="88" t="s">
        <v>1116</v>
      </c>
      <c r="E65" s="88">
        <v>1</v>
      </c>
      <c r="F65" s="88" t="s">
        <v>1238</v>
      </c>
      <c r="G65" s="88" t="s">
        <v>1118</v>
      </c>
      <c r="H65" s="88"/>
    </row>
    <row r="66" spans="2:8">
      <c r="B66" s="88" t="s">
        <v>1139</v>
      </c>
      <c r="C66" s="88" t="str">
        <f t="shared" si="18"/>
        <v>focus=1</v>
      </c>
      <c r="D66" s="88" t="s">
        <v>1116</v>
      </c>
      <c r="E66" s="88">
        <v>1</v>
      </c>
      <c r="F66" s="88" t="s">
        <v>1157</v>
      </c>
      <c r="G66" s="88" t="s">
        <v>1118</v>
      </c>
      <c r="H66" s="88"/>
    </row>
    <row r="67" spans="2:8">
      <c r="B67" s="88" t="s">
        <v>998</v>
      </c>
      <c r="C67" s="88" t="str">
        <f t="shared" si="18"/>
        <v>focus=stop</v>
      </c>
      <c r="D67" s="88" t="s">
        <v>1116</v>
      </c>
      <c r="E67" s="88" t="s">
        <v>1119</v>
      </c>
      <c r="F67" s="88" t="s">
        <v>1157</v>
      </c>
      <c r="G67" s="88" t="s">
        <v>1118</v>
      </c>
      <c r="H67" s="88"/>
    </row>
    <row r="68" spans="2:8">
      <c r="B68" s="88" t="s">
        <v>1140</v>
      </c>
      <c r="C68" s="88" t="str">
        <f t="shared" si="18"/>
        <v>move=stop</v>
      </c>
      <c r="D68" s="88" t="s">
        <v>1115</v>
      </c>
      <c r="E68" s="88" t="s">
        <v>1119</v>
      </c>
      <c r="F68" s="88" t="s">
        <v>1157</v>
      </c>
      <c r="G68" s="88" t="s">
        <v>1118</v>
      </c>
      <c r="H68" s="88"/>
    </row>
    <row r="69" spans="2:8">
      <c r="B69" s="88"/>
      <c r="C69" s="88" t="str">
        <f t="shared" si="16"/>
        <v>=FALSE</v>
      </c>
      <c r="D69" s="88"/>
      <c r="E69" s="88" t="b">
        <f t="shared" ref="E69" si="19">IF(G69="get", "")</f>
        <v>0</v>
      </c>
      <c r="F69" s="88"/>
      <c r="G69" s="88" t="s">
        <v>1118</v>
      </c>
      <c r="H69" s="88"/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8F8D-4E48-4855-8430-CC9FC0E96FA3}">
  <dimension ref="B1:W323"/>
  <sheetViews>
    <sheetView tabSelected="1" zoomScaleNormal="100" workbookViewId="0">
      <pane xSplit="3" ySplit="2" topLeftCell="D30" activePane="bottomRight" state="frozen"/>
      <selection pane="topRight" activeCell="I1" sqref="I1"/>
      <selection pane="bottomLeft" activeCell="A3" sqref="A3"/>
      <selection pane="bottomRight" activeCell="E43" sqref="E43"/>
    </sheetView>
  </sheetViews>
  <sheetFormatPr defaultColWidth="11.5546875" defaultRowHeight="16.5" customHeight="1"/>
  <cols>
    <col min="1" max="1" width="2.6640625" customWidth="1"/>
    <col min="2" max="2" width="14.5546875" customWidth="1"/>
    <col min="3" max="3" width="18.33203125" customWidth="1"/>
    <col min="4" max="4" width="11.5546875" customWidth="1"/>
    <col min="8" max="8" width="11.5546875" style="6"/>
    <col min="10" max="10" width="3.109375" style="9" bestFit="1" customWidth="1"/>
    <col min="11" max="11" width="3.109375" style="9" customWidth="1"/>
    <col min="12" max="12" width="3.6640625" style="10" bestFit="1" customWidth="1"/>
    <col min="13" max="14" width="3.109375" style="9" bestFit="1" customWidth="1"/>
    <col min="15" max="15" width="7.33203125" style="9" customWidth="1"/>
    <col min="16" max="16" width="8.44140625" style="9" customWidth="1"/>
    <col min="17" max="18" width="7" style="9" bestFit="1" customWidth="1"/>
    <col min="19" max="20" width="7" style="9" customWidth="1"/>
    <col min="22" max="23" width="16.5546875" style="9" bestFit="1" customWidth="1"/>
  </cols>
  <sheetData>
    <row r="1" spans="2:23" ht="16.5" customHeight="1">
      <c r="C1" s="9"/>
    </row>
    <row r="2" spans="2:23" s="2" customFormat="1" ht="33.75" customHeight="1">
      <c r="B2" s="13" t="s">
        <v>0</v>
      </c>
      <c r="C2" s="13" t="s">
        <v>7</v>
      </c>
      <c r="D2" s="13" t="s">
        <v>29</v>
      </c>
      <c r="E2" s="13" t="s">
        <v>34</v>
      </c>
      <c r="F2" s="13" t="s">
        <v>35</v>
      </c>
      <c r="G2" s="13" t="s">
        <v>36</v>
      </c>
      <c r="H2" s="13" t="s">
        <v>37</v>
      </c>
      <c r="I2" s="13" t="s">
        <v>38</v>
      </c>
      <c r="J2" s="13" t="s">
        <v>29</v>
      </c>
      <c r="K2" s="13" t="s">
        <v>34</v>
      </c>
      <c r="L2" s="13" t="s">
        <v>35</v>
      </c>
      <c r="M2" s="13" t="s">
        <v>36</v>
      </c>
      <c r="N2" s="13" t="s">
        <v>37</v>
      </c>
      <c r="O2" s="13" t="s">
        <v>39</v>
      </c>
      <c r="P2" s="13" t="s">
        <v>40</v>
      </c>
      <c r="Q2" s="13" t="s">
        <v>39</v>
      </c>
      <c r="R2" s="13" t="s">
        <v>40</v>
      </c>
      <c r="S2" s="129"/>
      <c r="T2" s="132" t="s">
        <v>1709</v>
      </c>
      <c r="U2" s="132" t="s">
        <v>1710</v>
      </c>
      <c r="V2" s="72" t="s">
        <v>705</v>
      </c>
      <c r="W2" s="72" t="s">
        <v>180</v>
      </c>
    </row>
    <row r="3" spans="2:23" s="127" customFormat="1" ht="16.5" customHeight="1">
      <c r="B3" s="124" t="s">
        <v>1697</v>
      </c>
      <c r="C3" s="124" t="s">
        <v>1624</v>
      </c>
      <c r="D3" s="125"/>
      <c r="E3" s="125"/>
      <c r="F3" s="125"/>
      <c r="G3" s="125"/>
      <c r="H3" s="125"/>
      <c r="I3" s="124"/>
      <c r="J3" s="126"/>
      <c r="K3" s="126"/>
      <c r="L3" s="126"/>
      <c r="M3" s="126"/>
      <c r="N3" s="126"/>
      <c r="O3" s="126"/>
      <c r="P3" s="126"/>
      <c r="Q3" s="126"/>
      <c r="R3" s="126"/>
      <c r="S3" s="130"/>
      <c r="T3" s="130"/>
      <c r="V3" s="128" t="s">
        <v>1621</v>
      </c>
      <c r="W3" s="128" t="s">
        <v>1623</v>
      </c>
    </row>
    <row r="4" spans="2:23" s="2" customFormat="1" ht="16.5" customHeight="1">
      <c r="B4" s="14" t="s">
        <v>1538</v>
      </c>
      <c r="C4" s="14" t="str">
        <f>"FF"&amp;D4&amp;E4&amp;""&amp;F4&amp;G4&amp;H4&amp;I4</f>
        <v>FF010000000001</v>
      </c>
      <c r="D4" s="67" t="s">
        <v>24</v>
      </c>
      <c r="E4" s="67" t="s">
        <v>16</v>
      </c>
      <c r="F4" s="67" t="s">
        <v>16</v>
      </c>
      <c r="G4" s="67" t="s">
        <v>16</v>
      </c>
      <c r="H4" s="67" t="s">
        <v>16</v>
      </c>
      <c r="I4" s="14" t="str">
        <f>P4</f>
        <v>01</v>
      </c>
      <c r="J4" s="15">
        <f>HEX2DEC(D4)</f>
        <v>1</v>
      </c>
      <c r="K4" s="15">
        <f>HEX2DEC(E4)</f>
        <v>0</v>
      </c>
      <c r="L4" s="15">
        <f>HEX2DEC(F4)</f>
        <v>0</v>
      </c>
      <c r="M4" s="15">
        <f>HEX2DEC(G4)</f>
        <v>0</v>
      </c>
      <c r="N4" s="15">
        <f t="shared" ref="N4:O4" si="0">SUM(J4:M4)</f>
        <v>1</v>
      </c>
      <c r="O4" s="15">
        <f t="shared" si="0"/>
        <v>1</v>
      </c>
      <c r="P4" s="15" t="str">
        <f>REPT("0",2-LEN(RIGHT(DEC2HEX(N4), 2)))&amp;RIGHT(DEC2HEX(N4), 2)</f>
        <v>01</v>
      </c>
      <c r="Q4" s="15">
        <f>SUM(K4:P4)</f>
        <v>2</v>
      </c>
      <c r="R4" s="15" t="str">
        <f>REPT("0",2-LEN(RIGHT(DEC2HEX(Q4), 2)))&amp;RIGHT(DEC2HEX(Q4), 2)</f>
        <v>02</v>
      </c>
      <c r="S4" s="131"/>
      <c r="T4" s="131"/>
      <c r="V4" s="72" t="s">
        <v>1537</v>
      </c>
      <c r="W4" s="72" t="s">
        <v>545</v>
      </c>
    </row>
    <row r="5" spans="2:23" s="2" customFormat="1" ht="16.5" customHeight="1">
      <c r="B5" s="14" t="s">
        <v>13</v>
      </c>
      <c r="C5" s="14" t="str">
        <f>"FF"&amp;D5&amp;E5&amp;""&amp;F5&amp;G5&amp;H5&amp;I5</f>
        <v>FF010008404089</v>
      </c>
      <c r="D5" s="67" t="s">
        <v>24</v>
      </c>
      <c r="E5" s="67" t="s">
        <v>16</v>
      </c>
      <c r="F5" s="67" t="s">
        <v>1274</v>
      </c>
      <c r="G5" s="67" t="s">
        <v>1509</v>
      </c>
      <c r="H5" s="67" t="s">
        <v>1509</v>
      </c>
      <c r="I5" s="14" t="str">
        <f>P5</f>
        <v>89</v>
      </c>
      <c r="J5" s="15">
        <f>HEX2DEC(D5)</f>
        <v>1</v>
      </c>
      <c r="K5" s="15">
        <f>HEX2DEC(E5)</f>
        <v>0</v>
      </c>
      <c r="L5" s="15">
        <f>HEX2DEC(F5)</f>
        <v>8</v>
      </c>
      <c r="M5" s="15">
        <f t="shared" ref="M5" si="1">HEX2DEC(G5)</f>
        <v>64</v>
      </c>
      <c r="N5" s="15">
        <f>HEX2DEC(H5)</f>
        <v>64</v>
      </c>
      <c r="O5" s="15">
        <f>SUM(J5:N5)</f>
        <v>137</v>
      </c>
      <c r="P5" s="15" t="str">
        <f>REPT("0",2-LEN(RIGHT(DEC2HEX(O5), 2)))&amp;RIGHT(DEC2HEX(O5), 2)</f>
        <v>89</v>
      </c>
      <c r="Q5" s="15">
        <f>SUM(J5:P5)</f>
        <v>274</v>
      </c>
      <c r="R5" s="15" t="str">
        <f t="shared" ref="R5:R76" si="2">REPT("0",2-LEN(RIGHT(DEC2HEX(Q5), 2)))&amp;RIGHT(DEC2HEX(Q5), 2)</f>
        <v>12</v>
      </c>
      <c r="S5" s="131"/>
      <c r="T5" s="131"/>
      <c r="V5" s="72" t="s">
        <v>1584</v>
      </c>
      <c r="W5" s="72" t="s">
        <v>1541</v>
      </c>
    </row>
    <row r="6" spans="2:23" s="2" customFormat="1" ht="16.5" customHeight="1">
      <c r="B6" s="14" t="s">
        <v>14</v>
      </c>
      <c r="C6" s="14" t="str">
        <f>"FF"&amp;D6&amp;E6&amp;""&amp;F6&amp;G6&amp;H6&amp;I6</f>
        <v>FF010010404091</v>
      </c>
      <c r="D6" s="67" t="s">
        <v>24</v>
      </c>
      <c r="E6" s="67" t="s">
        <v>16</v>
      </c>
      <c r="F6" s="67" t="s">
        <v>109</v>
      </c>
      <c r="G6" s="67" t="s">
        <v>1509</v>
      </c>
      <c r="H6" s="67" t="s">
        <v>1509</v>
      </c>
      <c r="I6" s="14" t="str">
        <f>P6</f>
        <v>91</v>
      </c>
      <c r="J6" s="15">
        <f t="shared" ref="J6:J8" si="3">HEX2DEC(D6)</f>
        <v>1</v>
      </c>
      <c r="K6" s="15">
        <f t="shared" ref="K6:K8" si="4">HEX2DEC(E6)</f>
        <v>0</v>
      </c>
      <c r="L6" s="15">
        <f t="shared" ref="L6:L8" si="5">HEX2DEC(F6)</f>
        <v>16</v>
      </c>
      <c r="M6" s="15">
        <f t="shared" ref="M6:M8" si="6">HEX2DEC(G6)</f>
        <v>64</v>
      </c>
      <c r="N6" s="15">
        <f t="shared" ref="N6:N8" si="7">HEX2DEC(H6)</f>
        <v>64</v>
      </c>
      <c r="O6" s="15">
        <f t="shared" ref="O6:O8" si="8">SUM(J6:N6)</f>
        <v>145</v>
      </c>
      <c r="P6" s="15" t="str">
        <f t="shared" ref="P6:P76" si="9">REPT("0",2-LEN(RIGHT(DEC2HEX(O6), 2)))&amp;RIGHT(DEC2HEX(O6), 2)</f>
        <v>91</v>
      </c>
      <c r="Q6" s="15">
        <f>SUM(K6:P6)</f>
        <v>289</v>
      </c>
      <c r="R6" s="15" t="str">
        <f t="shared" si="2"/>
        <v>21</v>
      </c>
      <c r="S6" s="131"/>
      <c r="T6" s="131"/>
      <c r="V6" s="72" t="s">
        <v>1585</v>
      </c>
      <c r="W6" s="72" t="s">
        <v>1542</v>
      </c>
    </row>
    <row r="7" spans="2:23" s="2" customFormat="1" ht="16.5" customHeight="1">
      <c r="B7" s="14" t="s">
        <v>11</v>
      </c>
      <c r="C7" s="14" t="str">
        <f>"FF"&amp;D7&amp;E7&amp;""&amp;F7&amp;G7&amp;H7&amp;I7</f>
        <v>FF010004404085</v>
      </c>
      <c r="D7" s="67" t="s">
        <v>24</v>
      </c>
      <c r="E7" s="67" t="s">
        <v>16</v>
      </c>
      <c r="F7" s="67" t="s">
        <v>67</v>
      </c>
      <c r="G7" s="67" t="s">
        <v>1509</v>
      </c>
      <c r="H7" s="67" t="s">
        <v>1509</v>
      </c>
      <c r="I7" s="14" t="str">
        <f>P7</f>
        <v>85</v>
      </c>
      <c r="J7" s="15">
        <f t="shared" si="3"/>
        <v>1</v>
      </c>
      <c r="K7" s="15">
        <f t="shared" si="4"/>
        <v>0</v>
      </c>
      <c r="L7" s="15">
        <f t="shared" si="5"/>
        <v>4</v>
      </c>
      <c r="M7" s="15">
        <f t="shared" si="6"/>
        <v>64</v>
      </c>
      <c r="N7" s="15">
        <f t="shared" si="7"/>
        <v>64</v>
      </c>
      <c r="O7" s="15">
        <f t="shared" si="8"/>
        <v>133</v>
      </c>
      <c r="P7" s="15" t="str">
        <f t="shared" si="9"/>
        <v>85</v>
      </c>
      <c r="Q7" s="15">
        <f>SUM(K7:P7)</f>
        <v>265</v>
      </c>
      <c r="R7" s="15" t="str">
        <f t="shared" si="2"/>
        <v>09</v>
      </c>
      <c r="S7" s="131"/>
      <c r="T7" s="131"/>
      <c r="V7" s="72" t="s">
        <v>1586</v>
      </c>
      <c r="W7" s="72" t="s">
        <v>1543</v>
      </c>
    </row>
    <row r="8" spans="2:23" s="2" customFormat="1" ht="16.5" customHeight="1">
      <c r="B8" s="14" t="s">
        <v>12</v>
      </c>
      <c r="C8" s="14" t="str">
        <f>"FF"&amp;D8&amp;E8&amp;""&amp;F8&amp;G8&amp;H8&amp;I8</f>
        <v>FF010002404083</v>
      </c>
      <c r="D8" s="67" t="s">
        <v>24</v>
      </c>
      <c r="E8" s="67" t="s">
        <v>16</v>
      </c>
      <c r="F8" s="67" t="s">
        <v>17</v>
      </c>
      <c r="G8" s="67" t="s">
        <v>1509</v>
      </c>
      <c r="H8" s="67" t="s">
        <v>1509</v>
      </c>
      <c r="I8" s="14" t="str">
        <f>P8</f>
        <v>83</v>
      </c>
      <c r="J8" s="15">
        <f t="shared" si="3"/>
        <v>1</v>
      </c>
      <c r="K8" s="15">
        <f t="shared" si="4"/>
        <v>0</v>
      </c>
      <c r="L8" s="15">
        <f t="shared" si="5"/>
        <v>2</v>
      </c>
      <c r="M8" s="15">
        <f t="shared" si="6"/>
        <v>64</v>
      </c>
      <c r="N8" s="15">
        <f t="shared" si="7"/>
        <v>64</v>
      </c>
      <c r="O8" s="15">
        <f t="shared" si="8"/>
        <v>131</v>
      </c>
      <c r="P8" s="15" t="str">
        <f t="shared" si="9"/>
        <v>83</v>
      </c>
      <c r="Q8" s="15">
        <f>SUM(K8:P8)</f>
        <v>261</v>
      </c>
      <c r="R8" s="15" t="str">
        <f t="shared" si="2"/>
        <v>05</v>
      </c>
      <c r="S8" s="131"/>
      <c r="T8" s="131"/>
      <c r="V8" s="72" t="s">
        <v>1587</v>
      </c>
      <c r="W8" s="72" t="s">
        <v>1544</v>
      </c>
    </row>
    <row r="9" spans="2:23" ht="16.5" customHeight="1">
      <c r="B9" s="14" t="s">
        <v>1505</v>
      </c>
      <c r="C9" s="14" t="str">
        <f t="shared" ref="C9:C76" si="10">"FF"&amp;D9&amp;E9&amp;""&amp;F9&amp;G9&amp;H9&amp;I9</f>
        <v>FF01000C40408D</v>
      </c>
      <c r="D9" s="67" t="s">
        <v>24</v>
      </c>
      <c r="E9" s="67" t="s">
        <v>16</v>
      </c>
      <c r="F9" s="67" t="s">
        <v>1400</v>
      </c>
      <c r="G9" s="67" t="s">
        <v>1509</v>
      </c>
      <c r="H9" s="67" t="s">
        <v>1509</v>
      </c>
      <c r="I9" s="14" t="str">
        <f t="shared" ref="I9:I56" si="11">P9</f>
        <v>8D</v>
      </c>
      <c r="J9" s="15">
        <f t="shared" ref="J9:J56" si="12">HEX2DEC(D9)</f>
        <v>1</v>
      </c>
      <c r="K9" s="15">
        <f t="shared" ref="K9:K56" si="13">HEX2DEC(E9)</f>
        <v>0</v>
      </c>
      <c r="L9" s="15">
        <f t="shared" ref="L9:L56" si="14">HEX2DEC(F9)</f>
        <v>12</v>
      </c>
      <c r="M9" s="15">
        <f t="shared" ref="M9:M56" si="15">HEX2DEC(G9)</f>
        <v>64</v>
      </c>
      <c r="N9" s="15">
        <f t="shared" ref="N9:N56" si="16">HEX2DEC(H9)</f>
        <v>64</v>
      </c>
      <c r="O9" s="15">
        <f t="shared" ref="O9:O56" si="17">SUM(J9:N9)</f>
        <v>141</v>
      </c>
      <c r="P9" s="15" t="str">
        <f t="shared" si="9"/>
        <v>8D</v>
      </c>
      <c r="Q9" s="15">
        <f t="shared" ref="Q9:Q56" si="18">SUM(K9:P9)</f>
        <v>281</v>
      </c>
      <c r="R9" s="15" t="str">
        <f t="shared" si="2"/>
        <v>19</v>
      </c>
      <c r="S9" s="131"/>
      <c r="T9" s="131"/>
      <c r="V9" s="72" t="s">
        <v>1588</v>
      </c>
      <c r="W9" s="72" t="s">
        <v>1545</v>
      </c>
    </row>
    <row r="10" spans="2:23" ht="16.5" customHeight="1">
      <c r="B10" s="14" t="s">
        <v>1506</v>
      </c>
      <c r="C10" s="14" t="str">
        <f t="shared" si="10"/>
        <v>FF01000A40408B</v>
      </c>
      <c r="D10" s="67" t="s">
        <v>24</v>
      </c>
      <c r="E10" s="67" t="s">
        <v>16</v>
      </c>
      <c r="F10" s="67" t="s">
        <v>61</v>
      </c>
      <c r="G10" s="67" t="s">
        <v>1509</v>
      </c>
      <c r="H10" s="67" t="s">
        <v>1509</v>
      </c>
      <c r="I10" s="14" t="str">
        <f t="shared" si="11"/>
        <v>8B</v>
      </c>
      <c r="J10" s="15">
        <f t="shared" si="12"/>
        <v>1</v>
      </c>
      <c r="K10" s="15">
        <f t="shared" si="13"/>
        <v>0</v>
      </c>
      <c r="L10" s="15">
        <f t="shared" si="14"/>
        <v>10</v>
      </c>
      <c r="M10" s="15">
        <f t="shared" si="15"/>
        <v>64</v>
      </c>
      <c r="N10" s="15">
        <f t="shared" si="16"/>
        <v>64</v>
      </c>
      <c r="O10" s="15">
        <f t="shared" si="17"/>
        <v>139</v>
      </c>
      <c r="P10" s="15" t="str">
        <f t="shared" si="9"/>
        <v>8B</v>
      </c>
      <c r="Q10" s="15">
        <f t="shared" si="18"/>
        <v>277</v>
      </c>
      <c r="R10" s="15" t="str">
        <f t="shared" si="2"/>
        <v>15</v>
      </c>
      <c r="S10" s="131"/>
      <c r="T10" s="131"/>
      <c r="V10" s="72" t="s">
        <v>1589</v>
      </c>
      <c r="W10" s="72" t="s">
        <v>1546</v>
      </c>
    </row>
    <row r="11" spans="2:23" ht="16.5" customHeight="1">
      <c r="B11" s="14" t="s">
        <v>1507</v>
      </c>
      <c r="C11" s="14" t="str">
        <f t="shared" si="10"/>
        <v>FF010014404095</v>
      </c>
      <c r="D11" s="67" t="s">
        <v>24</v>
      </c>
      <c r="E11" s="67" t="s">
        <v>16</v>
      </c>
      <c r="F11" s="67">
        <v>14</v>
      </c>
      <c r="G11" s="67" t="s">
        <v>1509</v>
      </c>
      <c r="H11" s="67" t="s">
        <v>1509</v>
      </c>
      <c r="I11" s="14" t="str">
        <f t="shared" si="11"/>
        <v>95</v>
      </c>
      <c r="J11" s="15">
        <f t="shared" si="12"/>
        <v>1</v>
      </c>
      <c r="K11" s="15">
        <f t="shared" si="13"/>
        <v>0</v>
      </c>
      <c r="L11" s="15">
        <f t="shared" si="14"/>
        <v>20</v>
      </c>
      <c r="M11" s="15">
        <f t="shared" si="15"/>
        <v>64</v>
      </c>
      <c r="N11" s="15">
        <f t="shared" si="16"/>
        <v>64</v>
      </c>
      <c r="O11" s="15">
        <f t="shared" si="17"/>
        <v>149</v>
      </c>
      <c r="P11" s="15" t="str">
        <f t="shared" si="9"/>
        <v>95</v>
      </c>
      <c r="Q11" s="15">
        <f t="shared" si="18"/>
        <v>297</v>
      </c>
      <c r="R11" s="15" t="str">
        <f t="shared" si="2"/>
        <v>29</v>
      </c>
      <c r="S11" s="131"/>
      <c r="T11" s="131"/>
      <c r="V11" s="72" t="s">
        <v>1590</v>
      </c>
      <c r="W11" s="72" t="s">
        <v>1547</v>
      </c>
    </row>
    <row r="12" spans="2:23" ht="16.5" customHeight="1">
      <c r="B12" s="14" t="s">
        <v>1508</v>
      </c>
      <c r="C12" s="14" t="str">
        <f t="shared" si="10"/>
        <v>FF010012404093</v>
      </c>
      <c r="D12" s="67" t="s">
        <v>24</v>
      </c>
      <c r="E12" s="67" t="s">
        <v>16</v>
      </c>
      <c r="F12" s="67">
        <v>12</v>
      </c>
      <c r="G12" s="67" t="s">
        <v>1509</v>
      </c>
      <c r="H12" s="67" t="s">
        <v>1509</v>
      </c>
      <c r="I12" s="14" t="str">
        <f t="shared" si="11"/>
        <v>93</v>
      </c>
      <c r="J12" s="15">
        <f t="shared" si="12"/>
        <v>1</v>
      </c>
      <c r="K12" s="15">
        <f t="shared" si="13"/>
        <v>0</v>
      </c>
      <c r="L12" s="15">
        <f t="shared" si="14"/>
        <v>18</v>
      </c>
      <c r="M12" s="15">
        <f t="shared" si="15"/>
        <v>64</v>
      </c>
      <c r="N12" s="15">
        <f t="shared" si="16"/>
        <v>64</v>
      </c>
      <c r="O12" s="15">
        <f t="shared" si="17"/>
        <v>147</v>
      </c>
      <c r="P12" s="15" t="str">
        <f t="shared" si="9"/>
        <v>93</v>
      </c>
      <c r="Q12" s="15">
        <f t="shared" si="18"/>
        <v>293</v>
      </c>
      <c r="R12" s="15" t="str">
        <f t="shared" si="2"/>
        <v>25</v>
      </c>
      <c r="S12" s="131"/>
      <c r="T12" s="131"/>
      <c r="V12" s="72" t="s">
        <v>1591</v>
      </c>
      <c r="W12" s="72" t="s">
        <v>1548</v>
      </c>
    </row>
    <row r="13" spans="2:23" ht="16.5" customHeight="1">
      <c r="B13" s="14" t="s">
        <v>30</v>
      </c>
      <c r="C13" s="14" t="str">
        <f t="shared" ref="C13:C16" si="19">"FF"&amp;D13&amp;E13&amp;""&amp;F13&amp;G13&amp;H13&amp;I13</f>
        <v>FF010020000021</v>
      </c>
      <c r="D13" s="67" t="s">
        <v>24</v>
      </c>
      <c r="E13" s="67" t="s">
        <v>16</v>
      </c>
      <c r="F13" s="67">
        <v>20</v>
      </c>
      <c r="G13" s="67" t="s">
        <v>16</v>
      </c>
      <c r="H13" s="67" t="s">
        <v>16</v>
      </c>
      <c r="I13" s="14" t="str">
        <f t="shared" ref="I13:I16" si="20">P13</f>
        <v>21</v>
      </c>
      <c r="J13" s="15">
        <f t="shared" ref="J13:J16" si="21">HEX2DEC(D13)</f>
        <v>1</v>
      </c>
      <c r="K13" s="15">
        <f t="shared" ref="K13:K16" si="22">HEX2DEC(E13)</f>
        <v>0</v>
      </c>
      <c r="L13" s="15">
        <f t="shared" ref="L13:L16" si="23">HEX2DEC(F13)</f>
        <v>32</v>
      </c>
      <c r="M13" s="15">
        <f t="shared" ref="M13:M16" si="24">HEX2DEC(G13)</f>
        <v>0</v>
      </c>
      <c r="N13" s="15">
        <f t="shared" ref="N13:N16" si="25">HEX2DEC(H13)</f>
        <v>0</v>
      </c>
      <c r="O13" s="15">
        <f t="shared" ref="O13:O16" si="26">SUM(J13:N13)</f>
        <v>33</v>
      </c>
      <c r="P13" s="15" t="str">
        <f t="shared" ref="P13:P16" si="27">REPT("0",2-LEN(RIGHT(DEC2HEX(O13), 2)))&amp;RIGHT(DEC2HEX(O13), 2)</f>
        <v>21</v>
      </c>
      <c r="Q13" s="15">
        <f t="shared" ref="Q13:Q16" si="28">SUM(K13:P13)</f>
        <v>65</v>
      </c>
      <c r="R13" s="15" t="str">
        <f t="shared" ref="R13:R16" si="29">REPT("0",2-LEN(RIGHT(DEC2HEX(Q13), 2)))&amp;RIGHT(DEC2HEX(Q13), 2)</f>
        <v>41</v>
      </c>
      <c r="S13" s="131"/>
      <c r="T13" s="131"/>
      <c r="V13" s="72" t="s">
        <v>1592</v>
      </c>
      <c r="W13" s="72" t="s">
        <v>1550</v>
      </c>
    </row>
    <row r="14" spans="2:23" ht="16.5" customHeight="1">
      <c r="B14" s="14" t="s">
        <v>31</v>
      </c>
      <c r="C14" s="14" t="str">
        <f t="shared" si="19"/>
        <v>FF010040000041</v>
      </c>
      <c r="D14" s="67" t="s">
        <v>24</v>
      </c>
      <c r="E14" s="67" t="s">
        <v>16</v>
      </c>
      <c r="F14" s="67" t="s">
        <v>1509</v>
      </c>
      <c r="G14" s="67" t="s">
        <v>16</v>
      </c>
      <c r="H14" s="67" t="s">
        <v>16</v>
      </c>
      <c r="I14" s="14" t="str">
        <f t="shared" si="20"/>
        <v>41</v>
      </c>
      <c r="J14" s="15">
        <f t="shared" si="21"/>
        <v>1</v>
      </c>
      <c r="K14" s="15">
        <f t="shared" si="22"/>
        <v>0</v>
      </c>
      <c r="L14" s="15">
        <f t="shared" si="23"/>
        <v>64</v>
      </c>
      <c r="M14" s="15">
        <f t="shared" si="24"/>
        <v>0</v>
      </c>
      <c r="N14" s="15">
        <f t="shared" si="25"/>
        <v>0</v>
      </c>
      <c r="O14" s="15">
        <f t="shared" ref="O14:O16" si="30">SUM(J14:N14)</f>
        <v>65</v>
      </c>
      <c r="P14" s="15" t="str">
        <f t="shared" si="27"/>
        <v>41</v>
      </c>
      <c r="Q14" s="15">
        <f t="shared" ref="Q14:Q16" si="31">SUM(K14:P14)</f>
        <v>129</v>
      </c>
      <c r="R14" s="15" t="str">
        <f t="shared" si="29"/>
        <v>81</v>
      </c>
      <c r="S14" s="131"/>
      <c r="T14" s="131"/>
      <c r="V14" s="72" t="s">
        <v>1593</v>
      </c>
      <c r="W14" s="72" t="s">
        <v>1551</v>
      </c>
    </row>
    <row r="15" spans="2:23" ht="16.5" customHeight="1">
      <c r="B15" s="14" t="s">
        <v>42</v>
      </c>
      <c r="C15" s="14" t="str">
        <f t="shared" si="19"/>
        <v>FF010080000081</v>
      </c>
      <c r="D15" s="67" t="s">
        <v>24</v>
      </c>
      <c r="E15" s="67" t="s">
        <v>16</v>
      </c>
      <c r="F15" s="67" t="s">
        <v>43</v>
      </c>
      <c r="G15" s="67" t="s">
        <v>16</v>
      </c>
      <c r="H15" s="67" t="s">
        <v>16</v>
      </c>
      <c r="I15" s="14" t="str">
        <f t="shared" si="20"/>
        <v>81</v>
      </c>
      <c r="J15" s="15">
        <f t="shared" si="21"/>
        <v>1</v>
      </c>
      <c r="K15" s="15">
        <f t="shared" si="22"/>
        <v>0</v>
      </c>
      <c r="L15" s="15">
        <f t="shared" si="23"/>
        <v>128</v>
      </c>
      <c r="M15" s="15">
        <f t="shared" si="24"/>
        <v>0</v>
      </c>
      <c r="N15" s="15">
        <f t="shared" si="25"/>
        <v>0</v>
      </c>
      <c r="O15" s="15">
        <f t="shared" si="30"/>
        <v>129</v>
      </c>
      <c r="P15" s="15" t="str">
        <f t="shared" si="27"/>
        <v>81</v>
      </c>
      <c r="Q15" s="15">
        <f t="shared" si="31"/>
        <v>257</v>
      </c>
      <c r="R15" s="15" t="str">
        <f t="shared" si="29"/>
        <v>01</v>
      </c>
      <c r="S15" s="131"/>
      <c r="T15" s="131"/>
      <c r="V15" s="72" t="s">
        <v>1594</v>
      </c>
      <c r="W15" s="72" t="s">
        <v>1552</v>
      </c>
    </row>
    <row r="16" spans="2:23" ht="16.5" customHeight="1">
      <c r="B16" s="14" t="s">
        <v>44</v>
      </c>
      <c r="C16" s="14" t="str">
        <f t="shared" si="19"/>
        <v>FF010100000002</v>
      </c>
      <c r="D16" s="67" t="s">
        <v>24</v>
      </c>
      <c r="E16" s="67" t="s">
        <v>24</v>
      </c>
      <c r="F16" s="67" t="s">
        <v>16</v>
      </c>
      <c r="G16" s="67" t="s">
        <v>16</v>
      </c>
      <c r="H16" s="67" t="s">
        <v>16</v>
      </c>
      <c r="I16" s="14" t="str">
        <f t="shared" si="20"/>
        <v>02</v>
      </c>
      <c r="J16" s="15">
        <f t="shared" si="21"/>
        <v>1</v>
      </c>
      <c r="K16" s="15">
        <f t="shared" si="22"/>
        <v>1</v>
      </c>
      <c r="L16" s="15">
        <f t="shared" si="23"/>
        <v>0</v>
      </c>
      <c r="M16" s="15">
        <f t="shared" si="24"/>
        <v>0</v>
      </c>
      <c r="N16" s="15">
        <f t="shared" si="25"/>
        <v>0</v>
      </c>
      <c r="O16" s="15">
        <f t="shared" si="30"/>
        <v>2</v>
      </c>
      <c r="P16" s="15" t="str">
        <f t="shared" si="27"/>
        <v>02</v>
      </c>
      <c r="Q16" s="15">
        <f t="shared" si="31"/>
        <v>3</v>
      </c>
      <c r="R16" s="15" t="str">
        <f t="shared" si="29"/>
        <v>03</v>
      </c>
      <c r="S16" s="131"/>
      <c r="T16" s="131"/>
      <c r="V16" s="72" t="s">
        <v>1595</v>
      </c>
      <c r="W16" s="72" t="s">
        <v>1553</v>
      </c>
    </row>
    <row r="17" spans="2:23" ht="16.5" customHeight="1">
      <c r="B17" s="14" t="s">
        <v>102</v>
      </c>
      <c r="C17" s="14" t="str">
        <f t="shared" ref="C17:C19" si="32">"FF"&amp;D17&amp;E17&amp;""&amp;F17&amp;G17&amp;H17&amp;I17</f>
        <v>FF01002B00002C</v>
      </c>
      <c r="D17" s="67" t="s">
        <v>24</v>
      </c>
      <c r="E17" s="67" t="s">
        <v>16</v>
      </c>
      <c r="F17" s="67" t="s">
        <v>104</v>
      </c>
      <c r="G17" s="67" t="s">
        <v>16</v>
      </c>
      <c r="H17" s="67" t="s">
        <v>16</v>
      </c>
      <c r="I17" s="14" t="str">
        <f t="shared" si="11"/>
        <v>2C</v>
      </c>
      <c r="J17" s="15">
        <f t="shared" si="12"/>
        <v>1</v>
      </c>
      <c r="K17" s="15">
        <f t="shared" si="13"/>
        <v>0</v>
      </c>
      <c r="L17" s="15">
        <f t="shared" si="14"/>
        <v>43</v>
      </c>
      <c r="M17" s="15">
        <f t="shared" si="15"/>
        <v>0</v>
      </c>
      <c r="N17" s="15">
        <f t="shared" si="16"/>
        <v>0</v>
      </c>
      <c r="O17" s="15">
        <f t="shared" ref="O17:O19" si="33">SUM(J17:N17)</f>
        <v>44</v>
      </c>
      <c r="P17" s="15" t="str">
        <f t="shared" ref="P17:P19" si="34">REPT("0",2-LEN(RIGHT(DEC2HEX(O17), 2)))&amp;RIGHT(DEC2HEX(O17), 2)</f>
        <v>2C</v>
      </c>
      <c r="Q17" s="15">
        <f t="shared" ref="Q17:Q19" si="35">SUM(K17:P17)</f>
        <v>87</v>
      </c>
      <c r="R17" s="15" t="str">
        <f t="shared" ref="R17:R19" si="36">REPT("0",2-LEN(RIGHT(DEC2HEX(Q17), 2)))&amp;RIGHT(DEC2HEX(Q17), 2)</f>
        <v>57</v>
      </c>
      <c r="S17" s="131"/>
      <c r="T17" s="131"/>
      <c r="V17" s="72" t="s">
        <v>1643</v>
      </c>
      <c r="W17" s="72" t="s">
        <v>1565</v>
      </c>
    </row>
    <row r="18" spans="2:23" ht="16.5" customHeight="1">
      <c r="B18" s="14" t="s">
        <v>103</v>
      </c>
      <c r="C18" s="14" t="str">
        <f t="shared" si="32"/>
        <v>FF01002B00012D</v>
      </c>
      <c r="D18" s="67" t="s">
        <v>24</v>
      </c>
      <c r="E18" s="67" t="s">
        <v>16</v>
      </c>
      <c r="F18" s="67" t="s">
        <v>104</v>
      </c>
      <c r="G18" s="67" t="s">
        <v>16</v>
      </c>
      <c r="H18" s="67" t="s">
        <v>24</v>
      </c>
      <c r="I18" s="14" t="str">
        <f t="shared" si="11"/>
        <v>2D</v>
      </c>
      <c r="J18" s="15">
        <f t="shared" si="12"/>
        <v>1</v>
      </c>
      <c r="K18" s="15">
        <f t="shared" si="13"/>
        <v>0</v>
      </c>
      <c r="L18" s="15">
        <f t="shared" si="14"/>
        <v>43</v>
      </c>
      <c r="M18" s="15">
        <f t="shared" si="15"/>
        <v>0</v>
      </c>
      <c r="N18" s="15">
        <f t="shared" si="16"/>
        <v>1</v>
      </c>
      <c r="O18" s="15">
        <f t="shared" si="33"/>
        <v>45</v>
      </c>
      <c r="P18" s="15" t="str">
        <f t="shared" si="34"/>
        <v>2D</v>
      </c>
      <c r="Q18" s="15">
        <f t="shared" si="35"/>
        <v>89</v>
      </c>
      <c r="R18" s="15" t="str">
        <f t="shared" si="36"/>
        <v>59</v>
      </c>
      <c r="S18" s="131"/>
      <c r="T18" s="131"/>
      <c r="V18" s="72" t="s">
        <v>1645</v>
      </c>
      <c r="W18" s="72" t="s">
        <v>1566</v>
      </c>
    </row>
    <row r="19" spans="2:23" ht="16.5" customHeight="1">
      <c r="B19" s="14" t="s">
        <v>1983</v>
      </c>
      <c r="C19" s="14" t="str">
        <f t="shared" si="32"/>
        <v>FF01000F000010</v>
      </c>
      <c r="D19" s="67" t="s">
        <v>24</v>
      </c>
      <c r="E19" s="67" t="s">
        <v>16</v>
      </c>
      <c r="F19" s="67" t="s">
        <v>78</v>
      </c>
      <c r="G19" s="67" t="s">
        <v>16</v>
      </c>
      <c r="H19" s="67" t="s">
        <v>16</v>
      </c>
      <c r="I19" s="14" t="str">
        <f t="shared" si="11"/>
        <v>10</v>
      </c>
      <c r="J19" s="15">
        <f t="shared" si="12"/>
        <v>1</v>
      </c>
      <c r="K19" s="15">
        <f t="shared" si="13"/>
        <v>0</v>
      </c>
      <c r="L19" s="15">
        <f t="shared" si="14"/>
        <v>15</v>
      </c>
      <c r="M19" s="15">
        <f t="shared" si="15"/>
        <v>0</v>
      </c>
      <c r="N19" s="15">
        <f t="shared" si="16"/>
        <v>0</v>
      </c>
      <c r="O19" s="15">
        <f t="shared" si="33"/>
        <v>16</v>
      </c>
      <c r="P19" s="15" t="str">
        <f t="shared" si="34"/>
        <v>10</v>
      </c>
      <c r="Q19" s="15">
        <f t="shared" si="35"/>
        <v>31</v>
      </c>
      <c r="R19" s="15" t="str">
        <f t="shared" si="36"/>
        <v>1F</v>
      </c>
      <c r="S19" s="131"/>
      <c r="T19" s="131"/>
      <c r="V19" s="72" t="s">
        <v>1672</v>
      </c>
      <c r="W19" s="72" t="s">
        <v>1692</v>
      </c>
    </row>
    <row r="20" spans="2:23" ht="16.5" customHeight="1">
      <c r="B20" s="14" t="s">
        <v>1719</v>
      </c>
      <c r="C20" s="14" t="str">
        <f t="shared" ref="C20:C44" si="37">"FF"&amp;D20&amp;E20&amp;""&amp;F20&amp;G20&amp;H20&amp;I20</f>
        <v>FF01004BB1E0DD</v>
      </c>
      <c r="D20" s="67" t="s">
        <v>24</v>
      </c>
      <c r="E20" s="67" t="s">
        <v>16</v>
      </c>
      <c r="F20" s="67" t="s">
        <v>1517</v>
      </c>
      <c r="G20" s="67" t="s">
        <v>32</v>
      </c>
      <c r="H20" s="67" t="s">
        <v>15</v>
      </c>
      <c r="I20" s="14" t="str">
        <f t="shared" ref="I20:I44" si="38">P20</f>
        <v>DD</v>
      </c>
      <c r="J20" s="15">
        <f t="shared" si="12"/>
        <v>1</v>
      </c>
      <c r="K20" s="15">
        <f t="shared" si="13"/>
        <v>0</v>
      </c>
      <c r="L20" s="15">
        <f t="shared" si="14"/>
        <v>75</v>
      </c>
      <c r="M20" s="15">
        <f t="shared" si="15"/>
        <v>177</v>
      </c>
      <c r="N20" s="15">
        <f t="shared" si="16"/>
        <v>224</v>
      </c>
      <c r="O20" s="15">
        <f t="shared" ref="O20:O44" si="39">SUM(J20:N20)</f>
        <v>477</v>
      </c>
      <c r="P20" s="15" t="str">
        <f t="shared" ref="P20:P44" si="40">REPT("0",2-LEN(RIGHT(DEC2HEX(O20), 2)))&amp;RIGHT(DEC2HEX(O20), 2)</f>
        <v>DD</v>
      </c>
      <c r="Q20" s="15">
        <f t="shared" ref="Q20:Q44" si="41">SUM(K20:P20)</f>
        <v>953</v>
      </c>
      <c r="R20" s="15" t="str">
        <f t="shared" ref="R20:R44" si="42">REPT("0",2-LEN(RIGHT(DEC2HEX(Q20), 2)))&amp;RIGHT(DEC2HEX(Q20), 2)</f>
        <v>B9</v>
      </c>
      <c r="S20" s="131">
        <v>-20000</v>
      </c>
      <c r="T20" s="131"/>
      <c r="U20" s="131" t="str">
        <f>TEXT(DEC2HEX(65536 + S20), "0000")</f>
        <v>B1E0</v>
      </c>
      <c r="V20" s="72" t="s">
        <v>1607</v>
      </c>
      <c r="W20" s="72" t="s">
        <v>1569</v>
      </c>
    </row>
    <row r="21" spans="2:23" ht="16.5" customHeight="1">
      <c r="B21" s="14" t="s">
        <v>1698</v>
      </c>
      <c r="C21" s="14" t="str">
        <f t="shared" si="37"/>
        <v>FF01004BB9B0B5</v>
      </c>
      <c r="D21" s="67" t="s">
        <v>24</v>
      </c>
      <c r="E21" s="67" t="s">
        <v>16</v>
      </c>
      <c r="F21" s="67" t="s">
        <v>1517</v>
      </c>
      <c r="G21" s="67" t="s">
        <v>1704</v>
      </c>
      <c r="H21" s="67" t="s">
        <v>1281</v>
      </c>
      <c r="I21" s="14" t="str">
        <f t="shared" si="38"/>
        <v>B5</v>
      </c>
      <c r="J21" s="15">
        <f t="shared" ref="J21:N43" si="43">HEX2DEC(D21)</f>
        <v>1</v>
      </c>
      <c r="K21" s="15">
        <f t="shared" si="43"/>
        <v>0</v>
      </c>
      <c r="L21" s="15">
        <f t="shared" si="43"/>
        <v>75</v>
      </c>
      <c r="M21" s="15">
        <f t="shared" si="43"/>
        <v>185</v>
      </c>
      <c r="N21" s="15">
        <f t="shared" si="43"/>
        <v>176</v>
      </c>
      <c r="O21" s="15">
        <f t="shared" si="39"/>
        <v>437</v>
      </c>
      <c r="P21" s="15" t="str">
        <f t="shared" si="40"/>
        <v>B5</v>
      </c>
      <c r="Q21" s="15">
        <f t="shared" si="41"/>
        <v>873</v>
      </c>
      <c r="R21" s="15" t="str">
        <f t="shared" si="42"/>
        <v>69</v>
      </c>
      <c r="S21" s="131">
        <v>-18000</v>
      </c>
      <c r="T21" s="131"/>
      <c r="U21" s="131" t="str">
        <f>TEXT(DEC2HEX(65536 + S21), "0000")</f>
        <v>B9B0</v>
      </c>
      <c r="V21" s="72" t="s">
        <v>1607</v>
      </c>
      <c r="W21" s="72" t="s">
        <v>1569</v>
      </c>
    </row>
    <row r="22" spans="2:23" ht="16.5" customHeight="1">
      <c r="B22" s="14" t="s">
        <v>1699</v>
      </c>
      <c r="C22" s="14" t="str">
        <f t="shared" si="37"/>
        <v>FF01004B4650E2</v>
      </c>
      <c r="D22" s="67" t="s">
        <v>24</v>
      </c>
      <c r="E22" s="67" t="s">
        <v>16</v>
      </c>
      <c r="F22" s="67" t="s">
        <v>1517</v>
      </c>
      <c r="G22" s="67" t="s">
        <v>1702</v>
      </c>
      <c r="H22" s="67" t="s">
        <v>162</v>
      </c>
      <c r="I22" s="14" t="str">
        <f t="shared" si="38"/>
        <v>E2</v>
      </c>
      <c r="J22" s="15">
        <f t="shared" si="43"/>
        <v>1</v>
      </c>
      <c r="K22" s="15">
        <f t="shared" si="43"/>
        <v>0</v>
      </c>
      <c r="L22" s="15">
        <f t="shared" si="43"/>
        <v>75</v>
      </c>
      <c r="M22" s="15">
        <f t="shared" si="43"/>
        <v>70</v>
      </c>
      <c r="N22" s="15">
        <f t="shared" si="43"/>
        <v>80</v>
      </c>
      <c r="O22" s="15">
        <f t="shared" si="39"/>
        <v>226</v>
      </c>
      <c r="P22" s="15" t="str">
        <f t="shared" si="40"/>
        <v>E2</v>
      </c>
      <c r="Q22" s="15">
        <f t="shared" si="41"/>
        <v>451</v>
      </c>
      <c r="R22" s="15" t="str">
        <f t="shared" si="42"/>
        <v>C3</v>
      </c>
      <c r="S22" s="131"/>
      <c r="T22" s="131"/>
      <c r="V22" s="72" t="s">
        <v>1608</v>
      </c>
      <c r="W22" s="72" t="s">
        <v>1570</v>
      </c>
    </row>
    <row r="23" spans="2:23" ht="16.5" customHeight="1">
      <c r="B23" s="14" t="s">
        <v>1984</v>
      </c>
      <c r="C23" s="14" t="str">
        <f t="shared" ref="C23:C24" si="44">"FF"&amp;D23&amp;E23&amp;""&amp;F23&amp;G23&amp;H23&amp;I23</f>
        <v>FF01004BB9B1B6</v>
      </c>
      <c r="D23" s="67" t="s">
        <v>24</v>
      </c>
      <c r="E23" s="67" t="s">
        <v>16</v>
      </c>
      <c r="F23" s="67" t="s">
        <v>1517</v>
      </c>
      <c r="G23" s="67" t="s">
        <v>1704</v>
      </c>
      <c r="H23" s="67" t="s">
        <v>32</v>
      </c>
      <c r="I23" s="14" t="str">
        <f t="shared" ref="I23:I24" si="45">P23</f>
        <v>B6</v>
      </c>
      <c r="J23" s="15">
        <f t="shared" ref="J23:J24" si="46">HEX2DEC(D23)</f>
        <v>1</v>
      </c>
      <c r="K23" s="15">
        <f t="shared" ref="K23:K24" si="47">HEX2DEC(E23)</f>
        <v>0</v>
      </c>
      <c r="L23" s="15">
        <f t="shared" ref="L23:L24" si="48">HEX2DEC(F23)</f>
        <v>75</v>
      </c>
      <c r="M23" s="15">
        <f t="shared" ref="M23:M24" si="49">HEX2DEC(G23)</f>
        <v>185</v>
      </c>
      <c r="N23" s="15">
        <f t="shared" ref="N23:N24" si="50">HEX2DEC(H23)</f>
        <v>177</v>
      </c>
      <c r="O23" s="15">
        <f t="shared" ref="O23:O24" si="51">SUM(J23:N23)</f>
        <v>438</v>
      </c>
      <c r="P23" s="15" t="str">
        <f t="shared" ref="P23:P24" si="52">REPT("0",2-LEN(RIGHT(DEC2HEX(O23), 2)))&amp;RIGHT(DEC2HEX(O23), 2)</f>
        <v>B6</v>
      </c>
      <c r="Q23" s="15">
        <f t="shared" ref="Q23:Q24" si="53">SUM(K23:P23)</f>
        <v>875</v>
      </c>
      <c r="R23" s="15" t="str">
        <f t="shared" ref="R23:R24" si="54">REPT("0",2-LEN(RIGHT(DEC2HEX(Q23), 2)))&amp;RIGHT(DEC2HEX(Q23), 2)</f>
        <v>6B</v>
      </c>
      <c r="S23" s="131">
        <v>-17999</v>
      </c>
      <c r="T23" s="131"/>
      <c r="U23" s="131" t="str">
        <f>TEXT(DEC2HEX(65536 + S23), "0000")</f>
        <v>B9B1</v>
      </c>
      <c r="V23" s="72" t="s">
        <v>1607</v>
      </c>
      <c r="W23" s="72" t="s">
        <v>1569</v>
      </c>
    </row>
    <row r="24" spans="2:23" ht="16.5" customHeight="1">
      <c r="B24" s="14" t="s">
        <v>1985</v>
      </c>
      <c r="C24" s="14" t="str">
        <f t="shared" si="44"/>
        <v>FF01004B464FE1</v>
      </c>
      <c r="D24" s="67" t="s">
        <v>24</v>
      </c>
      <c r="E24" s="67" t="s">
        <v>16</v>
      </c>
      <c r="F24" s="67" t="s">
        <v>1517</v>
      </c>
      <c r="G24" s="67" t="s">
        <v>1702</v>
      </c>
      <c r="H24" s="67" t="s">
        <v>70</v>
      </c>
      <c r="I24" s="14" t="str">
        <f t="shared" si="45"/>
        <v>E1</v>
      </c>
      <c r="J24" s="15">
        <f t="shared" si="46"/>
        <v>1</v>
      </c>
      <c r="K24" s="15">
        <f t="shared" si="47"/>
        <v>0</v>
      </c>
      <c r="L24" s="15">
        <f t="shared" si="48"/>
        <v>75</v>
      </c>
      <c r="M24" s="15">
        <f t="shared" si="49"/>
        <v>70</v>
      </c>
      <c r="N24" s="15">
        <f t="shared" si="50"/>
        <v>79</v>
      </c>
      <c r="O24" s="15">
        <f t="shared" si="51"/>
        <v>225</v>
      </c>
      <c r="P24" s="15" t="str">
        <f t="shared" si="52"/>
        <v>E1</v>
      </c>
      <c r="Q24" s="15">
        <f t="shared" si="53"/>
        <v>449</v>
      </c>
      <c r="R24" s="15" t="str">
        <f t="shared" si="54"/>
        <v>C1</v>
      </c>
      <c r="S24" s="133">
        <v>17999</v>
      </c>
      <c r="T24" s="131" t="str">
        <f>DEC2HEX(S24)</f>
        <v>464F</v>
      </c>
      <c r="V24" s="72" t="s">
        <v>1608</v>
      </c>
      <c r="W24" s="72" t="s">
        <v>1570</v>
      </c>
    </row>
    <row r="25" spans="2:23" ht="16.5" customHeight="1">
      <c r="B25" s="14" t="s">
        <v>1707</v>
      </c>
      <c r="C25" s="14" t="str">
        <f t="shared" si="37"/>
        <v>FF01004B0FA0FB</v>
      </c>
      <c r="D25" s="67" t="s">
        <v>24</v>
      </c>
      <c r="E25" s="67" t="s">
        <v>16</v>
      </c>
      <c r="F25" s="67" t="s">
        <v>1517</v>
      </c>
      <c r="G25" s="67" t="s">
        <v>78</v>
      </c>
      <c r="H25" s="67" t="s">
        <v>23</v>
      </c>
      <c r="I25" s="14" t="str">
        <f t="shared" si="38"/>
        <v>FB</v>
      </c>
      <c r="J25" s="15">
        <f t="shared" si="43"/>
        <v>1</v>
      </c>
      <c r="K25" s="15">
        <f t="shared" si="43"/>
        <v>0</v>
      </c>
      <c r="L25" s="15">
        <f t="shared" si="43"/>
        <v>75</v>
      </c>
      <c r="M25" s="15">
        <f t="shared" si="43"/>
        <v>15</v>
      </c>
      <c r="N25" s="15">
        <f t="shared" si="43"/>
        <v>160</v>
      </c>
      <c r="O25" s="15">
        <f t="shared" si="39"/>
        <v>251</v>
      </c>
      <c r="P25" s="15" t="str">
        <f t="shared" si="40"/>
        <v>FB</v>
      </c>
      <c r="Q25" s="15">
        <f t="shared" si="41"/>
        <v>501</v>
      </c>
      <c r="R25" s="15" t="str">
        <f t="shared" si="42"/>
        <v>F5</v>
      </c>
      <c r="S25" s="133">
        <v>4000</v>
      </c>
      <c r="T25" s="131" t="str">
        <f>DEC2HEX(S25)</f>
        <v>FA0</v>
      </c>
      <c r="V25" s="72" t="s">
        <v>1607</v>
      </c>
      <c r="W25" s="72" t="s">
        <v>1569</v>
      </c>
    </row>
    <row r="26" spans="2:23" ht="16.5" customHeight="1">
      <c r="B26" s="14" t="s">
        <v>1708</v>
      </c>
      <c r="C26" s="14" t="str">
        <f t="shared" si="37"/>
        <v>FF01004BF0609C</v>
      </c>
      <c r="D26" s="67" t="s">
        <v>24</v>
      </c>
      <c r="E26" s="67" t="s">
        <v>16</v>
      </c>
      <c r="F26" s="67" t="s">
        <v>1517</v>
      </c>
      <c r="G26" s="67" t="s">
        <v>1711</v>
      </c>
      <c r="H26" s="67" t="s">
        <v>1712</v>
      </c>
      <c r="I26" s="14" t="str">
        <f t="shared" si="38"/>
        <v>9C</v>
      </c>
      <c r="J26" s="15">
        <f t="shared" si="43"/>
        <v>1</v>
      </c>
      <c r="K26" s="15">
        <f t="shared" si="43"/>
        <v>0</v>
      </c>
      <c r="L26" s="15">
        <f t="shared" si="43"/>
        <v>75</v>
      </c>
      <c r="M26" s="15">
        <f t="shared" si="43"/>
        <v>240</v>
      </c>
      <c r="N26" s="15">
        <f t="shared" si="43"/>
        <v>96</v>
      </c>
      <c r="O26" s="15">
        <f t="shared" si="39"/>
        <v>412</v>
      </c>
      <c r="P26" s="15" t="str">
        <f t="shared" si="40"/>
        <v>9C</v>
      </c>
      <c r="Q26" s="15">
        <f t="shared" si="41"/>
        <v>823</v>
      </c>
      <c r="R26" s="15" t="str">
        <f t="shared" si="42"/>
        <v>37</v>
      </c>
      <c r="S26" s="131">
        <v>-4000</v>
      </c>
      <c r="T26" s="131"/>
      <c r="U26" s="131" t="str">
        <f>TEXT(DEC2HEX(65536 + S26), "0000")</f>
        <v>F060</v>
      </c>
      <c r="V26" s="72" t="s">
        <v>1607</v>
      </c>
      <c r="W26" s="72" t="s">
        <v>1569</v>
      </c>
    </row>
    <row r="27" spans="2:23" ht="16.5" customHeight="1">
      <c r="B27" s="14" t="s">
        <v>1516</v>
      </c>
      <c r="C27" s="14" t="str">
        <f t="shared" si="37"/>
        <v>FF01004B00004C</v>
      </c>
      <c r="D27" s="67" t="s">
        <v>24</v>
      </c>
      <c r="E27" s="67" t="s">
        <v>16</v>
      </c>
      <c r="F27" s="67" t="s">
        <v>1517</v>
      </c>
      <c r="G27" s="67" t="s">
        <v>16</v>
      </c>
      <c r="H27" s="67" t="s">
        <v>16</v>
      </c>
      <c r="I27" s="14" t="str">
        <f t="shared" si="38"/>
        <v>4C</v>
      </c>
      <c r="J27" s="15">
        <f t="shared" ref="J27:J28" si="55">HEX2DEC(D27)</f>
        <v>1</v>
      </c>
      <c r="K27" s="15">
        <f t="shared" ref="K27:K28" si="56">HEX2DEC(E27)</f>
        <v>0</v>
      </c>
      <c r="L27" s="15">
        <f t="shared" ref="L27:L28" si="57">HEX2DEC(F27)</f>
        <v>75</v>
      </c>
      <c r="M27" s="15">
        <f t="shared" ref="M27:M28" si="58">HEX2DEC(G27)</f>
        <v>0</v>
      </c>
      <c r="N27" s="15">
        <f t="shared" ref="N27:N28" si="59">HEX2DEC(H27)</f>
        <v>0</v>
      </c>
      <c r="O27" s="15">
        <f t="shared" si="39"/>
        <v>76</v>
      </c>
      <c r="P27" s="15" t="str">
        <f t="shared" si="40"/>
        <v>4C</v>
      </c>
      <c r="Q27" s="15">
        <f t="shared" si="41"/>
        <v>151</v>
      </c>
      <c r="R27" s="15" t="str">
        <f t="shared" si="42"/>
        <v>97</v>
      </c>
      <c r="S27" s="131"/>
      <c r="T27" s="131"/>
      <c r="V27" s="72" t="s">
        <v>1607</v>
      </c>
      <c r="W27" s="72" t="s">
        <v>1569</v>
      </c>
    </row>
    <row r="28" spans="2:23" ht="16.5" customHeight="1">
      <c r="B28" s="14" t="s">
        <v>1700</v>
      </c>
      <c r="C28" s="14" t="str">
        <f t="shared" si="37"/>
        <v>FF01004B232897</v>
      </c>
      <c r="D28" s="67" t="s">
        <v>24</v>
      </c>
      <c r="E28" s="67" t="s">
        <v>16</v>
      </c>
      <c r="F28" s="67" t="s">
        <v>1517</v>
      </c>
      <c r="G28" s="67" t="s">
        <v>1703</v>
      </c>
      <c r="H28" s="67" t="s">
        <v>140</v>
      </c>
      <c r="I28" s="14" t="str">
        <f t="shared" si="38"/>
        <v>97</v>
      </c>
      <c r="J28" s="15">
        <f t="shared" si="55"/>
        <v>1</v>
      </c>
      <c r="K28" s="15">
        <f t="shared" si="56"/>
        <v>0</v>
      </c>
      <c r="L28" s="15">
        <f t="shared" si="57"/>
        <v>75</v>
      </c>
      <c r="M28" s="15">
        <f t="shared" si="58"/>
        <v>35</v>
      </c>
      <c r="N28" s="15">
        <f t="shared" si="59"/>
        <v>40</v>
      </c>
      <c r="O28" s="15">
        <f t="shared" si="39"/>
        <v>151</v>
      </c>
      <c r="P28" s="15" t="str">
        <f t="shared" si="40"/>
        <v>97</v>
      </c>
      <c r="Q28" s="15">
        <f t="shared" si="41"/>
        <v>301</v>
      </c>
      <c r="R28" s="15" t="str">
        <f t="shared" si="42"/>
        <v>2D</v>
      </c>
      <c r="S28" s="131"/>
      <c r="T28" s="131"/>
      <c r="V28" s="72" t="s">
        <v>1608</v>
      </c>
      <c r="W28" s="72" t="s">
        <v>1570</v>
      </c>
    </row>
    <row r="29" spans="2:23" ht="16.5" customHeight="1">
      <c r="B29" s="14" t="s">
        <v>1701</v>
      </c>
      <c r="C29" s="14" t="str">
        <f t="shared" si="37"/>
        <v>FF01004BDCD800</v>
      </c>
      <c r="D29" s="67" t="s">
        <v>24</v>
      </c>
      <c r="E29" s="67" t="s">
        <v>16</v>
      </c>
      <c r="F29" s="67" t="s">
        <v>1517</v>
      </c>
      <c r="G29" s="67" t="s">
        <v>1705</v>
      </c>
      <c r="H29" s="67" t="s">
        <v>1706</v>
      </c>
      <c r="I29" s="14" t="str">
        <f t="shared" si="38"/>
        <v>00</v>
      </c>
      <c r="J29" s="15">
        <f t="shared" ref="J29:J30" si="60">HEX2DEC(D29)</f>
        <v>1</v>
      </c>
      <c r="K29" s="15">
        <f t="shared" ref="K29:K30" si="61">HEX2DEC(E29)</f>
        <v>0</v>
      </c>
      <c r="L29" s="15">
        <f t="shared" ref="L29:L30" si="62">HEX2DEC(F29)</f>
        <v>75</v>
      </c>
      <c r="M29" s="15">
        <f t="shared" ref="M29:M30" si="63">HEX2DEC(G29)</f>
        <v>220</v>
      </c>
      <c r="N29" s="15">
        <f t="shared" ref="N29:N30" si="64">HEX2DEC(H29)</f>
        <v>216</v>
      </c>
      <c r="O29" s="15">
        <f t="shared" si="39"/>
        <v>512</v>
      </c>
      <c r="P29" s="15" t="str">
        <f t="shared" si="40"/>
        <v>00</v>
      </c>
      <c r="Q29" s="15">
        <f t="shared" si="41"/>
        <v>1023</v>
      </c>
      <c r="R29" s="15" t="str">
        <f t="shared" si="42"/>
        <v>FF</v>
      </c>
      <c r="S29" s="131">
        <v>-9000</v>
      </c>
      <c r="T29" s="131"/>
      <c r="U29" s="131" t="str">
        <f>TEXT(DEC2HEX(65536 + S29), "0000")</f>
        <v>DCD8</v>
      </c>
      <c r="V29" s="72" t="s">
        <v>1608</v>
      </c>
      <c r="W29" s="72" t="s">
        <v>1570</v>
      </c>
    </row>
    <row r="30" spans="2:23" ht="16.5" customHeight="1">
      <c r="B30" s="14" t="s">
        <v>1720</v>
      </c>
      <c r="C30" s="14" t="str">
        <f t="shared" si="37"/>
        <v>FF01004B4E20BA</v>
      </c>
      <c r="D30" s="67" t="s">
        <v>24</v>
      </c>
      <c r="E30" s="67" t="s">
        <v>16</v>
      </c>
      <c r="F30" s="67" t="s">
        <v>1517</v>
      </c>
      <c r="G30" s="67" t="s">
        <v>1723</v>
      </c>
      <c r="H30" s="67" t="s">
        <v>133</v>
      </c>
      <c r="I30" s="14" t="str">
        <f t="shared" si="38"/>
        <v>BA</v>
      </c>
      <c r="J30" s="15">
        <f t="shared" si="60"/>
        <v>1</v>
      </c>
      <c r="K30" s="15">
        <f t="shared" si="61"/>
        <v>0</v>
      </c>
      <c r="L30" s="15">
        <f t="shared" si="62"/>
        <v>75</v>
      </c>
      <c r="M30" s="15">
        <f t="shared" si="63"/>
        <v>78</v>
      </c>
      <c r="N30" s="15">
        <f t="shared" si="64"/>
        <v>32</v>
      </c>
      <c r="O30" s="15">
        <f t="shared" si="39"/>
        <v>186</v>
      </c>
      <c r="P30" s="15" t="str">
        <f t="shared" si="40"/>
        <v>BA</v>
      </c>
      <c r="Q30" s="15">
        <f t="shared" si="41"/>
        <v>371</v>
      </c>
      <c r="R30" s="15" t="str">
        <f t="shared" si="42"/>
        <v>73</v>
      </c>
      <c r="S30" s="131">
        <v>20000</v>
      </c>
      <c r="T30" s="131" t="str">
        <f>DEC2HEX(S30)</f>
        <v>4E20</v>
      </c>
      <c r="U30" s="131"/>
      <c r="V30" s="72" t="s">
        <v>1607</v>
      </c>
      <c r="W30" s="72" t="s">
        <v>1569</v>
      </c>
    </row>
    <row r="31" spans="2:23" ht="16.5" customHeight="1">
      <c r="B31" s="123" t="s">
        <v>1518</v>
      </c>
      <c r="C31" s="14" t="str">
        <f t="shared" si="37"/>
        <v>FF010051000052</v>
      </c>
      <c r="D31" s="67" t="s">
        <v>24</v>
      </c>
      <c r="E31" s="67" t="s">
        <v>16</v>
      </c>
      <c r="F31" s="67" t="s">
        <v>166</v>
      </c>
      <c r="G31" s="67" t="s">
        <v>16</v>
      </c>
      <c r="H31" s="67" t="s">
        <v>16</v>
      </c>
      <c r="I31" s="14" t="str">
        <f t="shared" si="38"/>
        <v>52</v>
      </c>
      <c r="J31" s="15">
        <f t="shared" si="43"/>
        <v>1</v>
      </c>
      <c r="K31" s="15">
        <f t="shared" si="43"/>
        <v>0</v>
      </c>
      <c r="L31" s="15">
        <f t="shared" si="43"/>
        <v>81</v>
      </c>
      <c r="M31" s="15">
        <f t="shared" si="43"/>
        <v>0</v>
      </c>
      <c r="N31" s="15">
        <f t="shared" si="43"/>
        <v>0</v>
      </c>
      <c r="O31" s="15">
        <f t="shared" si="39"/>
        <v>82</v>
      </c>
      <c r="P31" s="15" t="str">
        <f t="shared" si="40"/>
        <v>52</v>
      </c>
      <c r="Q31" s="15">
        <f t="shared" si="41"/>
        <v>163</v>
      </c>
      <c r="R31" s="15" t="str">
        <f t="shared" si="42"/>
        <v>A3</v>
      </c>
      <c r="S31" s="131"/>
      <c r="T31" s="131"/>
      <c r="V31" s="72" t="s">
        <v>1609</v>
      </c>
      <c r="W31" s="72" t="s">
        <v>1571</v>
      </c>
    </row>
    <row r="32" spans="2:23" ht="16.5" customHeight="1">
      <c r="B32" s="14" t="s">
        <v>1721</v>
      </c>
      <c r="C32" s="14" t="str">
        <f t="shared" si="37"/>
        <v>FF01004DD8F016</v>
      </c>
      <c r="D32" s="67" t="s">
        <v>24</v>
      </c>
      <c r="E32" s="67" t="s">
        <v>16</v>
      </c>
      <c r="F32" s="67" t="s">
        <v>1520</v>
      </c>
      <c r="G32" s="67" t="s">
        <v>1706</v>
      </c>
      <c r="H32" s="67" t="s">
        <v>1711</v>
      </c>
      <c r="I32" s="14" t="str">
        <f t="shared" si="38"/>
        <v>16</v>
      </c>
      <c r="J32" s="15">
        <f t="shared" ref="J32" si="65">HEX2DEC(D32)</f>
        <v>1</v>
      </c>
      <c r="K32" s="15">
        <f t="shared" ref="K32" si="66">HEX2DEC(E32)</f>
        <v>0</v>
      </c>
      <c r="L32" s="15">
        <f t="shared" ref="L32" si="67">HEX2DEC(F32)</f>
        <v>77</v>
      </c>
      <c r="M32" s="15">
        <f t="shared" ref="M32" si="68">HEX2DEC(G32)</f>
        <v>216</v>
      </c>
      <c r="N32" s="15">
        <f t="shared" ref="N32" si="69">HEX2DEC(H32)</f>
        <v>240</v>
      </c>
      <c r="O32" s="15">
        <f t="shared" si="39"/>
        <v>534</v>
      </c>
      <c r="P32" s="15" t="str">
        <f t="shared" si="40"/>
        <v>16</v>
      </c>
      <c r="Q32" s="15">
        <f t="shared" si="41"/>
        <v>1067</v>
      </c>
      <c r="R32" s="15" t="str">
        <f t="shared" si="42"/>
        <v>2B</v>
      </c>
      <c r="S32" s="131">
        <v>-10000</v>
      </c>
      <c r="T32" s="131"/>
      <c r="U32" s="131" t="str">
        <f>TEXT(DEC2HEX(65536 + S32), "0000")</f>
        <v>D8F0</v>
      </c>
      <c r="V32" s="72" t="s">
        <v>1610</v>
      </c>
      <c r="W32" s="72" t="s">
        <v>1572</v>
      </c>
    </row>
    <row r="33" spans="2:23" ht="16.5" customHeight="1">
      <c r="B33" s="14" t="s">
        <v>1713</v>
      </c>
      <c r="C33" s="14" t="str">
        <f t="shared" si="37"/>
        <v>FF01004DDCD802</v>
      </c>
      <c r="D33" s="67" t="s">
        <v>24</v>
      </c>
      <c r="E33" s="67" t="s">
        <v>16</v>
      </c>
      <c r="F33" s="67" t="s">
        <v>1520</v>
      </c>
      <c r="G33" s="67" t="s">
        <v>1705</v>
      </c>
      <c r="H33" s="67" t="s">
        <v>1706</v>
      </c>
      <c r="I33" s="14" t="str">
        <f t="shared" si="38"/>
        <v>02</v>
      </c>
      <c r="J33" s="15">
        <f t="shared" si="43"/>
        <v>1</v>
      </c>
      <c r="K33" s="15">
        <f t="shared" si="43"/>
        <v>0</v>
      </c>
      <c r="L33" s="15">
        <f t="shared" si="43"/>
        <v>77</v>
      </c>
      <c r="M33" s="15">
        <f t="shared" si="43"/>
        <v>220</v>
      </c>
      <c r="N33" s="15">
        <f t="shared" si="43"/>
        <v>216</v>
      </c>
      <c r="O33" s="15">
        <f t="shared" si="39"/>
        <v>514</v>
      </c>
      <c r="P33" s="15" t="str">
        <f t="shared" si="40"/>
        <v>02</v>
      </c>
      <c r="Q33" s="15">
        <f t="shared" si="41"/>
        <v>1027</v>
      </c>
      <c r="R33" s="15" t="str">
        <f t="shared" si="42"/>
        <v>03</v>
      </c>
      <c r="S33" s="131">
        <v>-9000</v>
      </c>
      <c r="T33" s="131"/>
      <c r="U33" s="131" t="str">
        <f>TEXT(DEC2HEX(65536 + S33), "0000")</f>
        <v>DCD8</v>
      </c>
      <c r="V33" s="72" t="s">
        <v>1610</v>
      </c>
      <c r="W33" s="72" t="s">
        <v>1572</v>
      </c>
    </row>
    <row r="34" spans="2:23" ht="16.5" customHeight="1">
      <c r="B34" s="14" t="s">
        <v>1714</v>
      </c>
      <c r="C34" s="14" t="str">
        <f t="shared" si="37"/>
        <v>FF01004D232899</v>
      </c>
      <c r="D34" s="67" t="s">
        <v>24</v>
      </c>
      <c r="E34" s="67" t="s">
        <v>16</v>
      </c>
      <c r="F34" s="67" t="s">
        <v>1520</v>
      </c>
      <c r="G34" s="67" t="s">
        <v>1703</v>
      </c>
      <c r="H34" s="67" t="s">
        <v>140</v>
      </c>
      <c r="I34" s="14" t="str">
        <f t="shared" si="38"/>
        <v>99</v>
      </c>
      <c r="J34" s="15">
        <f t="shared" si="43"/>
        <v>1</v>
      </c>
      <c r="K34" s="15">
        <f t="shared" si="43"/>
        <v>0</v>
      </c>
      <c r="L34" s="15">
        <f t="shared" si="43"/>
        <v>77</v>
      </c>
      <c r="M34" s="15">
        <f t="shared" si="43"/>
        <v>35</v>
      </c>
      <c r="N34" s="15">
        <f t="shared" si="43"/>
        <v>40</v>
      </c>
      <c r="O34" s="15">
        <f t="shared" si="39"/>
        <v>153</v>
      </c>
      <c r="P34" s="15" t="str">
        <f t="shared" si="40"/>
        <v>99</v>
      </c>
      <c r="Q34" s="15">
        <f t="shared" si="41"/>
        <v>305</v>
      </c>
      <c r="R34" s="15" t="str">
        <f t="shared" si="42"/>
        <v>31</v>
      </c>
      <c r="S34" s="131">
        <v>9000</v>
      </c>
      <c r="T34" s="131" t="str">
        <f>DEC2HEX(S34)</f>
        <v>2328</v>
      </c>
      <c r="V34" s="72" t="s">
        <v>1611</v>
      </c>
      <c r="W34" s="72" t="s">
        <v>1573</v>
      </c>
    </row>
    <row r="35" spans="2:23" ht="16.5" customHeight="1">
      <c r="B35" s="14" t="s">
        <v>1729</v>
      </c>
      <c r="C35" s="14" t="str">
        <f t="shared" si="37"/>
        <v>FF01004DDCD903</v>
      </c>
      <c r="D35" s="67" t="s">
        <v>24</v>
      </c>
      <c r="E35" s="67" t="s">
        <v>16</v>
      </c>
      <c r="F35" s="67" t="s">
        <v>1520</v>
      </c>
      <c r="G35" s="67" t="s">
        <v>1705</v>
      </c>
      <c r="H35" s="67" t="s">
        <v>1731</v>
      </c>
      <c r="I35" s="14" t="str">
        <f t="shared" si="38"/>
        <v>03</v>
      </c>
      <c r="J35" s="15">
        <f t="shared" ref="J35:J36" si="70">HEX2DEC(D35)</f>
        <v>1</v>
      </c>
      <c r="K35" s="15">
        <f t="shared" ref="K35:K36" si="71">HEX2DEC(E35)</f>
        <v>0</v>
      </c>
      <c r="L35" s="15">
        <f t="shared" ref="L35:L36" si="72">HEX2DEC(F35)</f>
        <v>77</v>
      </c>
      <c r="M35" s="15">
        <f t="shared" ref="M35:M36" si="73">HEX2DEC(G35)</f>
        <v>220</v>
      </c>
      <c r="N35" s="15">
        <f t="shared" ref="N35:N36" si="74">HEX2DEC(H35)</f>
        <v>217</v>
      </c>
      <c r="O35" s="15">
        <f t="shared" si="39"/>
        <v>515</v>
      </c>
      <c r="P35" s="15" t="str">
        <f t="shared" si="40"/>
        <v>03</v>
      </c>
      <c r="Q35" s="15">
        <f t="shared" si="41"/>
        <v>1029</v>
      </c>
      <c r="R35" s="15" t="str">
        <f t="shared" si="42"/>
        <v>05</v>
      </c>
      <c r="S35" s="131">
        <v>-8999</v>
      </c>
      <c r="T35" s="131"/>
      <c r="U35" s="131" t="str">
        <f>TEXT(DEC2HEX(65536 + S35), "0000")</f>
        <v>DCD9</v>
      </c>
      <c r="V35" s="72" t="s">
        <v>1610</v>
      </c>
      <c r="W35" s="72" t="s">
        <v>1572</v>
      </c>
    </row>
    <row r="36" spans="2:23" ht="16.5" customHeight="1">
      <c r="B36" s="14" t="s">
        <v>1730</v>
      </c>
      <c r="C36" s="14" t="str">
        <f t="shared" si="37"/>
        <v>FF01004D232798</v>
      </c>
      <c r="D36" s="67" t="s">
        <v>24</v>
      </c>
      <c r="E36" s="67" t="s">
        <v>16</v>
      </c>
      <c r="F36" s="67" t="s">
        <v>1520</v>
      </c>
      <c r="G36" s="67" t="s">
        <v>1703</v>
      </c>
      <c r="H36" s="67" t="s">
        <v>60</v>
      </c>
      <c r="I36" s="14" t="str">
        <f t="shared" si="38"/>
        <v>98</v>
      </c>
      <c r="J36" s="15">
        <f t="shared" si="70"/>
        <v>1</v>
      </c>
      <c r="K36" s="15">
        <f t="shared" si="71"/>
        <v>0</v>
      </c>
      <c r="L36" s="15">
        <f t="shared" si="72"/>
        <v>77</v>
      </c>
      <c r="M36" s="15">
        <f t="shared" si="73"/>
        <v>35</v>
      </c>
      <c r="N36" s="15">
        <f t="shared" si="74"/>
        <v>39</v>
      </c>
      <c r="O36" s="15">
        <f t="shared" si="39"/>
        <v>152</v>
      </c>
      <c r="P36" s="15" t="str">
        <f t="shared" si="40"/>
        <v>98</v>
      </c>
      <c r="Q36" s="15">
        <f t="shared" si="41"/>
        <v>303</v>
      </c>
      <c r="R36" s="15" t="str">
        <f t="shared" si="42"/>
        <v>2F</v>
      </c>
      <c r="S36" s="131">
        <v>8999</v>
      </c>
      <c r="T36" s="131" t="str">
        <f>DEC2HEX(S36)</f>
        <v>2327</v>
      </c>
      <c r="V36" s="72" t="s">
        <v>1611</v>
      </c>
      <c r="W36" s="72" t="s">
        <v>1573</v>
      </c>
    </row>
    <row r="37" spans="2:23" ht="16.5" customHeight="1">
      <c r="B37" s="14" t="s">
        <v>1734</v>
      </c>
      <c r="C37" s="14" t="str">
        <f t="shared" si="37"/>
        <v>FF01004DE4A8DA</v>
      </c>
      <c r="D37" s="67" t="s">
        <v>24</v>
      </c>
      <c r="E37" s="67" t="s">
        <v>16</v>
      </c>
      <c r="F37" s="67" t="s">
        <v>1520</v>
      </c>
      <c r="G37" s="67" t="s">
        <v>1735</v>
      </c>
      <c r="H37" s="67" t="s">
        <v>1736</v>
      </c>
      <c r="I37" s="14" t="str">
        <f t="shared" si="38"/>
        <v>DA</v>
      </c>
      <c r="J37" s="15">
        <f t="shared" ref="J37:J38" si="75">HEX2DEC(D37)</f>
        <v>1</v>
      </c>
      <c r="K37" s="15">
        <f t="shared" ref="K37:K38" si="76">HEX2DEC(E37)</f>
        <v>0</v>
      </c>
      <c r="L37" s="15">
        <f t="shared" ref="L37:L38" si="77">HEX2DEC(F37)</f>
        <v>77</v>
      </c>
      <c r="M37" s="15">
        <f t="shared" ref="M37:M38" si="78">HEX2DEC(G37)</f>
        <v>228</v>
      </c>
      <c r="N37" s="15">
        <f t="shared" ref="N37:N38" si="79">HEX2DEC(H37)</f>
        <v>168</v>
      </c>
      <c r="O37" s="15">
        <f t="shared" si="39"/>
        <v>474</v>
      </c>
      <c r="P37" s="15" t="str">
        <f t="shared" si="40"/>
        <v>DA</v>
      </c>
      <c r="Q37" s="15">
        <f t="shared" si="41"/>
        <v>947</v>
      </c>
      <c r="R37" s="15" t="str">
        <f t="shared" si="42"/>
        <v>B3</v>
      </c>
      <c r="S37" s="131">
        <v>-7000</v>
      </c>
      <c r="T37" s="131"/>
      <c r="U37" s="131" t="str">
        <f>TEXT(DEC2HEX(65536 + S37), "0000")</f>
        <v>E4A8</v>
      </c>
      <c r="V37" s="72" t="s">
        <v>1610</v>
      </c>
      <c r="W37" s="72" t="s">
        <v>1572</v>
      </c>
    </row>
    <row r="38" spans="2:23" ht="16.5" customHeight="1">
      <c r="B38" s="14" t="s">
        <v>1732</v>
      </c>
      <c r="C38" s="14" t="str">
        <f t="shared" si="37"/>
        <v>FF01004D1770D5</v>
      </c>
      <c r="D38" s="67" t="s">
        <v>24</v>
      </c>
      <c r="E38" s="67" t="s">
        <v>16</v>
      </c>
      <c r="F38" s="67" t="s">
        <v>1520</v>
      </c>
      <c r="G38" s="67" t="s">
        <v>131</v>
      </c>
      <c r="H38" s="67" t="s">
        <v>1733</v>
      </c>
      <c r="I38" s="14" t="str">
        <f t="shared" si="38"/>
        <v>D5</v>
      </c>
      <c r="J38" s="15">
        <f t="shared" si="75"/>
        <v>1</v>
      </c>
      <c r="K38" s="15">
        <f t="shared" si="76"/>
        <v>0</v>
      </c>
      <c r="L38" s="15">
        <f t="shared" si="77"/>
        <v>77</v>
      </c>
      <c r="M38" s="15">
        <f t="shared" si="78"/>
        <v>23</v>
      </c>
      <c r="N38" s="15">
        <f t="shared" si="79"/>
        <v>112</v>
      </c>
      <c r="O38" s="15">
        <f t="shared" si="39"/>
        <v>213</v>
      </c>
      <c r="P38" s="15" t="str">
        <f t="shared" si="40"/>
        <v>D5</v>
      </c>
      <c r="Q38" s="15">
        <f t="shared" si="41"/>
        <v>425</v>
      </c>
      <c r="R38" s="15" t="str">
        <f t="shared" si="42"/>
        <v>A9</v>
      </c>
      <c r="S38" s="131">
        <v>6000</v>
      </c>
      <c r="T38" s="131" t="str">
        <f>DEC2HEX(S38)</f>
        <v>1770</v>
      </c>
      <c r="V38" s="72" t="s">
        <v>1611</v>
      </c>
      <c r="W38" s="72" t="s">
        <v>1573</v>
      </c>
    </row>
    <row r="39" spans="2:23" ht="16.5" customHeight="1">
      <c r="B39" s="14" t="s">
        <v>1715</v>
      </c>
      <c r="C39" s="14" t="str">
        <f t="shared" si="37"/>
        <v>FF01004D0BB811</v>
      </c>
      <c r="D39" s="67" t="s">
        <v>24</v>
      </c>
      <c r="E39" s="67" t="s">
        <v>16</v>
      </c>
      <c r="F39" s="67" t="s">
        <v>1520</v>
      </c>
      <c r="G39" s="67" t="s">
        <v>1724</v>
      </c>
      <c r="H39" s="67" t="s">
        <v>1369</v>
      </c>
      <c r="I39" s="14" t="str">
        <f t="shared" si="38"/>
        <v>11</v>
      </c>
      <c r="J39" s="15">
        <f t="shared" ref="J39" si="80">HEX2DEC(D39)</f>
        <v>1</v>
      </c>
      <c r="K39" s="15">
        <f t="shared" ref="K39" si="81">HEX2DEC(E39)</f>
        <v>0</v>
      </c>
      <c r="L39" s="15">
        <f t="shared" ref="L39" si="82">HEX2DEC(F39)</f>
        <v>77</v>
      </c>
      <c r="M39" s="15">
        <f t="shared" ref="M39" si="83">HEX2DEC(G39)</f>
        <v>11</v>
      </c>
      <c r="N39" s="15">
        <f t="shared" ref="N39" si="84">HEX2DEC(H39)</f>
        <v>184</v>
      </c>
      <c r="O39" s="15">
        <f t="shared" si="39"/>
        <v>273</v>
      </c>
      <c r="P39" s="15" t="str">
        <f t="shared" si="40"/>
        <v>11</v>
      </c>
      <c r="Q39" s="15">
        <f t="shared" si="41"/>
        <v>545</v>
      </c>
      <c r="R39" s="15" t="str">
        <f t="shared" si="42"/>
        <v>21</v>
      </c>
      <c r="S39" s="131">
        <v>3000</v>
      </c>
      <c r="T39" s="131" t="str">
        <f>DEC2HEX(S39)</f>
        <v>BB8</v>
      </c>
      <c r="V39" s="72" t="s">
        <v>1610</v>
      </c>
      <c r="W39" s="72" t="s">
        <v>1572</v>
      </c>
    </row>
    <row r="40" spans="2:23" ht="16.5" customHeight="1">
      <c r="B40" s="14" t="s">
        <v>1716</v>
      </c>
      <c r="C40" s="14" t="str">
        <f t="shared" si="37"/>
        <v>FF01004DF4488A</v>
      </c>
      <c r="D40" s="67" t="s">
        <v>24</v>
      </c>
      <c r="E40" s="67" t="s">
        <v>16</v>
      </c>
      <c r="F40" s="67" t="s">
        <v>1520</v>
      </c>
      <c r="G40" s="67" t="s">
        <v>1725</v>
      </c>
      <c r="H40" s="67" t="s">
        <v>1726</v>
      </c>
      <c r="I40" s="14" t="str">
        <f t="shared" si="38"/>
        <v>8A</v>
      </c>
      <c r="J40" s="15">
        <f t="shared" ref="J40:J41" si="85">HEX2DEC(D40)</f>
        <v>1</v>
      </c>
      <c r="K40" s="15">
        <f t="shared" ref="K40:K41" si="86">HEX2DEC(E40)</f>
        <v>0</v>
      </c>
      <c r="L40" s="15">
        <f t="shared" ref="L40:L41" si="87">HEX2DEC(F40)</f>
        <v>77</v>
      </c>
      <c r="M40" s="15">
        <f t="shared" ref="M40:M41" si="88">HEX2DEC(G40)</f>
        <v>244</v>
      </c>
      <c r="N40" s="15">
        <f t="shared" ref="N40:N41" si="89">HEX2DEC(H40)</f>
        <v>72</v>
      </c>
      <c r="O40" s="15">
        <f t="shared" si="39"/>
        <v>394</v>
      </c>
      <c r="P40" s="15" t="str">
        <f t="shared" si="40"/>
        <v>8A</v>
      </c>
      <c r="Q40" s="15">
        <f t="shared" si="41"/>
        <v>787</v>
      </c>
      <c r="R40" s="15" t="str">
        <f t="shared" si="42"/>
        <v>13</v>
      </c>
      <c r="S40" s="131">
        <v>-3000</v>
      </c>
      <c r="T40" s="131"/>
      <c r="U40" s="131" t="str">
        <f>TEXT(DEC2HEX(65536 + S40), "0000")</f>
        <v>F448</v>
      </c>
      <c r="V40" s="72" t="s">
        <v>1610</v>
      </c>
      <c r="W40" s="72" t="s">
        <v>1572</v>
      </c>
    </row>
    <row r="41" spans="2:23" ht="16.5" customHeight="1">
      <c r="B41" s="14" t="s">
        <v>1519</v>
      </c>
      <c r="C41" s="14" t="str">
        <f t="shared" si="37"/>
        <v>FF01004D00004E</v>
      </c>
      <c r="D41" s="67" t="s">
        <v>24</v>
      </c>
      <c r="E41" s="67" t="s">
        <v>16</v>
      </c>
      <c r="F41" s="67" t="s">
        <v>1520</v>
      </c>
      <c r="G41" s="67" t="s">
        <v>16</v>
      </c>
      <c r="H41" s="67" t="s">
        <v>16</v>
      </c>
      <c r="I41" s="14" t="str">
        <f t="shared" si="38"/>
        <v>4E</v>
      </c>
      <c r="J41" s="15">
        <f t="shared" si="85"/>
        <v>1</v>
      </c>
      <c r="K41" s="15">
        <f t="shared" si="86"/>
        <v>0</v>
      </c>
      <c r="L41" s="15">
        <f t="shared" si="87"/>
        <v>77</v>
      </c>
      <c r="M41" s="15">
        <f t="shared" si="88"/>
        <v>0</v>
      </c>
      <c r="N41" s="15">
        <f t="shared" si="89"/>
        <v>0</v>
      </c>
      <c r="O41" s="15">
        <f t="shared" si="39"/>
        <v>78</v>
      </c>
      <c r="P41" s="15" t="str">
        <f t="shared" si="40"/>
        <v>4E</v>
      </c>
      <c r="Q41" s="15">
        <f t="shared" si="41"/>
        <v>155</v>
      </c>
      <c r="R41" s="15" t="str">
        <f t="shared" si="42"/>
        <v>9B</v>
      </c>
      <c r="S41" s="131">
        <v>0</v>
      </c>
      <c r="T41" s="131" t="str">
        <f>DEC2HEX(S41)</f>
        <v>0</v>
      </c>
      <c r="V41" s="72" t="s">
        <v>1611</v>
      </c>
      <c r="W41" s="72" t="s">
        <v>1573</v>
      </c>
    </row>
    <row r="42" spans="2:23" ht="16.5" customHeight="1">
      <c r="B42" s="14" t="s">
        <v>1717</v>
      </c>
      <c r="C42" s="14" t="str">
        <f t="shared" si="37"/>
        <v>FF01004D1194F3</v>
      </c>
      <c r="D42" s="67" t="s">
        <v>24</v>
      </c>
      <c r="E42" s="67" t="s">
        <v>16</v>
      </c>
      <c r="F42" s="67" t="s">
        <v>1520</v>
      </c>
      <c r="G42" s="67" t="s">
        <v>110</v>
      </c>
      <c r="H42" s="67" t="s">
        <v>176</v>
      </c>
      <c r="I42" s="14" t="str">
        <f t="shared" si="38"/>
        <v>F3</v>
      </c>
      <c r="J42" s="15">
        <f t="shared" si="43"/>
        <v>1</v>
      </c>
      <c r="K42" s="15">
        <f t="shared" si="43"/>
        <v>0</v>
      </c>
      <c r="L42" s="15">
        <f t="shared" si="43"/>
        <v>77</v>
      </c>
      <c r="M42" s="15">
        <f t="shared" si="43"/>
        <v>17</v>
      </c>
      <c r="N42" s="15">
        <f t="shared" si="43"/>
        <v>148</v>
      </c>
      <c r="O42" s="15">
        <f t="shared" si="39"/>
        <v>243</v>
      </c>
      <c r="P42" s="15" t="str">
        <f t="shared" si="40"/>
        <v>F3</v>
      </c>
      <c r="Q42" s="15">
        <f t="shared" si="41"/>
        <v>485</v>
      </c>
      <c r="R42" s="15" t="str">
        <f t="shared" si="42"/>
        <v>E5</v>
      </c>
      <c r="S42" s="131">
        <v>4500</v>
      </c>
      <c r="T42" s="131" t="str">
        <f>DEC2HEX(S42)</f>
        <v>1194</v>
      </c>
      <c r="V42" s="72" t="s">
        <v>1610</v>
      </c>
      <c r="W42" s="72" t="s">
        <v>1572</v>
      </c>
    </row>
    <row r="43" spans="2:23" ht="16.5" customHeight="1">
      <c r="B43" s="14" t="s">
        <v>1718</v>
      </c>
      <c r="C43" s="14" t="str">
        <f t="shared" si="37"/>
        <v>FF01004DEE6CA8</v>
      </c>
      <c r="D43" s="67" t="s">
        <v>24</v>
      </c>
      <c r="E43" s="67" t="s">
        <v>16</v>
      </c>
      <c r="F43" s="67" t="s">
        <v>1520</v>
      </c>
      <c r="G43" s="67" t="s">
        <v>1727</v>
      </c>
      <c r="H43" s="67" t="s">
        <v>1728</v>
      </c>
      <c r="I43" s="14" t="str">
        <f t="shared" si="38"/>
        <v>A8</v>
      </c>
      <c r="J43" s="15">
        <f t="shared" si="43"/>
        <v>1</v>
      </c>
      <c r="K43" s="15">
        <f t="shared" si="43"/>
        <v>0</v>
      </c>
      <c r="L43" s="15">
        <f t="shared" si="43"/>
        <v>77</v>
      </c>
      <c r="M43" s="15">
        <f t="shared" si="43"/>
        <v>238</v>
      </c>
      <c r="N43" s="15">
        <f t="shared" si="43"/>
        <v>108</v>
      </c>
      <c r="O43" s="15">
        <f t="shared" si="39"/>
        <v>424</v>
      </c>
      <c r="P43" s="15" t="str">
        <f t="shared" si="40"/>
        <v>A8</v>
      </c>
      <c r="Q43" s="15">
        <f t="shared" si="41"/>
        <v>847</v>
      </c>
      <c r="R43" s="15" t="str">
        <f t="shared" si="42"/>
        <v>4F</v>
      </c>
      <c r="S43" s="131">
        <v>-4500</v>
      </c>
      <c r="T43" s="131"/>
      <c r="U43" s="131" t="str">
        <f>TEXT(DEC2HEX(65536 + S43), "0000")</f>
        <v>EE6C</v>
      </c>
      <c r="V43" s="72" t="s">
        <v>1611</v>
      </c>
      <c r="W43" s="72" t="s">
        <v>1573</v>
      </c>
    </row>
    <row r="44" spans="2:23" ht="16.5" customHeight="1">
      <c r="B44" s="14" t="s">
        <v>1722</v>
      </c>
      <c r="C44" s="14" t="str">
        <f t="shared" si="37"/>
        <v>FF01004D271085</v>
      </c>
      <c r="D44" s="67" t="s">
        <v>24</v>
      </c>
      <c r="E44" s="67" t="s">
        <v>16</v>
      </c>
      <c r="F44" s="67" t="s">
        <v>1520</v>
      </c>
      <c r="G44" s="67" t="s">
        <v>60</v>
      </c>
      <c r="H44" s="67" t="s">
        <v>109</v>
      </c>
      <c r="I44" s="14" t="str">
        <f t="shared" si="38"/>
        <v>85</v>
      </c>
      <c r="J44" s="15">
        <f t="shared" ref="J44" si="90">HEX2DEC(D44)</f>
        <v>1</v>
      </c>
      <c r="K44" s="15">
        <f t="shared" ref="K44" si="91">HEX2DEC(E44)</f>
        <v>0</v>
      </c>
      <c r="L44" s="15">
        <f t="shared" ref="L44" si="92">HEX2DEC(F44)</f>
        <v>77</v>
      </c>
      <c r="M44" s="15">
        <f t="shared" ref="M44" si="93">HEX2DEC(G44)</f>
        <v>39</v>
      </c>
      <c r="N44" s="15">
        <f t="shared" ref="N44" si="94">HEX2DEC(H44)</f>
        <v>16</v>
      </c>
      <c r="O44" s="15">
        <f t="shared" si="39"/>
        <v>133</v>
      </c>
      <c r="P44" s="15" t="str">
        <f t="shared" si="40"/>
        <v>85</v>
      </c>
      <c r="Q44" s="15">
        <f t="shared" si="41"/>
        <v>265</v>
      </c>
      <c r="R44" s="15" t="str">
        <f t="shared" si="42"/>
        <v>09</v>
      </c>
      <c r="S44" s="131">
        <v>10000</v>
      </c>
      <c r="T44" s="131" t="str">
        <f>DEC2HEX(S44)</f>
        <v>2710</v>
      </c>
      <c r="V44" s="72" t="s">
        <v>1611</v>
      </c>
      <c r="W44" s="72" t="s">
        <v>1573</v>
      </c>
    </row>
    <row r="45" spans="2:23" ht="16.5" customHeight="1">
      <c r="B45" s="123" t="s">
        <v>1521</v>
      </c>
      <c r="C45" s="14" t="str">
        <f t="shared" ref="C45:C53" si="95">"FF"&amp;D45&amp;E45&amp;""&amp;F45&amp;G45&amp;H45&amp;I45</f>
        <v>FF010053000054</v>
      </c>
      <c r="D45" s="67" t="s">
        <v>24</v>
      </c>
      <c r="E45" s="67" t="s">
        <v>16</v>
      </c>
      <c r="F45" s="67" t="s">
        <v>168</v>
      </c>
      <c r="G45" s="67" t="s">
        <v>16</v>
      </c>
      <c r="H45" s="67" t="s">
        <v>16</v>
      </c>
      <c r="I45" s="14" t="str">
        <f t="shared" ref="I45:I53" si="96">P45</f>
        <v>54</v>
      </c>
      <c r="J45" s="15">
        <f t="shared" ref="J45:J53" si="97">HEX2DEC(D45)</f>
        <v>1</v>
      </c>
      <c r="K45" s="15">
        <f t="shared" ref="K45:K53" si="98">HEX2DEC(E45)</f>
        <v>0</v>
      </c>
      <c r="L45" s="15">
        <f t="shared" ref="L45:L53" si="99">HEX2DEC(F45)</f>
        <v>83</v>
      </c>
      <c r="M45" s="15">
        <f t="shared" ref="M45:M53" si="100">HEX2DEC(G45)</f>
        <v>0</v>
      </c>
      <c r="N45" s="15">
        <f t="shared" ref="N45:N53" si="101">HEX2DEC(H45)</f>
        <v>0</v>
      </c>
      <c r="O45" s="15">
        <f t="shared" ref="O45:O53" si="102">SUM(J45:N45)</f>
        <v>84</v>
      </c>
      <c r="P45" s="15" t="str">
        <f t="shared" ref="P45:P53" si="103">REPT("0",2-LEN(RIGHT(DEC2HEX(O45), 2)))&amp;RIGHT(DEC2HEX(O45), 2)</f>
        <v>54</v>
      </c>
      <c r="Q45" s="15">
        <f t="shared" ref="Q45:Q53" si="104">SUM(K45:P45)</f>
        <v>167</v>
      </c>
      <c r="R45" s="15" t="str">
        <f t="shared" ref="R45:R53" si="105">REPT("0",2-LEN(RIGHT(DEC2HEX(Q45), 2)))&amp;RIGHT(DEC2HEX(Q45), 2)</f>
        <v>A7</v>
      </c>
      <c r="S45" s="131"/>
      <c r="T45" s="131"/>
      <c r="V45" s="72" t="s">
        <v>1612</v>
      </c>
      <c r="W45" s="72" t="s">
        <v>1574</v>
      </c>
    </row>
    <row r="46" spans="2:23" ht="16.5" customHeight="1">
      <c r="B46" s="14" t="s">
        <v>1522</v>
      </c>
      <c r="C46" s="14" t="str">
        <f t="shared" si="95"/>
        <v>FF010005000107</v>
      </c>
      <c r="D46" s="67" t="s">
        <v>24</v>
      </c>
      <c r="E46" s="67" t="s">
        <v>16</v>
      </c>
      <c r="F46" s="67" t="s">
        <v>92</v>
      </c>
      <c r="G46" s="67" t="s">
        <v>16</v>
      </c>
      <c r="H46" s="67" t="s">
        <v>24</v>
      </c>
      <c r="I46" s="14" t="str">
        <f t="shared" si="96"/>
        <v>07</v>
      </c>
      <c r="J46" s="15">
        <f t="shared" si="97"/>
        <v>1</v>
      </c>
      <c r="K46" s="15">
        <f t="shared" si="98"/>
        <v>0</v>
      </c>
      <c r="L46" s="15">
        <f t="shared" si="99"/>
        <v>5</v>
      </c>
      <c r="M46" s="15">
        <f t="shared" si="100"/>
        <v>0</v>
      </c>
      <c r="N46" s="15">
        <f t="shared" si="101"/>
        <v>1</v>
      </c>
      <c r="O46" s="15">
        <f t="shared" si="102"/>
        <v>7</v>
      </c>
      <c r="P46" s="15" t="str">
        <f t="shared" si="103"/>
        <v>07</v>
      </c>
      <c r="Q46" s="15">
        <f t="shared" si="104"/>
        <v>13</v>
      </c>
      <c r="R46" s="15" t="str">
        <f t="shared" si="105"/>
        <v>0D</v>
      </c>
      <c r="S46" s="131"/>
      <c r="T46" s="131"/>
      <c r="V46" s="72" t="s">
        <v>1613</v>
      </c>
      <c r="W46" s="72" t="s">
        <v>1575</v>
      </c>
    </row>
    <row r="47" spans="2:23" ht="16.5" customHeight="1">
      <c r="B47" s="14" t="s">
        <v>1523</v>
      </c>
      <c r="C47" s="14" t="str">
        <f t="shared" si="95"/>
        <v>FF01000500FF05</v>
      </c>
      <c r="D47" s="67" t="s">
        <v>24</v>
      </c>
      <c r="E47" s="67" t="s">
        <v>16</v>
      </c>
      <c r="F47" s="67" t="s">
        <v>92</v>
      </c>
      <c r="G47" s="67" t="s">
        <v>16</v>
      </c>
      <c r="H47" s="67" t="s">
        <v>9</v>
      </c>
      <c r="I47" s="14" t="str">
        <f t="shared" si="96"/>
        <v>05</v>
      </c>
      <c r="J47" s="15">
        <f t="shared" si="97"/>
        <v>1</v>
      </c>
      <c r="K47" s="15">
        <f t="shared" si="98"/>
        <v>0</v>
      </c>
      <c r="L47" s="15">
        <f t="shared" si="99"/>
        <v>5</v>
      </c>
      <c r="M47" s="15">
        <f t="shared" si="100"/>
        <v>0</v>
      </c>
      <c r="N47" s="15">
        <f t="shared" si="101"/>
        <v>255</v>
      </c>
      <c r="O47" s="15">
        <f t="shared" si="102"/>
        <v>261</v>
      </c>
      <c r="P47" s="15" t="str">
        <f t="shared" si="103"/>
        <v>05</v>
      </c>
      <c r="Q47" s="15">
        <f t="shared" si="104"/>
        <v>521</v>
      </c>
      <c r="R47" s="15" t="str">
        <f t="shared" si="105"/>
        <v>09</v>
      </c>
      <c r="S47" s="131"/>
      <c r="T47" s="131"/>
      <c r="V47" s="72" t="s">
        <v>1614</v>
      </c>
      <c r="W47" s="72" t="s">
        <v>1576</v>
      </c>
    </row>
    <row r="48" spans="2:23" ht="16.5" customHeight="1">
      <c r="B48" s="14" t="s">
        <v>1524</v>
      </c>
      <c r="C48" s="14" t="str">
        <f t="shared" si="95"/>
        <v>FF010700000109</v>
      </c>
      <c r="D48" s="67" t="s">
        <v>24</v>
      </c>
      <c r="E48" s="67" t="s">
        <v>101</v>
      </c>
      <c r="F48" s="67" t="s">
        <v>16</v>
      </c>
      <c r="G48" s="67" t="s">
        <v>16</v>
      </c>
      <c r="H48" s="67" t="s">
        <v>24</v>
      </c>
      <c r="I48" s="14" t="str">
        <f t="shared" si="96"/>
        <v>09</v>
      </c>
      <c r="J48" s="15">
        <f t="shared" si="97"/>
        <v>1</v>
      </c>
      <c r="K48" s="15">
        <f t="shared" si="98"/>
        <v>7</v>
      </c>
      <c r="L48" s="15">
        <f t="shared" si="99"/>
        <v>0</v>
      </c>
      <c r="M48" s="15">
        <f t="shared" si="100"/>
        <v>0</v>
      </c>
      <c r="N48" s="15">
        <f t="shared" si="101"/>
        <v>1</v>
      </c>
      <c r="O48" s="15">
        <f t="shared" si="102"/>
        <v>9</v>
      </c>
      <c r="P48" s="15" t="str">
        <f t="shared" si="103"/>
        <v>09</v>
      </c>
      <c r="Q48" s="15">
        <f t="shared" si="104"/>
        <v>17</v>
      </c>
      <c r="R48" s="15" t="str">
        <f t="shared" si="105"/>
        <v>11</v>
      </c>
      <c r="S48" s="131"/>
      <c r="T48" s="131"/>
      <c r="V48" s="72" t="s">
        <v>1615</v>
      </c>
      <c r="W48" s="72" t="s">
        <v>1577</v>
      </c>
    </row>
    <row r="49" spans="2:23" ht="16.5" customHeight="1">
      <c r="B49" s="14" t="s">
        <v>1525</v>
      </c>
      <c r="C49" s="14" t="str">
        <f t="shared" si="95"/>
        <v>FF01070000FF07</v>
      </c>
      <c r="D49" s="67" t="s">
        <v>24</v>
      </c>
      <c r="E49" s="67" t="s">
        <v>101</v>
      </c>
      <c r="F49" s="67" t="s">
        <v>16</v>
      </c>
      <c r="G49" s="67" t="s">
        <v>16</v>
      </c>
      <c r="H49" s="67" t="s">
        <v>9</v>
      </c>
      <c r="I49" s="14" t="str">
        <f t="shared" si="96"/>
        <v>07</v>
      </c>
      <c r="J49" s="15">
        <f t="shared" si="97"/>
        <v>1</v>
      </c>
      <c r="K49" s="15">
        <f t="shared" si="98"/>
        <v>7</v>
      </c>
      <c r="L49" s="15">
        <f t="shared" si="99"/>
        <v>0</v>
      </c>
      <c r="M49" s="15">
        <f t="shared" si="100"/>
        <v>0</v>
      </c>
      <c r="N49" s="15">
        <f t="shared" si="101"/>
        <v>255</v>
      </c>
      <c r="O49" s="15">
        <f t="shared" si="102"/>
        <v>263</v>
      </c>
      <c r="P49" s="15" t="str">
        <f t="shared" si="103"/>
        <v>07</v>
      </c>
      <c r="Q49" s="15">
        <f t="shared" si="104"/>
        <v>525</v>
      </c>
      <c r="R49" s="15" t="str">
        <f t="shared" si="105"/>
        <v>0D</v>
      </c>
      <c r="S49" s="131"/>
      <c r="T49" s="131"/>
      <c r="V49" s="72" t="s">
        <v>1616</v>
      </c>
      <c r="W49" s="72" t="s">
        <v>1578</v>
      </c>
    </row>
    <row r="50" spans="2:23" ht="16.5" customHeight="1">
      <c r="B50" s="14" t="s">
        <v>1527</v>
      </c>
      <c r="C50" s="14" t="str">
        <f t="shared" si="95"/>
        <v>FF01090000010B</v>
      </c>
      <c r="D50" s="67" t="s">
        <v>24</v>
      </c>
      <c r="E50" s="67" t="s">
        <v>1526</v>
      </c>
      <c r="F50" s="67" t="s">
        <v>16</v>
      </c>
      <c r="G50" s="67" t="s">
        <v>16</v>
      </c>
      <c r="H50" s="67" t="s">
        <v>24</v>
      </c>
      <c r="I50" s="14" t="str">
        <f t="shared" si="96"/>
        <v>0B</v>
      </c>
      <c r="J50" s="15">
        <f t="shared" si="97"/>
        <v>1</v>
      </c>
      <c r="K50" s="15">
        <f t="shared" si="98"/>
        <v>9</v>
      </c>
      <c r="L50" s="15">
        <f t="shared" si="99"/>
        <v>0</v>
      </c>
      <c r="M50" s="15">
        <f t="shared" si="100"/>
        <v>0</v>
      </c>
      <c r="N50" s="15">
        <f t="shared" si="101"/>
        <v>1</v>
      </c>
      <c r="O50" s="15">
        <f t="shared" si="102"/>
        <v>11</v>
      </c>
      <c r="P50" s="15" t="str">
        <f t="shared" si="103"/>
        <v>0B</v>
      </c>
      <c r="Q50" s="15">
        <f t="shared" si="104"/>
        <v>21</v>
      </c>
      <c r="R50" s="15" t="str">
        <f t="shared" si="105"/>
        <v>15</v>
      </c>
      <c r="S50" s="131"/>
      <c r="T50" s="131"/>
      <c r="V50" s="72" t="s">
        <v>1617</v>
      </c>
      <c r="W50" s="72" t="s">
        <v>1579</v>
      </c>
    </row>
    <row r="51" spans="2:23" ht="16.5" customHeight="1">
      <c r="B51" s="14" t="s">
        <v>1528</v>
      </c>
      <c r="C51" s="14" t="str">
        <f t="shared" si="95"/>
        <v>FF01090000FF09</v>
      </c>
      <c r="D51" s="67" t="s">
        <v>24</v>
      </c>
      <c r="E51" s="67" t="s">
        <v>1526</v>
      </c>
      <c r="F51" s="67" t="s">
        <v>16</v>
      </c>
      <c r="G51" s="67" t="s">
        <v>16</v>
      </c>
      <c r="H51" s="67" t="s">
        <v>9</v>
      </c>
      <c r="I51" s="14" t="str">
        <f t="shared" si="96"/>
        <v>09</v>
      </c>
      <c r="J51" s="15">
        <f t="shared" si="97"/>
        <v>1</v>
      </c>
      <c r="K51" s="15">
        <f t="shared" si="98"/>
        <v>9</v>
      </c>
      <c r="L51" s="15">
        <f t="shared" si="99"/>
        <v>0</v>
      </c>
      <c r="M51" s="15">
        <f t="shared" si="100"/>
        <v>0</v>
      </c>
      <c r="N51" s="15">
        <f t="shared" si="101"/>
        <v>255</v>
      </c>
      <c r="O51" s="15">
        <f t="shared" si="102"/>
        <v>265</v>
      </c>
      <c r="P51" s="15" t="str">
        <f t="shared" si="103"/>
        <v>09</v>
      </c>
      <c r="Q51" s="15">
        <f t="shared" si="104"/>
        <v>529</v>
      </c>
      <c r="R51" s="15" t="str">
        <f t="shared" si="105"/>
        <v>11</v>
      </c>
      <c r="S51" s="131"/>
      <c r="T51" s="131"/>
      <c r="V51" s="72" t="s">
        <v>1618</v>
      </c>
      <c r="W51" s="72" t="s">
        <v>1580</v>
      </c>
    </row>
    <row r="52" spans="2:23" ht="16.5" customHeight="1">
      <c r="B52" s="14" t="s">
        <v>1529</v>
      </c>
      <c r="C52" s="14" t="str">
        <f t="shared" si="95"/>
        <v>FF01004900004A</v>
      </c>
      <c r="D52" s="67" t="s">
        <v>24</v>
      </c>
      <c r="E52" s="67" t="s">
        <v>16</v>
      </c>
      <c r="F52" s="67" t="s">
        <v>1530</v>
      </c>
      <c r="G52" s="67" t="s">
        <v>16</v>
      </c>
      <c r="H52" s="67" t="s">
        <v>16</v>
      </c>
      <c r="I52" s="14" t="str">
        <f t="shared" si="96"/>
        <v>4A</v>
      </c>
      <c r="J52" s="15">
        <f t="shared" si="97"/>
        <v>1</v>
      </c>
      <c r="K52" s="15">
        <f t="shared" si="98"/>
        <v>0</v>
      </c>
      <c r="L52" s="15">
        <f t="shared" si="99"/>
        <v>73</v>
      </c>
      <c r="M52" s="15">
        <f t="shared" si="100"/>
        <v>0</v>
      </c>
      <c r="N52" s="15">
        <f t="shared" si="101"/>
        <v>0</v>
      </c>
      <c r="O52" s="15">
        <f t="shared" si="102"/>
        <v>74</v>
      </c>
      <c r="P52" s="15" t="str">
        <f t="shared" si="103"/>
        <v>4A</v>
      </c>
      <c r="Q52" s="15">
        <f t="shared" si="104"/>
        <v>147</v>
      </c>
      <c r="R52" s="15" t="str">
        <f t="shared" si="105"/>
        <v>93</v>
      </c>
      <c r="S52" s="131"/>
      <c r="T52" s="131"/>
      <c r="V52" s="72" t="s">
        <v>1619</v>
      </c>
      <c r="W52" s="72" t="s">
        <v>1581</v>
      </c>
    </row>
    <row r="53" spans="2:23" ht="16.5" customHeight="1">
      <c r="B53" s="14" t="s">
        <v>1531</v>
      </c>
      <c r="C53" s="14" t="str">
        <f t="shared" si="95"/>
        <v>FF010047000048</v>
      </c>
      <c r="D53" s="67" t="s">
        <v>24</v>
      </c>
      <c r="E53" s="67" t="s">
        <v>16</v>
      </c>
      <c r="F53" s="67" t="s">
        <v>1532</v>
      </c>
      <c r="G53" s="67" t="s">
        <v>16</v>
      </c>
      <c r="H53" s="67" t="s">
        <v>16</v>
      </c>
      <c r="I53" s="14" t="str">
        <f t="shared" si="96"/>
        <v>48</v>
      </c>
      <c r="J53" s="15">
        <f t="shared" si="97"/>
        <v>1</v>
      </c>
      <c r="K53" s="15">
        <f t="shared" si="98"/>
        <v>0</v>
      </c>
      <c r="L53" s="15">
        <f t="shared" si="99"/>
        <v>71</v>
      </c>
      <c r="M53" s="15">
        <f t="shared" si="100"/>
        <v>0</v>
      </c>
      <c r="N53" s="15">
        <f t="shared" si="101"/>
        <v>0</v>
      </c>
      <c r="O53" s="15">
        <f t="shared" si="102"/>
        <v>72</v>
      </c>
      <c r="P53" s="15" t="str">
        <f t="shared" si="103"/>
        <v>48</v>
      </c>
      <c r="Q53" s="15">
        <f t="shared" si="104"/>
        <v>143</v>
      </c>
      <c r="R53" s="15" t="str">
        <f t="shared" si="105"/>
        <v>8F</v>
      </c>
      <c r="S53" s="131"/>
      <c r="T53" s="131"/>
      <c r="V53" s="72" t="s">
        <v>1620</v>
      </c>
      <c r="W53" s="72" t="s">
        <v>1582</v>
      </c>
    </row>
    <row r="54" spans="2:23" s="127" customFormat="1" ht="16.5" customHeight="1">
      <c r="B54" s="124" t="s">
        <v>1622</v>
      </c>
      <c r="C54" s="124" t="s">
        <v>1624</v>
      </c>
      <c r="D54" s="125"/>
      <c r="E54" s="125"/>
      <c r="F54" s="125"/>
      <c r="G54" s="125"/>
      <c r="H54" s="125"/>
      <c r="I54" s="124"/>
      <c r="J54" s="126"/>
      <c r="K54" s="126"/>
      <c r="L54" s="126"/>
      <c r="M54" s="126"/>
      <c r="N54" s="126"/>
      <c r="O54" s="126"/>
      <c r="P54" s="126"/>
      <c r="Q54" s="126"/>
      <c r="R54" s="126"/>
      <c r="S54" s="130"/>
      <c r="T54" s="130"/>
      <c r="V54" s="128" t="s">
        <v>1621</v>
      </c>
      <c r="W54" s="128" t="s">
        <v>1623</v>
      </c>
    </row>
    <row r="55" spans="2:23" s="2" customFormat="1" ht="16.5" customHeight="1">
      <c r="B55" s="14" t="s">
        <v>1654</v>
      </c>
      <c r="C55" s="14" t="str">
        <f>"FF"&amp;D55&amp;E55&amp;""&amp;F55&amp;G55&amp;H55&amp;I55</f>
        <v>FF020000000002</v>
      </c>
      <c r="D55" s="67" t="s">
        <v>17</v>
      </c>
      <c r="E55" s="67" t="s">
        <v>16</v>
      </c>
      <c r="F55" s="67" t="s">
        <v>16</v>
      </c>
      <c r="G55" s="67" t="s">
        <v>16</v>
      </c>
      <c r="H55" s="67" t="s">
        <v>16</v>
      </c>
      <c r="I55" s="14" t="str">
        <f>P55</f>
        <v>02</v>
      </c>
      <c r="J55" s="15">
        <f>HEX2DEC(D55)</f>
        <v>2</v>
      </c>
      <c r="K55" s="15">
        <f>HEX2DEC(E55)</f>
        <v>0</v>
      </c>
      <c r="L55" s="15">
        <f>HEX2DEC(F55)</f>
        <v>0</v>
      </c>
      <c r="M55" s="15">
        <f>HEX2DEC(G55)</f>
        <v>0</v>
      </c>
      <c r="N55" s="15">
        <f t="shared" ref="N55" si="106">SUM(J55:M55)</f>
        <v>2</v>
      </c>
      <c r="O55" s="15">
        <f t="shared" ref="O55" si="107">SUM(K55:N55)</f>
        <v>2</v>
      </c>
      <c r="P55" s="15" t="str">
        <f>REPT("0",2-LEN(RIGHT(DEC2HEX(N55), 2)))&amp;RIGHT(DEC2HEX(N55), 2)</f>
        <v>02</v>
      </c>
      <c r="Q55" s="15">
        <f>SUM(K55:P55)</f>
        <v>4</v>
      </c>
      <c r="R55" s="15" t="str">
        <f>REPT("0",2-LEN(RIGHT(DEC2HEX(Q55), 2)))&amp;RIGHT(DEC2HEX(Q55), 2)</f>
        <v>04</v>
      </c>
      <c r="S55" s="131"/>
      <c r="T55" s="131"/>
      <c r="V55" s="72" t="s">
        <v>1653</v>
      </c>
      <c r="W55" s="72" t="s">
        <v>1549</v>
      </c>
    </row>
    <row r="56" spans="2:23" ht="16.5" customHeight="1">
      <c r="B56" s="14" t="s">
        <v>1510</v>
      </c>
      <c r="C56" s="14" t="str">
        <f t="shared" si="10"/>
        <v>FF020020000022</v>
      </c>
      <c r="D56" s="67" t="s">
        <v>17</v>
      </c>
      <c r="E56" s="67" t="s">
        <v>16</v>
      </c>
      <c r="F56" s="67">
        <v>20</v>
      </c>
      <c r="G56" s="67" t="s">
        <v>16</v>
      </c>
      <c r="H56" s="67" t="s">
        <v>16</v>
      </c>
      <c r="I56" s="14" t="str">
        <f t="shared" si="11"/>
        <v>22</v>
      </c>
      <c r="J56" s="15">
        <f t="shared" si="12"/>
        <v>2</v>
      </c>
      <c r="K56" s="15">
        <f t="shared" si="13"/>
        <v>0</v>
      </c>
      <c r="L56" s="15">
        <f t="shared" si="14"/>
        <v>32</v>
      </c>
      <c r="M56" s="15">
        <f t="shared" si="15"/>
        <v>0</v>
      </c>
      <c r="N56" s="15">
        <f t="shared" si="16"/>
        <v>0</v>
      </c>
      <c r="O56" s="15">
        <f t="shared" si="17"/>
        <v>34</v>
      </c>
      <c r="P56" s="15" t="str">
        <f t="shared" si="9"/>
        <v>22</v>
      </c>
      <c r="Q56" s="15">
        <f t="shared" si="18"/>
        <v>66</v>
      </c>
      <c r="R56" s="15" t="str">
        <f t="shared" si="2"/>
        <v>42</v>
      </c>
      <c r="S56" s="131"/>
      <c r="T56" s="131"/>
      <c r="V56" s="72" t="s">
        <v>1592</v>
      </c>
      <c r="W56" s="72" t="s">
        <v>1550</v>
      </c>
    </row>
    <row r="57" spans="2:23" ht="16.5" customHeight="1">
      <c r="B57" s="14" t="s">
        <v>1511</v>
      </c>
      <c r="C57" s="14" t="str">
        <f t="shared" si="10"/>
        <v>FF020040000042</v>
      </c>
      <c r="D57" s="67" t="s">
        <v>17</v>
      </c>
      <c r="E57" s="67" t="s">
        <v>16</v>
      </c>
      <c r="F57" s="67" t="s">
        <v>1509</v>
      </c>
      <c r="G57" s="67" t="s">
        <v>16</v>
      </c>
      <c r="H57" s="67" t="s">
        <v>16</v>
      </c>
      <c r="I57" s="14" t="str">
        <f t="shared" ref="I57:I76" si="108">P57</f>
        <v>42</v>
      </c>
      <c r="J57" s="15">
        <f t="shared" ref="J57:J76" si="109">HEX2DEC(D57)</f>
        <v>2</v>
      </c>
      <c r="K57" s="15">
        <f t="shared" ref="K57:K76" si="110">HEX2DEC(E57)</f>
        <v>0</v>
      </c>
      <c r="L57" s="15">
        <f t="shared" ref="L57:L76" si="111">HEX2DEC(F57)</f>
        <v>64</v>
      </c>
      <c r="M57" s="15">
        <f t="shared" ref="M57:M76" si="112">HEX2DEC(G57)</f>
        <v>0</v>
      </c>
      <c r="N57" s="15">
        <f t="shared" ref="N57:N76" si="113">HEX2DEC(H57)</f>
        <v>0</v>
      </c>
      <c r="O57" s="15">
        <f t="shared" ref="O57:O76" si="114">SUM(J57:N57)</f>
        <v>66</v>
      </c>
      <c r="P57" s="15" t="str">
        <f t="shared" si="9"/>
        <v>42</v>
      </c>
      <c r="Q57" s="15">
        <f t="shared" ref="Q57:Q76" si="115">SUM(K57:P57)</f>
        <v>130</v>
      </c>
      <c r="R57" s="15" t="str">
        <f t="shared" si="2"/>
        <v>82</v>
      </c>
      <c r="S57" s="131"/>
      <c r="T57" s="131"/>
      <c r="V57" s="72" t="s">
        <v>1593</v>
      </c>
      <c r="W57" s="72" t="s">
        <v>1551</v>
      </c>
    </row>
    <row r="58" spans="2:23" ht="16.5" customHeight="1">
      <c r="B58" s="14" t="s">
        <v>1512</v>
      </c>
      <c r="C58" s="14" t="str">
        <f t="shared" si="10"/>
        <v>FF020080000082</v>
      </c>
      <c r="D58" s="67" t="s">
        <v>17</v>
      </c>
      <c r="E58" s="67" t="s">
        <v>16</v>
      </c>
      <c r="F58" s="67" t="s">
        <v>43</v>
      </c>
      <c r="G58" s="67" t="s">
        <v>16</v>
      </c>
      <c r="H58" s="67" t="s">
        <v>16</v>
      </c>
      <c r="I58" s="14" t="str">
        <f t="shared" si="108"/>
        <v>82</v>
      </c>
      <c r="J58" s="15">
        <f t="shared" si="109"/>
        <v>2</v>
      </c>
      <c r="K58" s="15">
        <f t="shared" si="110"/>
        <v>0</v>
      </c>
      <c r="L58" s="15">
        <f t="shared" si="111"/>
        <v>128</v>
      </c>
      <c r="M58" s="15">
        <f t="shared" si="112"/>
        <v>0</v>
      </c>
      <c r="N58" s="15">
        <f t="shared" si="113"/>
        <v>0</v>
      </c>
      <c r="O58" s="15">
        <f t="shared" si="114"/>
        <v>130</v>
      </c>
      <c r="P58" s="15" t="str">
        <f t="shared" si="9"/>
        <v>82</v>
      </c>
      <c r="Q58" s="15">
        <f t="shared" si="115"/>
        <v>258</v>
      </c>
      <c r="R58" s="15" t="str">
        <f t="shared" si="2"/>
        <v>02</v>
      </c>
      <c r="S58" s="131"/>
      <c r="T58" s="131"/>
      <c r="V58" s="72" t="s">
        <v>1594</v>
      </c>
      <c r="W58" s="72" t="s">
        <v>1552</v>
      </c>
    </row>
    <row r="59" spans="2:23" ht="16.5" customHeight="1">
      <c r="B59" s="14" t="s">
        <v>1513</v>
      </c>
      <c r="C59" s="14" t="str">
        <f t="shared" si="10"/>
        <v>FF020100000003</v>
      </c>
      <c r="D59" s="67" t="s">
        <v>17</v>
      </c>
      <c r="E59" s="67" t="s">
        <v>24</v>
      </c>
      <c r="F59" s="67" t="s">
        <v>16</v>
      </c>
      <c r="G59" s="67" t="s">
        <v>16</v>
      </c>
      <c r="H59" s="67" t="s">
        <v>16</v>
      </c>
      <c r="I59" s="14" t="str">
        <f t="shared" si="108"/>
        <v>03</v>
      </c>
      <c r="J59" s="15">
        <f t="shared" si="109"/>
        <v>2</v>
      </c>
      <c r="K59" s="15">
        <f t="shared" si="110"/>
        <v>1</v>
      </c>
      <c r="L59" s="15">
        <f t="shared" si="111"/>
        <v>0</v>
      </c>
      <c r="M59" s="15">
        <f t="shared" si="112"/>
        <v>0</v>
      </c>
      <c r="N59" s="15">
        <f t="shared" si="113"/>
        <v>0</v>
      </c>
      <c r="O59" s="15">
        <f t="shared" si="114"/>
        <v>3</v>
      </c>
      <c r="P59" s="15" t="str">
        <f t="shared" si="9"/>
        <v>03</v>
      </c>
      <c r="Q59" s="15">
        <f t="shared" si="115"/>
        <v>4</v>
      </c>
      <c r="R59" s="15" t="str">
        <f t="shared" si="2"/>
        <v>04</v>
      </c>
      <c r="S59" s="131"/>
      <c r="T59" s="131"/>
      <c r="V59" s="72" t="s">
        <v>1595</v>
      </c>
      <c r="W59" s="72" t="s">
        <v>1553</v>
      </c>
    </row>
    <row r="60" spans="2:23" ht="16.5" customHeight="1">
      <c r="B60" s="14" t="s">
        <v>1514</v>
      </c>
      <c r="C60" s="14" t="str">
        <f t="shared" si="10"/>
        <v>FF02002500042B</v>
      </c>
      <c r="D60" s="67" t="s">
        <v>17</v>
      </c>
      <c r="E60" s="67" t="s">
        <v>16</v>
      </c>
      <c r="F60" s="67" t="s">
        <v>51</v>
      </c>
      <c r="G60" s="67" t="s">
        <v>16</v>
      </c>
      <c r="H60" s="67" t="s">
        <v>67</v>
      </c>
      <c r="I60" s="14" t="str">
        <f t="shared" si="108"/>
        <v>2B</v>
      </c>
      <c r="J60" s="15">
        <f t="shared" si="109"/>
        <v>2</v>
      </c>
      <c r="K60" s="15">
        <f t="shared" si="110"/>
        <v>0</v>
      </c>
      <c r="L60" s="15">
        <f t="shared" si="111"/>
        <v>37</v>
      </c>
      <c r="M60" s="15">
        <f t="shared" si="112"/>
        <v>0</v>
      </c>
      <c r="N60" s="15">
        <f t="shared" si="113"/>
        <v>4</v>
      </c>
      <c r="O60" s="15">
        <f t="shared" si="114"/>
        <v>43</v>
      </c>
      <c r="P60" s="15" t="str">
        <f t="shared" si="9"/>
        <v>2B</v>
      </c>
      <c r="Q60" s="15">
        <f t="shared" si="115"/>
        <v>84</v>
      </c>
      <c r="R60" s="15" t="str">
        <f t="shared" si="2"/>
        <v>54</v>
      </c>
      <c r="S60" s="131"/>
      <c r="T60" s="131"/>
      <c r="V60" s="72" t="s">
        <v>1596</v>
      </c>
      <c r="W60" s="72" t="s">
        <v>1554</v>
      </c>
    </row>
    <row r="61" spans="2:23" ht="16.5" customHeight="1">
      <c r="B61" s="14" t="s">
        <v>1695</v>
      </c>
      <c r="C61" s="14" t="str">
        <f t="shared" ref="C61" si="116">"FF"&amp;D61&amp;E61&amp;""&amp;F61&amp;G61&amp;H61&amp;I61</f>
        <v>FF020025000027</v>
      </c>
      <c r="D61" s="67" t="s">
        <v>17</v>
      </c>
      <c r="E61" s="67" t="s">
        <v>16</v>
      </c>
      <c r="F61" s="67" t="s">
        <v>51</v>
      </c>
      <c r="G61" s="67" t="s">
        <v>16</v>
      </c>
      <c r="H61" s="67" t="s">
        <v>16</v>
      </c>
      <c r="I61" s="14" t="str">
        <f t="shared" ref="I61" si="117">P61</f>
        <v>27</v>
      </c>
      <c r="J61" s="15">
        <f t="shared" ref="J61" si="118">HEX2DEC(D61)</f>
        <v>2</v>
      </c>
      <c r="K61" s="15">
        <f t="shared" ref="K61" si="119">HEX2DEC(E61)</f>
        <v>0</v>
      </c>
      <c r="L61" s="15">
        <f t="shared" ref="L61" si="120">HEX2DEC(F61)</f>
        <v>37</v>
      </c>
      <c r="M61" s="15">
        <f t="shared" ref="M61" si="121">HEX2DEC(G61)</f>
        <v>0</v>
      </c>
      <c r="N61" s="15">
        <f t="shared" ref="N61" si="122">HEX2DEC(H61)</f>
        <v>0</v>
      </c>
      <c r="O61" s="15">
        <f t="shared" ref="O61" si="123">SUM(J61:N61)</f>
        <v>39</v>
      </c>
      <c r="P61" s="15" t="str">
        <f t="shared" ref="P61" si="124">REPT("0",2-LEN(RIGHT(DEC2HEX(O61), 2)))&amp;RIGHT(DEC2HEX(O61), 2)</f>
        <v>27</v>
      </c>
      <c r="Q61" s="15">
        <f t="shared" ref="Q61" si="125">SUM(K61:P61)</f>
        <v>76</v>
      </c>
      <c r="R61" s="15" t="str">
        <f t="shared" ref="R61" si="126">REPT("0",2-LEN(RIGHT(DEC2HEX(Q61), 2)))&amp;RIGHT(DEC2HEX(Q61), 2)</f>
        <v>4C</v>
      </c>
      <c r="S61" s="131"/>
      <c r="T61" s="131"/>
      <c r="V61" s="72" t="s">
        <v>1596</v>
      </c>
      <c r="W61" s="72" t="s">
        <v>1554</v>
      </c>
    </row>
    <row r="62" spans="2:23" ht="16.5" customHeight="1">
      <c r="B62" s="14" t="s">
        <v>1515</v>
      </c>
      <c r="C62" s="14" t="str">
        <f t="shared" si="10"/>
        <v>FF02002700042D</v>
      </c>
      <c r="D62" s="67" t="s">
        <v>17</v>
      </c>
      <c r="E62" s="67" t="s">
        <v>16</v>
      </c>
      <c r="F62" s="67" t="s">
        <v>60</v>
      </c>
      <c r="G62" s="67" t="s">
        <v>16</v>
      </c>
      <c r="H62" s="67" t="s">
        <v>67</v>
      </c>
      <c r="I62" s="14" t="str">
        <f t="shared" si="108"/>
        <v>2D</v>
      </c>
      <c r="J62" s="15">
        <f t="shared" si="109"/>
        <v>2</v>
      </c>
      <c r="K62" s="15">
        <f t="shared" si="110"/>
        <v>0</v>
      </c>
      <c r="L62" s="15">
        <f t="shared" si="111"/>
        <v>39</v>
      </c>
      <c r="M62" s="15">
        <f t="shared" si="112"/>
        <v>0</v>
      </c>
      <c r="N62" s="15">
        <f t="shared" si="113"/>
        <v>4</v>
      </c>
      <c r="O62" s="15">
        <f t="shared" si="114"/>
        <v>45</v>
      </c>
      <c r="P62" s="15" t="str">
        <f t="shared" si="9"/>
        <v>2D</v>
      </c>
      <c r="Q62" s="15">
        <f t="shared" si="115"/>
        <v>88</v>
      </c>
      <c r="R62" s="15" t="str">
        <f t="shared" si="2"/>
        <v>58</v>
      </c>
      <c r="S62" s="131"/>
      <c r="T62" s="131"/>
      <c r="V62" s="72" t="s">
        <v>1597</v>
      </c>
      <c r="W62" s="72" t="s">
        <v>1555</v>
      </c>
    </row>
    <row r="63" spans="2:23" ht="16.5" customHeight="1">
      <c r="B63" s="14" t="s">
        <v>1696</v>
      </c>
      <c r="C63" s="14" t="str">
        <f t="shared" ref="C63" si="127">"FF"&amp;D63&amp;E63&amp;""&amp;F63&amp;G63&amp;H63&amp;I63</f>
        <v>FF020027000029</v>
      </c>
      <c r="D63" s="67" t="s">
        <v>17</v>
      </c>
      <c r="E63" s="67" t="s">
        <v>16</v>
      </c>
      <c r="F63" s="67" t="s">
        <v>60</v>
      </c>
      <c r="G63" s="67" t="s">
        <v>16</v>
      </c>
      <c r="H63" s="67" t="s">
        <v>16</v>
      </c>
      <c r="I63" s="14" t="str">
        <f t="shared" ref="I63" si="128">P63</f>
        <v>29</v>
      </c>
      <c r="J63" s="15">
        <f t="shared" ref="J63" si="129">HEX2DEC(D63)</f>
        <v>2</v>
      </c>
      <c r="K63" s="15">
        <f t="shared" ref="K63" si="130">HEX2DEC(E63)</f>
        <v>0</v>
      </c>
      <c r="L63" s="15">
        <f t="shared" ref="L63" si="131">HEX2DEC(F63)</f>
        <v>39</v>
      </c>
      <c r="M63" s="15">
        <f t="shared" ref="M63" si="132">HEX2DEC(G63)</f>
        <v>0</v>
      </c>
      <c r="N63" s="15">
        <f t="shared" ref="N63" si="133">HEX2DEC(H63)</f>
        <v>0</v>
      </c>
      <c r="O63" s="15">
        <f t="shared" ref="O63" si="134">SUM(J63:N63)</f>
        <v>41</v>
      </c>
      <c r="P63" s="15" t="str">
        <f t="shared" ref="P63" si="135">REPT("0",2-LEN(RIGHT(DEC2HEX(O63), 2)))&amp;RIGHT(DEC2HEX(O63), 2)</f>
        <v>29</v>
      </c>
      <c r="Q63" s="15">
        <f t="shared" ref="Q63" si="136">SUM(K63:P63)</f>
        <v>80</v>
      </c>
      <c r="R63" s="15" t="str">
        <f t="shared" ref="R63" si="137">REPT("0",2-LEN(RIGHT(DEC2HEX(Q63), 2)))&amp;RIGHT(DEC2HEX(Q63), 2)</f>
        <v>50</v>
      </c>
      <c r="S63" s="131"/>
      <c r="T63" s="131"/>
      <c r="V63" s="72" t="s">
        <v>1597</v>
      </c>
      <c r="W63" s="72" t="s">
        <v>1555</v>
      </c>
    </row>
    <row r="64" spans="2:23" ht="16.5" customHeight="1">
      <c r="B64" s="14" t="s">
        <v>1626</v>
      </c>
      <c r="C64" s="14" t="str">
        <f t="shared" si="10"/>
        <v>FF02004F000051</v>
      </c>
      <c r="D64" s="67" t="s">
        <v>17</v>
      </c>
      <c r="E64" s="67" t="s">
        <v>16</v>
      </c>
      <c r="F64" s="67" t="s">
        <v>70</v>
      </c>
      <c r="G64" s="67" t="s">
        <v>16</v>
      </c>
      <c r="H64" s="67" t="s">
        <v>16</v>
      </c>
      <c r="I64" s="14" t="str">
        <f t="shared" si="108"/>
        <v>51</v>
      </c>
      <c r="J64" s="15">
        <f t="shared" si="109"/>
        <v>2</v>
      </c>
      <c r="K64" s="15">
        <f t="shared" si="110"/>
        <v>0</v>
      </c>
      <c r="L64" s="15">
        <f t="shared" si="111"/>
        <v>79</v>
      </c>
      <c r="M64" s="15">
        <f t="shared" si="112"/>
        <v>0</v>
      </c>
      <c r="N64" s="15">
        <f t="shared" si="113"/>
        <v>0</v>
      </c>
      <c r="O64" s="15">
        <f t="shared" si="114"/>
        <v>81</v>
      </c>
      <c r="P64" s="15" t="str">
        <f t="shared" si="9"/>
        <v>51</v>
      </c>
      <c r="Q64" s="15">
        <f t="shared" si="115"/>
        <v>160</v>
      </c>
      <c r="R64" s="15" t="str">
        <f t="shared" si="2"/>
        <v>A0</v>
      </c>
      <c r="S64" s="131"/>
      <c r="T64" s="131"/>
      <c r="V64" s="72" t="s">
        <v>1625</v>
      </c>
      <c r="W64" s="72" t="s">
        <v>1556</v>
      </c>
    </row>
    <row r="65" spans="2:23" ht="28.5" customHeight="1">
      <c r="B65" s="14" t="s">
        <v>1628</v>
      </c>
      <c r="C65" s="14" t="str">
        <f t="shared" ref="C65" si="138">"FF"&amp;D65&amp;E65&amp;""&amp;F65&amp;G65&amp;H65&amp;I65</f>
        <v>FF02004F400091</v>
      </c>
      <c r="D65" s="67" t="s">
        <v>17</v>
      </c>
      <c r="E65" s="67" t="s">
        <v>16</v>
      </c>
      <c r="F65" s="67" t="s">
        <v>70</v>
      </c>
      <c r="G65" s="67" t="s">
        <v>1509</v>
      </c>
      <c r="H65" s="67" t="s">
        <v>16</v>
      </c>
      <c r="I65" s="14" t="str">
        <f t="shared" ref="I65" si="139">P65</f>
        <v>91</v>
      </c>
      <c r="J65" s="15">
        <f t="shared" ref="J65" si="140">HEX2DEC(D65)</f>
        <v>2</v>
      </c>
      <c r="K65" s="15">
        <f t="shared" ref="K65" si="141">HEX2DEC(E65)</f>
        <v>0</v>
      </c>
      <c r="L65" s="15">
        <f t="shared" ref="L65" si="142">HEX2DEC(F65)</f>
        <v>79</v>
      </c>
      <c r="M65" s="15">
        <f t="shared" ref="M65" si="143">HEX2DEC(G65)</f>
        <v>64</v>
      </c>
      <c r="N65" s="15">
        <f t="shared" ref="N65" si="144">HEX2DEC(H65)</f>
        <v>0</v>
      </c>
      <c r="O65" s="15">
        <f t="shared" ref="O65" si="145">SUM(J65:N65)</f>
        <v>145</v>
      </c>
      <c r="P65" s="15" t="str">
        <f t="shared" ref="P65" si="146">REPT("0",2-LEN(RIGHT(DEC2HEX(O65), 2)))&amp;RIGHT(DEC2HEX(O65), 2)</f>
        <v>91</v>
      </c>
      <c r="Q65" s="15">
        <f t="shared" ref="Q65" si="147">SUM(K65:P65)</f>
        <v>288</v>
      </c>
      <c r="R65" s="15" t="str">
        <f t="shared" ref="R65" si="148">REPT("0",2-LEN(RIGHT(DEC2HEX(Q65), 2)))&amp;RIGHT(DEC2HEX(Q65), 2)</f>
        <v>20</v>
      </c>
      <c r="S65" s="131"/>
      <c r="T65" s="131"/>
      <c r="V65" s="72" t="s">
        <v>1627</v>
      </c>
      <c r="W65" s="72" t="s">
        <v>1557</v>
      </c>
    </row>
    <row r="66" spans="2:23" ht="16.5" customHeight="1">
      <c r="B66" s="14" t="s">
        <v>1630</v>
      </c>
      <c r="C66" s="14" t="str">
        <f t="shared" si="10"/>
        <v>FF02004FFFFF4F</v>
      </c>
      <c r="D66" s="67" t="s">
        <v>17</v>
      </c>
      <c r="E66" s="67" t="s">
        <v>16</v>
      </c>
      <c r="F66" s="67" t="s">
        <v>70</v>
      </c>
      <c r="G66" s="67" t="s">
        <v>9</v>
      </c>
      <c r="H66" s="67" t="s">
        <v>9</v>
      </c>
      <c r="I66" s="14" t="str">
        <f t="shared" si="108"/>
        <v>4F</v>
      </c>
      <c r="J66" s="15">
        <f t="shared" si="109"/>
        <v>2</v>
      </c>
      <c r="K66" s="15">
        <f t="shared" si="110"/>
        <v>0</v>
      </c>
      <c r="L66" s="15">
        <f t="shared" si="111"/>
        <v>79</v>
      </c>
      <c r="M66" s="15">
        <f t="shared" si="112"/>
        <v>255</v>
      </c>
      <c r="N66" s="15">
        <f t="shared" si="113"/>
        <v>255</v>
      </c>
      <c r="O66" s="15">
        <f t="shared" si="114"/>
        <v>591</v>
      </c>
      <c r="P66" s="15" t="str">
        <f t="shared" si="9"/>
        <v>4F</v>
      </c>
      <c r="Q66" s="15">
        <f t="shared" si="115"/>
        <v>1180</v>
      </c>
      <c r="R66" s="15" t="str">
        <f t="shared" si="2"/>
        <v>9C</v>
      </c>
      <c r="S66" s="131"/>
      <c r="T66" s="131"/>
      <c r="V66" s="72" t="s">
        <v>1629</v>
      </c>
      <c r="W66" s="72" t="s">
        <v>1558</v>
      </c>
    </row>
    <row r="67" spans="2:23" ht="16.5" customHeight="1">
      <c r="B67" s="123" t="s">
        <v>1632</v>
      </c>
      <c r="C67" s="14" t="str">
        <f t="shared" si="10"/>
        <v>FF020055000057</v>
      </c>
      <c r="D67" s="67" t="s">
        <v>17</v>
      </c>
      <c r="E67" s="67" t="s">
        <v>16</v>
      </c>
      <c r="F67" s="67" t="s">
        <v>74</v>
      </c>
      <c r="G67" s="67" t="s">
        <v>16</v>
      </c>
      <c r="H67" s="67" t="s">
        <v>16</v>
      </c>
      <c r="I67" s="14" t="str">
        <f t="shared" si="108"/>
        <v>57</v>
      </c>
      <c r="J67" s="15">
        <f t="shared" si="109"/>
        <v>2</v>
      </c>
      <c r="K67" s="15">
        <f t="shared" si="110"/>
        <v>0</v>
      </c>
      <c r="L67" s="15">
        <f t="shared" si="111"/>
        <v>85</v>
      </c>
      <c r="M67" s="15">
        <f t="shared" si="112"/>
        <v>0</v>
      </c>
      <c r="N67" s="15">
        <f t="shared" si="113"/>
        <v>0</v>
      </c>
      <c r="O67" s="15">
        <f t="shared" si="114"/>
        <v>87</v>
      </c>
      <c r="P67" s="15" t="str">
        <f t="shared" si="9"/>
        <v>57</v>
      </c>
      <c r="Q67" s="15">
        <f t="shared" si="115"/>
        <v>172</v>
      </c>
      <c r="R67" s="15" t="str">
        <f>REPT("0",2-LEN(RIGHT(DEC2HEX(Q67), 2)))&amp;RIGHT(DEC2HEX(Q67), 2)</f>
        <v>AC</v>
      </c>
      <c r="S67" s="131"/>
      <c r="T67" s="131"/>
      <c r="V67" s="72" t="s">
        <v>1631</v>
      </c>
      <c r="W67" s="72" t="s">
        <v>1559</v>
      </c>
    </row>
    <row r="68" spans="2:23" ht="16.5" customHeight="1">
      <c r="B68" s="14" t="s">
        <v>1634</v>
      </c>
      <c r="C68" s="14" t="str">
        <f t="shared" si="10"/>
        <v>FF02014F000052</v>
      </c>
      <c r="D68" s="67" t="s">
        <v>17</v>
      </c>
      <c r="E68" s="67" t="s">
        <v>24</v>
      </c>
      <c r="F68" s="67" t="s">
        <v>70</v>
      </c>
      <c r="G68" s="67" t="s">
        <v>16</v>
      </c>
      <c r="H68" s="67" t="s">
        <v>16</v>
      </c>
      <c r="I68" s="14" t="str">
        <f t="shared" si="108"/>
        <v>52</v>
      </c>
      <c r="J68" s="15">
        <f t="shared" si="109"/>
        <v>2</v>
      </c>
      <c r="K68" s="15">
        <f t="shared" si="110"/>
        <v>1</v>
      </c>
      <c r="L68" s="15">
        <f t="shared" si="111"/>
        <v>79</v>
      </c>
      <c r="M68" s="15">
        <f t="shared" si="112"/>
        <v>0</v>
      </c>
      <c r="N68" s="15">
        <f t="shared" si="113"/>
        <v>0</v>
      </c>
      <c r="O68" s="15">
        <f t="shared" si="114"/>
        <v>82</v>
      </c>
      <c r="P68" s="15" t="str">
        <f t="shared" si="9"/>
        <v>52</v>
      </c>
      <c r="Q68" s="15">
        <f t="shared" si="115"/>
        <v>162</v>
      </c>
      <c r="R68" s="15" t="str">
        <f t="shared" si="2"/>
        <v>A2</v>
      </c>
      <c r="S68" s="131"/>
      <c r="T68" s="131"/>
      <c r="V68" s="72" t="s">
        <v>1633</v>
      </c>
      <c r="W68" s="72" t="s">
        <v>1560</v>
      </c>
    </row>
    <row r="69" spans="2:23" ht="32.25" customHeight="1">
      <c r="B69" s="14" t="s">
        <v>1636</v>
      </c>
      <c r="C69" s="14" t="str">
        <f t="shared" si="10"/>
        <v>FF02014F100062</v>
      </c>
      <c r="D69" s="67" t="s">
        <v>17</v>
      </c>
      <c r="E69" s="67" t="s">
        <v>24</v>
      </c>
      <c r="F69" s="67" t="s">
        <v>70</v>
      </c>
      <c r="G69" s="67" t="s">
        <v>109</v>
      </c>
      <c r="H69" s="67" t="s">
        <v>16</v>
      </c>
      <c r="I69" s="14" t="str">
        <f t="shared" si="108"/>
        <v>62</v>
      </c>
      <c r="J69" s="15">
        <f t="shared" si="109"/>
        <v>2</v>
      </c>
      <c r="K69" s="15">
        <f t="shared" si="110"/>
        <v>1</v>
      </c>
      <c r="L69" s="15">
        <f t="shared" si="111"/>
        <v>79</v>
      </c>
      <c r="M69" s="15">
        <f t="shared" si="112"/>
        <v>16</v>
      </c>
      <c r="N69" s="15">
        <f t="shared" si="113"/>
        <v>0</v>
      </c>
      <c r="O69" s="15">
        <f t="shared" si="114"/>
        <v>98</v>
      </c>
      <c r="P69" s="15" t="str">
        <f t="shared" si="9"/>
        <v>62</v>
      </c>
      <c r="Q69" s="15">
        <f t="shared" si="115"/>
        <v>194</v>
      </c>
      <c r="R69" s="15" t="str">
        <f t="shared" si="2"/>
        <v>C2</v>
      </c>
      <c r="S69" s="131"/>
      <c r="T69" s="131"/>
      <c r="V69" s="72" t="s">
        <v>1635</v>
      </c>
      <c r="W69" s="72" t="s">
        <v>1561</v>
      </c>
    </row>
    <row r="70" spans="2:23" ht="30" customHeight="1">
      <c r="B70" s="14" t="s">
        <v>1638</v>
      </c>
      <c r="C70" s="14" t="str">
        <f t="shared" ref="C70" si="149">"FF"&amp;D70&amp;E70&amp;""&amp;F70&amp;G70&amp;H70&amp;I70</f>
        <v>FF02014F8000D2</v>
      </c>
      <c r="D70" s="67" t="s">
        <v>17</v>
      </c>
      <c r="E70" s="67" t="s">
        <v>24</v>
      </c>
      <c r="F70" s="67" t="s">
        <v>70</v>
      </c>
      <c r="G70" s="67" t="s">
        <v>43</v>
      </c>
      <c r="H70" s="67" t="s">
        <v>16</v>
      </c>
      <c r="I70" s="14" t="str">
        <f t="shared" ref="I70" si="150">P70</f>
        <v>D2</v>
      </c>
      <c r="J70" s="15">
        <f t="shared" ref="J70" si="151">HEX2DEC(D70)</f>
        <v>2</v>
      </c>
      <c r="K70" s="15">
        <f t="shared" ref="K70" si="152">HEX2DEC(E70)</f>
        <v>1</v>
      </c>
      <c r="L70" s="15">
        <f t="shared" ref="L70" si="153">HEX2DEC(F70)</f>
        <v>79</v>
      </c>
      <c r="M70" s="15">
        <f t="shared" ref="M70" si="154">HEX2DEC(G70)</f>
        <v>128</v>
      </c>
      <c r="N70" s="15">
        <f t="shared" ref="N70" si="155">HEX2DEC(H70)</f>
        <v>0</v>
      </c>
      <c r="O70" s="15">
        <f t="shared" ref="O70" si="156">SUM(J70:N70)</f>
        <v>210</v>
      </c>
      <c r="P70" s="15" t="str">
        <f t="shared" ref="P70" si="157">REPT("0",2-LEN(RIGHT(DEC2HEX(O70), 2)))&amp;RIGHT(DEC2HEX(O70), 2)</f>
        <v>D2</v>
      </c>
      <c r="Q70" s="15">
        <f t="shared" ref="Q70" si="158">SUM(K70:P70)</f>
        <v>418</v>
      </c>
      <c r="R70" s="15" t="str">
        <f t="shared" ref="R70" si="159">REPT("0",2-LEN(RIGHT(DEC2HEX(Q70), 2)))&amp;RIGHT(DEC2HEX(Q70), 2)</f>
        <v>A2</v>
      </c>
      <c r="S70" s="131"/>
      <c r="T70" s="131"/>
      <c r="V70" s="72" t="s">
        <v>1637</v>
      </c>
      <c r="W70" s="72" t="s">
        <v>1562</v>
      </c>
    </row>
    <row r="71" spans="2:23" ht="16.5" customHeight="1">
      <c r="B71" s="14" t="s">
        <v>1640</v>
      </c>
      <c r="C71" s="14" t="str">
        <f t="shared" si="10"/>
        <v>FF02014FFFFF50</v>
      </c>
      <c r="D71" s="67" t="s">
        <v>17</v>
      </c>
      <c r="E71" s="67" t="s">
        <v>24</v>
      </c>
      <c r="F71" s="67" t="s">
        <v>70</v>
      </c>
      <c r="G71" s="67" t="s">
        <v>9</v>
      </c>
      <c r="H71" s="67" t="s">
        <v>9</v>
      </c>
      <c r="I71" s="14" t="str">
        <f t="shared" si="108"/>
        <v>50</v>
      </c>
      <c r="J71" s="15">
        <f t="shared" si="109"/>
        <v>2</v>
      </c>
      <c r="K71" s="15">
        <f t="shared" si="110"/>
        <v>1</v>
      </c>
      <c r="L71" s="15">
        <f t="shared" si="111"/>
        <v>79</v>
      </c>
      <c r="M71" s="15">
        <f t="shared" si="112"/>
        <v>255</v>
      </c>
      <c r="N71" s="15">
        <f t="shared" si="113"/>
        <v>255</v>
      </c>
      <c r="O71" s="15">
        <f t="shared" si="114"/>
        <v>592</v>
      </c>
      <c r="P71" s="15" t="str">
        <f t="shared" si="9"/>
        <v>50</v>
      </c>
      <c r="Q71" s="15">
        <f t="shared" si="115"/>
        <v>1182</v>
      </c>
      <c r="R71" s="15" t="str">
        <f t="shared" si="2"/>
        <v>9E</v>
      </c>
      <c r="S71" s="131"/>
      <c r="T71" s="131"/>
      <c r="V71" s="72" t="s">
        <v>1639</v>
      </c>
      <c r="W71" s="72" t="s">
        <v>1563</v>
      </c>
    </row>
    <row r="72" spans="2:23" ht="16.5" customHeight="1">
      <c r="B72" s="123" t="s">
        <v>1642</v>
      </c>
      <c r="C72" s="14" t="str">
        <f t="shared" si="10"/>
        <v>FF020155000058</v>
      </c>
      <c r="D72" s="67" t="s">
        <v>17</v>
      </c>
      <c r="E72" s="67" t="s">
        <v>24</v>
      </c>
      <c r="F72" s="67" t="s">
        <v>74</v>
      </c>
      <c r="G72" s="67" t="s">
        <v>16</v>
      </c>
      <c r="H72" s="67" t="s">
        <v>16</v>
      </c>
      <c r="I72" s="14" t="str">
        <f t="shared" si="108"/>
        <v>58</v>
      </c>
      <c r="J72" s="15">
        <f t="shared" si="109"/>
        <v>2</v>
      </c>
      <c r="K72" s="15">
        <f t="shared" si="110"/>
        <v>1</v>
      </c>
      <c r="L72" s="15">
        <f t="shared" si="111"/>
        <v>85</v>
      </c>
      <c r="M72" s="15">
        <f t="shared" si="112"/>
        <v>0</v>
      </c>
      <c r="N72" s="15">
        <f t="shared" si="113"/>
        <v>0</v>
      </c>
      <c r="O72" s="15">
        <f t="shared" si="114"/>
        <v>88</v>
      </c>
      <c r="P72" s="15" t="str">
        <f t="shared" si="9"/>
        <v>58</v>
      </c>
      <c r="Q72" s="15">
        <f t="shared" si="115"/>
        <v>174</v>
      </c>
      <c r="R72" s="15" t="str">
        <f t="shared" si="2"/>
        <v>AE</v>
      </c>
      <c r="S72" s="131"/>
      <c r="T72" s="131"/>
      <c r="V72" s="72" t="s">
        <v>1641</v>
      </c>
      <c r="W72" s="72" t="s">
        <v>1564</v>
      </c>
    </row>
    <row r="73" spans="2:23" ht="16.5" customHeight="1">
      <c r="B73" s="14" t="s">
        <v>1644</v>
      </c>
      <c r="C73" s="14" t="str">
        <f t="shared" si="10"/>
        <v>FF02002B00002D</v>
      </c>
      <c r="D73" s="67" t="s">
        <v>17</v>
      </c>
      <c r="E73" s="67" t="s">
        <v>16</v>
      </c>
      <c r="F73" s="67" t="s">
        <v>104</v>
      </c>
      <c r="G73" s="67" t="s">
        <v>16</v>
      </c>
      <c r="H73" s="67" t="s">
        <v>16</v>
      </c>
      <c r="I73" s="14" t="str">
        <f t="shared" si="108"/>
        <v>2D</v>
      </c>
      <c r="J73" s="15">
        <f t="shared" si="109"/>
        <v>2</v>
      </c>
      <c r="K73" s="15">
        <f t="shared" si="110"/>
        <v>0</v>
      </c>
      <c r="L73" s="15">
        <f t="shared" si="111"/>
        <v>43</v>
      </c>
      <c r="M73" s="15">
        <f t="shared" si="112"/>
        <v>0</v>
      </c>
      <c r="N73" s="15">
        <f t="shared" si="113"/>
        <v>0</v>
      </c>
      <c r="O73" s="15">
        <f t="shared" si="114"/>
        <v>45</v>
      </c>
      <c r="P73" s="15" t="str">
        <f t="shared" si="9"/>
        <v>2D</v>
      </c>
      <c r="Q73" s="15">
        <f t="shared" si="115"/>
        <v>88</v>
      </c>
      <c r="R73" s="15" t="str">
        <f t="shared" si="2"/>
        <v>58</v>
      </c>
      <c r="S73" s="131"/>
      <c r="T73" s="131"/>
      <c r="V73" s="72" t="s">
        <v>1643</v>
      </c>
      <c r="W73" s="72" t="s">
        <v>1565</v>
      </c>
    </row>
    <row r="74" spans="2:23" ht="16.5" customHeight="1">
      <c r="B74" s="14" t="s">
        <v>1646</v>
      </c>
      <c r="C74" s="14" t="str">
        <f t="shared" si="10"/>
        <v>FF02002B00012E</v>
      </c>
      <c r="D74" s="67" t="s">
        <v>17</v>
      </c>
      <c r="E74" s="67" t="s">
        <v>16</v>
      </c>
      <c r="F74" s="67" t="s">
        <v>104</v>
      </c>
      <c r="G74" s="67" t="s">
        <v>16</v>
      </c>
      <c r="H74" s="67" t="s">
        <v>24</v>
      </c>
      <c r="I74" s="14" t="str">
        <f t="shared" si="108"/>
        <v>2E</v>
      </c>
      <c r="J74" s="15">
        <f t="shared" si="109"/>
        <v>2</v>
      </c>
      <c r="K74" s="15">
        <f t="shared" si="110"/>
        <v>0</v>
      </c>
      <c r="L74" s="15">
        <f t="shared" si="111"/>
        <v>43</v>
      </c>
      <c r="M74" s="15">
        <f t="shared" si="112"/>
        <v>0</v>
      </c>
      <c r="N74" s="15">
        <f t="shared" si="113"/>
        <v>1</v>
      </c>
      <c r="O74" s="15">
        <f t="shared" si="114"/>
        <v>46</v>
      </c>
      <c r="P74" s="15" t="str">
        <f t="shared" si="9"/>
        <v>2E</v>
      </c>
      <c r="Q74" s="15">
        <f t="shared" si="115"/>
        <v>90</v>
      </c>
      <c r="R74" s="15" t="str">
        <f t="shared" si="2"/>
        <v>5A</v>
      </c>
      <c r="S74" s="131"/>
      <c r="T74" s="131"/>
      <c r="V74" s="72" t="s">
        <v>1645</v>
      </c>
      <c r="W74" s="72" t="s">
        <v>1566</v>
      </c>
    </row>
    <row r="75" spans="2:23" ht="16.5" customHeight="1">
      <c r="B75" s="14" t="s">
        <v>1648</v>
      </c>
      <c r="C75" s="14" t="str">
        <f t="shared" si="10"/>
        <v>FF02000F000011</v>
      </c>
      <c r="D75" s="67" t="s">
        <v>17</v>
      </c>
      <c r="E75" s="67" t="s">
        <v>16</v>
      </c>
      <c r="F75" s="67" t="s">
        <v>78</v>
      </c>
      <c r="G75" s="67" t="s">
        <v>16</v>
      </c>
      <c r="H75" s="67" t="s">
        <v>16</v>
      </c>
      <c r="I75" s="14" t="str">
        <f t="shared" si="108"/>
        <v>11</v>
      </c>
      <c r="J75" s="15">
        <f t="shared" si="109"/>
        <v>2</v>
      </c>
      <c r="K75" s="15">
        <f t="shared" si="110"/>
        <v>0</v>
      </c>
      <c r="L75" s="15">
        <f t="shared" si="111"/>
        <v>15</v>
      </c>
      <c r="M75" s="15">
        <f t="shared" si="112"/>
        <v>0</v>
      </c>
      <c r="N75" s="15">
        <f t="shared" si="113"/>
        <v>0</v>
      </c>
      <c r="O75" s="15">
        <f t="shared" si="114"/>
        <v>17</v>
      </c>
      <c r="P75" s="15" t="str">
        <f t="shared" si="9"/>
        <v>11</v>
      </c>
      <c r="Q75" s="15">
        <f t="shared" si="115"/>
        <v>32</v>
      </c>
      <c r="R75" s="15" t="str">
        <f t="shared" si="2"/>
        <v>20</v>
      </c>
      <c r="S75" s="131"/>
      <c r="T75" s="131"/>
      <c r="V75" s="72" t="s">
        <v>1647</v>
      </c>
      <c r="W75" s="72" t="s">
        <v>1567</v>
      </c>
    </row>
    <row r="76" spans="2:23" ht="16.5" customHeight="1">
      <c r="B76" s="14" t="s">
        <v>1650</v>
      </c>
      <c r="C76" s="14" t="str">
        <f t="shared" si="10"/>
        <v>FF02002900002B</v>
      </c>
      <c r="D76" s="67" t="s">
        <v>17</v>
      </c>
      <c r="E76" s="67" t="s">
        <v>16</v>
      </c>
      <c r="F76" s="67" t="s">
        <v>79</v>
      </c>
      <c r="G76" s="67" t="s">
        <v>16</v>
      </c>
      <c r="H76" s="67" t="s">
        <v>16</v>
      </c>
      <c r="I76" s="14" t="str">
        <f t="shared" si="108"/>
        <v>2B</v>
      </c>
      <c r="J76" s="15">
        <f t="shared" si="109"/>
        <v>2</v>
      </c>
      <c r="K76" s="15">
        <f t="shared" si="110"/>
        <v>0</v>
      </c>
      <c r="L76" s="15">
        <f t="shared" si="111"/>
        <v>41</v>
      </c>
      <c r="M76" s="15">
        <f t="shared" si="112"/>
        <v>0</v>
      </c>
      <c r="N76" s="15">
        <f t="shared" si="113"/>
        <v>0</v>
      </c>
      <c r="O76" s="15">
        <f t="shared" si="114"/>
        <v>43</v>
      </c>
      <c r="P76" s="15" t="str">
        <f t="shared" si="9"/>
        <v>2B</v>
      </c>
      <c r="Q76" s="15">
        <f t="shared" si="115"/>
        <v>84</v>
      </c>
      <c r="R76" s="15" t="str">
        <f t="shared" si="2"/>
        <v>54</v>
      </c>
      <c r="S76" s="131"/>
      <c r="T76" s="131"/>
      <c r="V76" s="72" t="s">
        <v>1649</v>
      </c>
      <c r="W76" s="72" t="s">
        <v>1568</v>
      </c>
    </row>
    <row r="77" spans="2:23" s="127" customFormat="1" ht="16.5" customHeight="1">
      <c r="B77" s="124" t="s">
        <v>1652</v>
      </c>
      <c r="C77" s="124" t="s">
        <v>1624</v>
      </c>
      <c r="D77" s="125"/>
      <c r="E77" s="125"/>
      <c r="F77" s="125"/>
      <c r="G77" s="125"/>
      <c r="H77" s="125"/>
      <c r="I77" s="124"/>
      <c r="J77" s="126"/>
      <c r="K77" s="126"/>
      <c r="L77" s="126"/>
      <c r="M77" s="126"/>
      <c r="N77" s="126"/>
      <c r="O77" s="126"/>
      <c r="P77" s="126"/>
      <c r="Q77" s="126"/>
      <c r="R77" s="126"/>
      <c r="S77" s="130"/>
      <c r="T77" s="130"/>
      <c r="V77" s="128" t="s">
        <v>1651</v>
      </c>
      <c r="W77" s="128" t="s">
        <v>1623</v>
      </c>
    </row>
    <row r="78" spans="2:23" s="2" customFormat="1" ht="16.5" customHeight="1">
      <c r="B78" s="14" t="s">
        <v>1675</v>
      </c>
      <c r="C78" s="14" t="str">
        <f>"FF"&amp;D78&amp;E78&amp;""&amp;F78&amp;G78&amp;H78&amp;I78</f>
        <v>FF030000000003</v>
      </c>
      <c r="D78" s="67" t="s">
        <v>91</v>
      </c>
      <c r="E78" s="67" t="s">
        <v>16</v>
      </c>
      <c r="F78" s="67" t="s">
        <v>16</v>
      </c>
      <c r="G78" s="67" t="s">
        <v>16</v>
      </c>
      <c r="H78" s="67" t="s">
        <v>16</v>
      </c>
      <c r="I78" s="14" t="str">
        <f>P78</f>
        <v>03</v>
      </c>
      <c r="J78" s="15">
        <f>HEX2DEC(D78)</f>
        <v>3</v>
      </c>
      <c r="K78" s="15">
        <f>HEX2DEC(E78)</f>
        <v>0</v>
      </c>
      <c r="L78" s="15">
        <f>HEX2DEC(F78)</f>
        <v>0</v>
      </c>
      <c r="M78" s="15">
        <f>HEX2DEC(G78)</f>
        <v>0</v>
      </c>
      <c r="N78" s="15">
        <f t="shared" ref="N78" si="160">SUM(J78:M78)</f>
        <v>3</v>
      </c>
      <c r="O78" s="15">
        <f t="shared" ref="O78" si="161">SUM(K78:N78)</f>
        <v>3</v>
      </c>
      <c r="P78" s="15" t="str">
        <f>REPT("0",2-LEN(RIGHT(DEC2HEX(N78), 2)))&amp;RIGHT(DEC2HEX(N78), 2)</f>
        <v>03</v>
      </c>
      <c r="Q78" s="15">
        <f>SUM(K78:P78)</f>
        <v>6</v>
      </c>
      <c r="R78" s="15" t="str">
        <f>REPT("0",2-LEN(RIGHT(DEC2HEX(Q78), 2)))&amp;RIGHT(DEC2HEX(Q78), 2)</f>
        <v>06</v>
      </c>
      <c r="S78" s="131"/>
      <c r="T78" s="131"/>
      <c r="V78" s="72" t="s">
        <v>1674</v>
      </c>
      <c r="W78" s="72" t="s">
        <v>1583</v>
      </c>
    </row>
    <row r="79" spans="2:23" ht="16.5" customHeight="1">
      <c r="B79" s="14" t="s">
        <v>1655</v>
      </c>
      <c r="C79" s="14" t="str">
        <f t="shared" ref="C79:C124" si="162">"FF"&amp;D79&amp;E79&amp;""&amp;F79&amp;G79&amp;H79&amp;I79</f>
        <v>FF030020000023</v>
      </c>
      <c r="D79" s="67" t="s">
        <v>91</v>
      </c>
      <c r="E79" s="67" t="s">
        <v>16</v>
      </c>
      <c r="F79" s="67">
        <v>20</v>
      </c>
      <c r="G79" s="67" t="s">
        <v>16</v>
      </c>
      <c r="H79" s="67" t="s">
        <v>16</v>
      </c>
      <c r="I79" s="14" t="str">
        <f t="shared" ref="I79:I124" si="163">P79</f>
        <v>23</v>
      </c>
      <c r="J79" s="15">
        <f t="shared" ref="J79:J106" si="164">HEX2DEC(D79)</f>
        <v>3</v>
      </c>
      <c r="K79" s="15">
        <f t="shared" ref="K79:K106" si="165">HEX2DEC(E79)</f>
        <v>0</v>
      </c>
      <c r="L79" s="15">
        <f t="shared" ref="L79:L106" si="166">HEX2DEC(F79)</f>
        <v>32</v>
      </c>
      <c r="M79" s="15">
        <f t="shared" ref="M79:M106" si="167">HEX2DEC(G79)</f>
        <v>0</v>
      </c>
      <c r="N79" s="15">
        <f t="shared" ref="N79:N106" si="168">HEX2DEC(H79)</f>
        <v>0</v>
      </c>
      <c r="O79" s="15">
        <f t="shared" ref="O79:O106" si="169">SUM(J79:N79)</f>
        <v>35</v>
      </c>
      <c r="P79" s="15" t="str">
        <f t="shared" ref="P79:P106" si="170">REPT("0",2-LEN(RIGHT(DEC2HEX(O79), 2)))&amp;RIGHT(DEC2HEX(O79), 2)</f>
        <v>23</v>
      </c>
      <c r="Q79" s="15">
        <f t="shared" ref="Q79:Q106" si="171">SUM(K79:P79)</f>
        <v>67</v>
      </c>
      <c r="R79" s="15" t="str">
        <f t="shared" ref="R79:R87" si="172">REPT("0",2-LEN(RIGHT(DEC2HEX(Q79), 2)))&amp;RIGHT(DEC2HEX(Q79), 2)</f>
        <v>43</v>
      </c>
      <c r="S79" s="131"/>
      <c r="T79" s="131"/>
      <c r="V79" s="72" t="s">
        <v>1655</v>
      </c>
      <c r="W79" s="72" t="s">
        <v>1694</v>
      </c>
    </row>
    <row r="80" spans="2:23" ht="16.5" customHeight="1">
      <c r="B80" s="14" t="s">
        <v>1656</v>
      </c>
      <c r="C80" s="14" t="str">
        <f t="shared" si="162"/>
        <v>FF030040000043</v>
      </c>
      <c r="D80" s="67" t="s">
        <v>91</v>
      </c>
      <c r="E80" s="67" t="s">
        <v>16</v>
      </c>
      <c r="F80" s="67" t="s">
        <v>1509</v>
      </c>
      <c r="G80" s="67" t="s">
        <v>16</v>
      </c>
      <c r="H80" s="67" t="s">
        <v>16</v>
      </c>
      <c r="I80" s="14" t="str">
        <f t="shared" si="163"/>
        <v>43</v>
      </c>
      <c r="J80" s="15">
        <f t="shared" si="164"/>
        <v>3</v>
      </c>
      <c r="K80" s="15">
        <f t="shared" si="165"/>
        <v>0</v>
      </c>
      <c r="L80" s="15">
        <f t="shared" si="166"/>
        <v>64</v>
      </c>
      <c r="M80" s="15">
        <f t="shared" si="167"/>
        <v>0</v>
      </c>
      <c r="N80" s="15">
        <f t="shared" si="168"/>
        <v>0</v>
      </c>
      <c r="O80" s="15">
        <f t="shared" si="169"/>
        <v>67</v>
      </c>
      <c r="P80" s="15" t="str">
        <f t="shared" si="170"/>
        <v>43</v>
      </c>
      <c r="Q80" s="15">
        <f t="shared" si="171"/>
        <v>131</v>
      </c>
      <c r="R80" s="15" t="str">
        <f t="shared" si="172"/>
        <v>83</v>
      </c>
      <c r="S80" s="131"/>
      <c r="T80" s="131"/>
      <c r="V80" s="72" t="s">
        <v>1656</v>
      </c>
      <c r="W80" s="72" t="s">
        <v>1676</v>
      </c>
    </row>
    <row r="81" spans="2:23" ht="16.5" customHeight="1">
      <c r="B81" s="14" t="s">
        <v>1657</v>
      </c>
      <c r="C81" s="14" t="str">
        <f t="shared" si="162"/>
        <v>FF030080000083</v>
      </c>
      <c r="D81" s="67" t="s">
        <v>91</v>
      </c>
      <c r="E81" s="67" t="s">
        <v>16</v>
      </c>
      <c r="F81" s="67" t="s">
        <v>43</v>
      </c>
      <c r="G81" s="67" t="s">
        <v>16</v>
      </c>
      <c r="H81" s="67" t="s">
        <v>16</v>
      </c>
      <c r="I81" s="14" t="str">
        <f t="shared" si="163"/>
        <v>83</v>
      </c>
      <c r="J81" s="15">
        <f t="shared" si="164"/>
        <v>3</v>
      </c>
      <c r="K81" s="15">
        <f t="shared" si="165"/>
        <v>0</v>
      </c>
      <c r="L81" s="15">
        <f t="shared" si="166"/>
        <v>128</v>
      </c>
      <c r="M81" s="15">
        <f t="shared" si="167"/>
        <v>0</v>
      </c>
      <c r="N81" s="15">
        <f t="shared" si="168"/>
        <v>0</v>
      </c>
      <c r="O81" s="15">
        <f t="shared" si="169"/>
        <v>131</v>
      </c>
      <c r="P81" s="15" t="str">
        <f t="shared" si="170"/>
        <v>83</v>
      </c>
      <c r="Q81" s="15">
        <f t="shared" si="171"/>
        <v>259</v>
      </c>
      <c r="R81" s="15" t="str">
        <f t="shared" si="172"/>
        <v>03</v>
      </c>
      <c r="S81" s="131"/>
      <c r="T81" s="131"/>
      <c r="V81" s="72" t="s">
        <v>1657</v>
      </c>
      <c r="W81" s="72" t="s">
        <v>1677</v>
      </c>
    </row>
    <row r="82" spans="2:23" ht="16.5" customHeight="1">
      <c r="B82" s="14" t="s">
        <v>1658</v>
      </c>
      <c r="C82" s="14" t="str">
        <f t="shared" si="162"/>
        <v>FF030100000004</v>
      </c>
      <c r="D82" s="67" t="s">
        <v>91</v>
      </c>
      <c r="E82" s="67" t="s">
        <v>24</v>
      </c>
      <c r="F82" s="67" t="s">
        <v>16</v>
      </c>
      <c r="G82" s="67" t="s">
        <v>16</v>
      </c>
      <c r="H82" s="67" t="s">
        <v>16</v>
      </c>
      <c r="I82" s="14" t="str">
        <f t="shared" si="163"/>
        <v>04</v>
      </c>
      <c r="J82" s="15">
        <f t="shared" si="164"/>
        <v>3</v>
      </c>
      <c r="K82" s="15">
        <f t="shared" si="165"/>
        <v>1</v>
      </c>
      <c r="L82" s="15">
        <f t="shared" si="166"/>
        <v>0</v>
      </c>
      <c r="M82" s="15">
        <f t="shared" si="167"/>
        <v>0</v>
      </c>
      <c r="N82" s="15">
        <f t="shared" si="168"/>
        <v>0</v>
      </c>
      <c r="O82" s="15">
        <f t="shared" si="169"/>
        <v>4</v>
      </c>
      <c r="P82" s="15" t="str">
        <f t="shared" si="170"/>
        <v>04</v>
      </c>
      <c r="Q82" s="15">
        <f t="shared" si="171"/>
        <v>5</v>
      </c>
      <c r="R82" s="15" t="str">
        <f t="shared" si="172"/>
        <v>05</v>
      </c>
      <c r="S82" s="131"/>
      <c r="T82" s="131"/>
      <c r="V82" s="72" t="s">
        <v>1658</v>
      </c>
      <c r="W82" s="72" t="s">
        <v>1678</v>
      </c>
    </row>
    <row r="83" spans="2:23" ht="16.5" customHeight="1">
      <c r="B83" s="14" t="s">
        <v>1659</v>
      </c>
      <c r="C83" s="14" t="str">
        <f t="shared" si="162"/>
        <v>FF03002500042C</v>
      </c>
      <c r="D83" s="67" t="s">
        <v>91</v>
      </c>
      <c r="E83" s="67" t="s">
        <v>16</v>
      </c>
      <c r="F83" s="67" t="s">
        <v>51</v>
      </c>
      <c r="G83" s="67" t="s">
        <v>16</v>
      </c>
      <c r="H83" s="67" t="s">
        <v>67</v>
      </c>
      <c r="I83" s="14" t="str">
        <f t="shared" si="163"/>
        <v>2C</v>
      </c>
      <c r="J83" s="15">
        <f t="shared" si="164"/>
        <v>3</v>
      </c>
      <c r="K83" s="15">
        <f t="shared" si="165"/>
        <v>0</v>
      </c>
      <c r="L83" s="15">
        <f t="shared" si="166"/>
        <v>37</v>
      </c>
      <c r="M83" s="15">
        <f t="shared" si="167"/>
        <v>0</v>
      </c>
      <c r="N83" s="15">
        <f t="shared" si="168"/>
        <v>4</v>
      </c>
      <c r="O83" s="15">
        <f t="shared" si="169"/>
        <v>44</v>
      </c>
      <c r="P83" s="15" t="str">
        <f t="shared" si="170"/>
        <v>2C</v>
      </c>
      <c r="Q83" s="15">
        <f t="shared" si="171"/>
        <v>85</v>
      </c>
      <c r="R83" s="15" t="str">
        <f t="shared" si="172"/>
        <v>55</v>
      </c>
      <c r="S83" s="131"/>
      <c r="T83" s="131"/>
      <c r="V83" s="72" t="s">
        <v>1659</v>
      </c>
      <c r="W83" s="72" t="s">
        <v>1679</v>
      </c>
    </row>
    <row r="84" spans="2:23" ht="16.5" customHeight="1">
      <c r="B84" s="14" t="s">
        <v>1660</v>
      </c>
      <c r="C84" s="14" t="str">
        <f t="shared" si="162"/>
        <v>FF03002700042E</v>
      </c>
      <c r="D84" s="67" t="s">
        <v>91</v>
      </c>
      <c r="E84" s="67" t="s">
        <v>16</v>
      </c>
      <c r="F84" s="67" t="s">
        <v>60</v>
      </c>
      <c r="G84" s="67" t="s">
        <v>16</v>
      </c>
      <c r="H84" s="67" t="s">
        <v>67</v>
      </c>
      <c r="I84" s="14" t="str">
        <f t="shared" si="163"/>
        <v>2E</v>
      </c>
      <c r="J84" s="15">
        <f t="shared" si="164"/>
        <v>3</v>
      </c>
      <c r="K84" s="15">
        <f t="shared" si="165"/>
        <v>0</v>
      </c>
      <c r="L84" s="15">
        <f t="shared" si="166"/>
        <v>39</v>
      </c>
      <c r="M84" s="15">
        <f t="shared" si="167"/>
        <v>0</v>
      </c>
      <c r="N84" s="15">
        <f t="shared" si="168"/>
        <v>4</v>
      </c>
      <c r="O84" s="15">
        <f t="shared" si="169"/>
        <v>46</v>
      </c>
      <c r="P84" s="15" t="str">
        <f t="shared" si="170"/>
        <v>2E</v>
      </c>
      <c r="Q84" s="15">
        <f t="shared" si="171"/>
        <v>89</v>
      </c>
      <c r="R84" s="15" t="str">
        <f t="shared" si="172"/>
        <v>59</v>
      </c>
      <c r="S84" s="131"/>
      <c r="T84" s="131"/>
      <c r="V84" s="72" t="s">
        <v>1660</v>
      </c>
      <c r="W84" s="72" t="s">
        <v>1680</v>
      </c>
    </row>
    <row r="85" spans="2:23" ht="16.5" customHeight="1">
      <c r="B85" s="14" t="s">
        <v>1661</v>
      </c>
      <c r="C85" s="14" t="str">
        <f t="shared" si="162"/>
        <v>FF03004F000052</v>
      </c>
      <c r="D85" s="67" t="s">
        <v>91</v>
      </c>
      <c r="E85" s="67" t="s">
        <v>16</v>
      </c>
      <c r="F85" s="67" t="s">
        <v>70</v>
      </c>
      <c r="G85" s="67" t="s">
        <v>16</v>
      </c>
      <c r="H85" s="67" t="s">
        <v>16</v>
      </c>
      <c r="I85" s="14" t="str">
        <f t="shared" si="163"/>
        <v>52</v>
      </c>
      <c r="J85" s="15">
        <f t="shared" si="164"/>
        <v>3</v>
      </c>
      <c r="K85" s="15">
        <f t="shared" si="165"/>
        <v>0</v>
      </c>
      <c r="L85" s="15">
        <f t="shared" si="166"/>
        <v>79</v>
      </c>
      <c r="M85" s="15">
        <f t="shared" si="167"/>
        <v>0</v>
      </c>
      <c r="N85" s="15">
        <f t="shared" si="168"/>
        <v>0</v>
      </c>
      <c r="O85" s="15">
        <f t="shared" si="169"/>
        <v>82</v>
      </c>
      <c r="P85" s="15" t="str">
        <f t="shared" si="170"/>
        <v>52</v>
      </c>
      <c r="Q85" s="15">
        <f t="shared" si="171"/>
        <v>161</v>
      </c>
      <c r="R85" s="15" t="str">
        <f t="shared" si="172"/>
        <v>A1</v>
      </c>
      <c r="S85" s="131"/>
      <c r="T85" s="131"/>
      <c r="V85" s="72" t="s">
        <v>1661</v>
      </c>
      <c r="W85" s="72" t="s">
        <v>1681</v>
      </c>
    </row>
    <row r="86" spans="2:23" ht="28.5" customHeight="1">
      <c r="B86" s="14" t="s">
        <v>1662</v>
      </c>
      <c r="C86" s="14" t="str">
        <f t="shared" si="162"/>
        <v>FF03004F400092</v>
      </c>
      <c r="D86" s="67" t="s">
        <v>91</v>
      </c>
      <c r="E86" s="67" t="s">
        <v>16</v>
      </c>
      <c r="F86" s="67" t="s">
        <v>70</v>
      </c>
      <c r="G86" s="67" t="s">
        <v>1509</v>
      </c>
      <c r="H86" s="67" t="s">
        <v>16</v>
      </c>
      <c r="I86" s="14" t="str">
        <f t="shared" si="163"/>
        <v>92</v>
      </c>
      <c r="J86" s="15">
        <f t="shared" si="164"/>
        <v>3</v>
      </c>
      <c r="K86" s="15">
        <f t="shared" si="165"/>
        <v>0</v>
      </c>
      <c r="L86" s="15">
        <f t="shared" si="166"/>
        <v>79</v>
      </c>
      <c r="M86" s="15">
        <f t="shared" si="167"/>
        <v>64</v>
      </c>
      <c r="N86" s="15">
        <f t="shared" si="168"/>
        <v>0</v>
      </c>
      <c r="O86" s="15">
        <f t="shared" si="169"/>
        <v>146</v>
      </c>
      <c r="P86" s="15" t="str">
        <f t="shared" si="170"/>
        <v>92</v>
      </c>
      <c r="Q86" s="15">
        <f t="shared" si="171"/>
        <v>289</v>
      </c>
      <c r="R86" s="15" t="str">
        <f t="shared" si="172"/>
        <v>21</v>
      </c>
      <c r="S86" s="131"/>
      <c r="T86" s="131"/>
      <c r="V86" s="72" t="s">
        <v>1662</v>
      </c>
      <c r="W86" s="72" t="s">
        <v>1682</v>
      </c>
    </row>
    <row r="87" spans="2:23" ht="16.5" customHeight="1">
      <c r="B87" s="14" t="s">
        <v>1663</v>
      </c>
      <c r="C87" s="14" t="str">
        <f t="shared" si="162"/>
        <v>FF03004FFFFF50</v>
      </c>
      <c r="D87" s="67" t="s">
        <v>91</v>
      </c>
      <c r="E87" s="67" t="s">
        <v>16</v>
      </c>
      <c r="F87" s="67" t="s">
        <v>70</v>
      </c>
      <c r="G87" s="67" t="s">
        <v>9</v>
      </c>
      <c r="H87" s="67" t="s">
        <v>9</v>
      </c>
      <c r="I87" s="14" t="str">
        <f t="shared" si="163"/>
        <v>50</v>
      </c>
      <c r="J87" s="15">
        <f t="shared" si="164"/>
        <v>3</v>
      </c>
      <c r="K87" s="15">
        <f t="shared" si="165"/>
        <v>0</v>
      </c>
      <c r="L87" s="15">
        <f t="shared" si="166"/>
        <v>79</v>
      </c>
      <c r="M87" s="15">
        <f t="shared" si="167"/>
        <v>255</v>
      </c>
      <c r="N87" s="15">
        <f t="shared" si="168"/>
        <v>255</v>
      </c>
      <c r="O87" s="15">
        <f t="shared" si="169"/>
        <v>592</v>
      </c>
      <c r="P87" s="15" t="str">
        <f t="shared" si="170"/>
        <v>50</v>
      </c>
      <c r="Q87" s="15">
        <f t="shared" si="171"/>
        <v>1181</v>
      </c>
      <c r="R87" s="15" t="str">
        <f t="shared" si="172"/>
        <v>9D</v>
      </c>
      <c r="S87" s="131"/>
      <c r="T87" s="131"/>
      <c r="V87" s="72" t="s">
        <v>1663</v>
      </c>
      <c r="W87" s="72" t="s">
        <v>1683</v>
      </c>
    </row>
    <row r="88" spans="2:23" ht="16.5" customHeight="1">
      <c r="B88" s="123" t="s">
        <v>1664</v>
      </c>
      <c r="C88" s="14" t="str">
        <f t="shared" si="162"/>
        <v>FF030055000058</v>
      </c>
      <c r="D88" s="67" t="s">
        <v>91</v>
      </c>
      <c r="E88" s="67" t="s">
        <v>16</v>
      </c>
      <c r="F88" s="67" t="s">
        <v>74</v>
      </c>
      <c r="G88" s="67" t="s">
        <v>16</v>
      </c>
      <c r="H88" s="67" t="s">
        <v>16</v>
      </c>
      <c r="I88" s="14" t="str">
        <f t="shared" si="163"/>
        <v>58</v>
      </c>
      <c r="J88" s="15">
        <f t="shared" si="164"/>
        <v>3</v>
      </c>
      <c r="K88" s="15">
        <f t="shared" si="165"/>
        <v>0</v>
      </c>
      <c r="L88" s="15">
        <f t="shared" si="166"/>
        <v>85</v>
      </c>
      <c r="M88" s="15">
        <f t="shared" si="167"/>
        <v>0</v>
      </c>
      <c r="N88" s="15">
        <f t="shared" si="168"/>
        <v>0</v>
      </c>
      <c r="O88" s="15">
        <f t="shared" si="169"/>
        <v>88</v>
      </c>
      <c r="P88" s="15" t="str">
        <f t="shared" si="170"/>
        <v>58</v>
      </c>
      <c r="Q88" s="15">
        <f t="shared" si="171"/>
        <v>173</v>
      </c>
      <c r="R88" s="15" t="str">
        <f>REPT("0",2-LEN(RIGHT(DEC2HEX(Q88), 2)))&amp;RIGHT(DEC2HEX(Q88), 2)</f>
        <v>AD</v>
      </c>
      <c r="S88" s="131"/>
      <c r="T88" s="131"/>
      <c r="V88" s="72" t="s">
        <v>1664</v>
      </c>
      <c r="W88" s="72" t="s">
        <v>1684</v>
      </c>
    </row>
    <row r="89" spans="2:23" ht="16.5" customHeight="1">
      <c r="B89" s="14" t="s">
        <v>1665</v>
      </c>
      <c r="C89" s="14" t="str">
        <f t="shared" si="162"/>
        <v>FF03014F000053</v>
      </c>
      <c r="D89" s="67" t="s">
        <v>91</v>
      </c>
      <c r="E89" s="67" t="s">
        <v>24</v>
      </c>
      <c r="F89" s="67" t="s">
        <v>70</v>
      </c>
      <c r="G89" s="67" t="s">
        <v>16</v>
      </c>
      <c r="H89" s="67" t="s">
        <v>16</v>
      </c>
      <c r="I89" s="14" t="str">
        <f t="shared" si="163"/>
        <v>53</v>
      </c>
      <c r="J89" s="15">
        <f t="shared" si="164"/>
        <v>3</v>
      </c>
      <c r="K89" s="15">
        <f t="shared" si="165"/>
        <v>1</v>
      </c>
      <c r="L89" s="15">
        <f t="shared" si="166"/>
        <v>79</v>
      </c>
      <c r="M89" s="15">
        <f t="shared" si="167"/>
        <v>0</v>
      </c>
      <c r="N89" s="15">
        <f t="shared" si="168"/>
        <v>0</v>
      </c>
      <c r="O89" s="15">
        <f t="shared" si="169"/>
        <v>83</v>
      </c>
      <c r="P89" s="15" t="str">
        <f t="shared" si="170"/>
        <v>53</v>
      </c>
      <c r="Q89" s="15">
        <f t="shared" si="171"/>
        <v>163</v>
      </c>
      <c r="R89" s="15" t="str">
        <f t="shared" ref="R89:R106" si="173">REPT("0",2-LEN(RIGHT(DEC2HEX(Q89), 2)))&amp;RIGHT(DEC2HEX(Q89), 2)</f>
        <v>A3</v>
      </c>
      <c r="S89" s="131"/>
      <c r="T89" s="131"/>
      <c r="V89" s="72" t="s">
        <v>1665</v>
      </c>
      <c r="W89" s="72" t="s">
        <v>1685</v>
      </c>
    </row>
    <row r="90" spans="2:23" ht="32.25" customHeight="1">
      <c r="B90" s="14" t="s">
        <v>1666</v>
      </c>
      <c r="C90" s="14" t="str">
        <f t="shared" si="162"/>
        <v>FF03014F100063</v>
      </c>
      <c r="D90" s="67" t="s">
        <v>91</v>
      </c>
      <c r="E90" s="67" t="s">
        <v>24</v>
      </c>
      <c r="F90" s="67" t="s">
        <v>70</v>
      </c>
      <c r="G90" s="67" t="s">
        <v>109</v>
      </c>
      <c r="H90" s="67" t="s">
        <v>16</v>
      </c>
      <c r="I90" s="14" t="str">
        <f t="shared" si="163"/>
        <v>63</v>
      </c>
      <c r="J90" s="15">
        <f t="shared" si="164"/>
        <v>3</v>
      </c>
      <c r="K90" s="15">
        <f t="shared" si="165"/>
        <v>1</v>
      </c>
      <c r="L90" s="15">
        <f t="shared" si="166"/>
        <v>79</v>
      </c>
      <c r="M90" s="15">
        <f t="shared" si="167"/>
        <v>16</v>
      </c>
      <c r="N90" s="15">
        <f t="shared" si="168"/>
        <v>0</v>
      </c>
      <c r="O90" s="15">
        <f t="shared" si="169"/>
        <v>99</v>
      </c>
      <c r="P90" s="15" t="str">
        <f t="shared" si="170"/>
        <v>63</v>
      </c>
      <c r="Q90" s="15">
        <f t="shared" si="171"/>
        <v>195</v>
      </c>
      <c r="R90" s="15" t="str">
        <f t="shared" si="173"/>
        <v>C3</v>
      </c>
      <c r="S90" s="131"/>
      <c r="T90" s="131"/>
      <c r="V90" s="72" t="s">
        <v>1666</v>
      </c>
      <c r="W90" s="72" t="s">
        <v>1686</v>
      </c>
    </row>
    <row r="91" spans="2:23" ht="30" customHeight="1">
      <c r="B91" s="14" t="s">
        <v>1667</v>
      </c>
      <c r="C91" s="14" t="str">
        <f t="shared" si="162"/>
        <v>FF03014F8000D3</v>
      </c>
      <c r="D91" s="67" t="s">
        <v>91</v>
      </c>
      <c r="E91" s="67" t="s">
        <v>24</v>
      </c>
      <c r="F91" s="67" t="s">
        <v>70</v>
      </c>
      <c r="G91" s="67" t="s">
        <v>43</v>
      </c>
      <c r="H91" s="67" t="s">
        <v>16</v>
      </c>
      <c r="I91" s="14" t="str">
        <f t="shared" si="163"/>
        <v>D3</v>
      </c>
      <c r="J91" s="15">
        <f t="shared" si="164"/>
        <v>3</v>
      </c>
      <c r="K91" s="15">
        <f t="shared" si="165"/>
        <v>1</v>
      </c>
      <c r="L91" s="15">
        <f t="shared" si="166"/>
        <v>79</v>
      </c>
      <c r="M91" s="15">
        <f t="shared" si="167"/>
        <v>128</v>
      </c>
      <c r="N91" s="15">
        <f t="shared" si="168"/>
        <v>0</v>
      </c>
      <c r="O91" s="15">
        <f t="shared" si="169"/>
        <v>211</v>
      </c>
      <c r="P91" s="15" t="str">
        <f t="shared" si="170"/>
        <v>D3</v>
      </c>
      <c r="Q91" s="15">
        <f t="shared" si="171"/>
        <v>419</v>
      </c>
      <c r="R91" s="15" t="str">
        <f t="shared" si="173"/>
        <v>A3</v>
      </c>
      <c r="S91" s="131"/>
      <c r="T91" s="131"/>
      <c r="V91" s="72" t="s">
        <v>1667</v>
      </c>
      <c r="W91" s="72" t="s">
        <v>1687</v>
      </c>
    </row>
    <row r="92" spans="2:23" ht="16.5" customHeight="1">
      <c r="B92" s="14" t="s">
        <v>1668</v>
      </c>
      <c r="C92" s="14" t="str">
        <f t="shared" si="162"/>
        <v>FF03014FFFFF51</v>
      </c>
      <c r="D92" s="67" t="s">
        <v>91</v>
      </c>
      <c r="E92" s="67" t="s">
        <v>24</v>
      </c>
      <c r="F92" s="67" t="s">
        <v>70</v>
      </c>
      <c r="G92" s="67" t="s">
        <v>9</v>
      </c>
      <c r="H92" s="67" t="s">
        <v>9</v>
      </c>
      <c r="I92" s="14" t="str">
        <f t="shared" si="163"/>
        <v>51</v>
      </c>
      <c r="J92" s="15">
        <f t="shared" si="164"/>
        <v>3</v>
      </c>
      <c r="K92" s="15">
        <f t="shared" si="165"/>
        <v>1</v>
      </c>
      <c r="L92" s="15">
        <f t="shared" si="166"/>
        <v>79</v>
      </c>
      <c r="M92" s="15">
        <f t="shared" si="167"/>
        <v>255</v>
      </c>
      <c r="N92" s="15">
        <f t="shared" si="168"/>
        <v>255</v>
      </c>
      <c r="O92" s="15">
        <f t="shared" si="169"/>
        <v>593</v>
      </c>
      <c r="P92" s="15" t="str">
        <f t="shared" si="170"/>
        <v>51</v>
      </c>
      <c r="Q92" s="15">
        <f t="shared" si="171"/>
        <v>1183</v>
      </c>
      <c r="R92" s="15" t="str">
        <f t="shared" si="173"/>
        <v>9F</v>
      </c>
      <c r="S92" s="131"/>
      <c r="T92" s="131"/>
      <c r="V92" s="72" t="s">
        <v>1668</v>
      </c>
      <c r="W92" s="72" t="s">
        <v>1688</v>
      </c>
    </row>
    <row r="93" spans="2:23" ht="16.5" customHeight="1">
      <c r="B93" s="14" t="s">
        <v>1669</v>
      </c>
      <c r="C93" s="14" t="str">
        <f t="shared" si="162"/>
        <v>FF030155000059</v>
      </c>
      <c r="D93" s="67" t="s">
        <v>91</v>
      </c>
      <c r="E93" s="67" t="s">
        <v>24</v>
      </c>
      <c r="F93" s="67" t="s">
        <v>74</v>
      </c>
      <c r="G93" s="67" t="s">
        <v>16</v>
      </c>
      <c r="H93" s="67" t="s">
        <v>16</v>
      </c>
      <c r="I93" s="14" t="str">
        <f t="shared" si="163"/>
        <v>59</v>
      </c>
      <c r="J93" s="15">
        <f t="shared" si="164"/>
        <v>3</v>
      </c>
      <c r="K93" s="15">
        <f t="shared" si="165"/>
        <v>1</v>
      </c>
      <c r="L93" s="15">
        <f t="shared" si="166"/>
        <v>85</v>
      </c>
      <c r="M93" s="15">
        <f t="shared" si="167"/>
        <v>0</v>
      </c>
      <c r="N93" s="15">
        <f t="shared" si="168"/>
        <v>0</v>
      </c>
      <c r="O93" s="15">
        <f t="shared" si="169"/>
        <v>89</v>
      </c>
      <c r="P93" s="15" t="str">
        <f t="shared" si="170"/>
        <v>59</v>
      </c>
      <c r="Q93" s="15">
        <f t="shared" si="171"/>
        <v>175</v>
      </c>
      <c r="R93" s="15" t="str">
        <f t="shared" si="173"/>
        <v>AF</v>
      </c>
      <c r="S93" s="131"/>
      <c r="T93" s="131"/>
      <c r="V93" s="72" t="s">
        <v>1669</v>
      </c>
      <c r="W93" s="72" t="s">
        <v>1689</v>
      </c>
    </row>
    <row r="94" spans="2:23" ht="16.5" customHeight="1">
      <c r="B94" s="14" t="s">
        <v>1670</v>
      </c>
      <c r="C94" s="14" t="str">
        <f t="shared" si="162"/>
        <v>FF03002B00002E</v>
      </c>
      <c r="D94" s="67" t="s">
        <v>91</v>
      </c>
      <c r="E94" s="67" t="s">
        <v>16</v>
      </c>
      <c r="F94" s="67" t="s">
        <v>104</v>
      </c>
      <c r="G94" s="67" t="s">
        <v>16</v>
      </c>
      <c r="H94" s="67" t="s">
        <v>16</v>
      </c>
      <c r="I94" s="14" t="str">
        <f t="shared" si="163"/>
        <v>2E</v>
      </c>
      <c r="J94" s="15">
        <f t="shared" si="164"/>
        <v>3</v>
      </c>
      <c r="K94" s="15">
        <f t="shared" si="165"/>
        <v>0</v>
      </c>
      <c r="L94" s="15">
        <f t="shared" si="166"/>
        <v>43</v>
      </c>
      <c r="M94" s="15">
        <f t="shared" si="167"/>
        <v>0</v>
      </c>
      <c r="N94" s="15">
        <f t="shared" si="168"/>
        <v>0</v>
      </c>
      <c r="O94" s="15">
        <f t="shared" si="169"/>
        <v>46</v>
      </c>
      <c r="P94" s="15" t="str">
        <f t="shared" si="170"/>
        <v>2E</v>
      </c>
      <c r="Q94" s="15">
        <f t="shared" si="171"/>
        <v>89</v>
      </c>
      <c r="R94" s="15" t="str">
        <f t="shared" si="173"/>
        <v>59</v>
      </c>
      <c r="S94" s="131"/>
      <c r="T94" s="131"/>
      <c r="V94" s="72" t="s">
        <v>1670</v>
      </c>
      <c r="W94" s="72" t="s">
        <v>1690</v>
      </c>
    </row>
    <row r="95" spans="2:23" ht="16.5" customHeight="1">
      <c r="B95" s="14" t="s">
        <v>1671</v>
      </c>
      <c r="C95" s="14" t="str">
        <f t="shared" si="162"/>
        <v>FF03002B00012F</v>
      </c>
      <c r="D95" s="67" t="s">
        <v>91</v>
      </c>
      <c r="E95" s="67" t="s">
        <v>16</v>
      </c>
      <c r="F95" s="67" t="s">
        <v>104</v>
      </c>
      <c r="G95" s="67" t="s">
        <v>16</v>
      </c>
      <c r="H95" s="67" t="s">
        <v>24</v>
      </c>
      <c r="I95" s="14" t="str">
        <f t="shared" si="163"/>
        <v>2F</v>
      </c>
      <c r="J95" s="15">
        <f t="shared" si="164"/>
        <v>3</v>
      </c>
      <c r="K95" s="15">
        <f t="shared" si="165"/>
        <v>0</v>
      </c>
      <c r="L95" s="15">
        <f t="shared" si="166"/>
        <v>43</v>
      </c>
      <c r="M95" s="15">
        <f t="shared" si="167"/>
        <v>0</v>
      </c>
      <c r="N95" s="15">
        <f t="shared" si="168"/>
        <v>1</v>
      </c>
      <c r="O95" s="15">
        <f t="shared" si="169"/>
        <v>47</v>
      </c>
      <c r="P95" s="15" t="str">
        <f t="shared" si="170"/>
        <v>2F</v>
      </c>
      <c r="Q95" s="15">
        <f t="shared" si="171"/>
        <v>91</v>
      </c>
      <c r="R95" s="15" t="str">
        <f t="shared" si="173"/>
        <v>5B</v>
      </c>
      <c r="S95" s="131"/>
      <c r="T95" s="131"/>
      <c r="V95" s="72" t="s">
        <v>1671</v>
      </c>
      <c r="W95" s="72" t="s">
        <v>1691</v>
      </c>
    </row>
    <row r="96" spans="2:23" ht="16.5" customHeight="1">
      <c r="B96" s="14" t="s">
        <v>1672</v>
      </c>
      <c r="C96" s="14" t="str">
        <f t="shared" si="162"/>
        <v>FF03000F000012</v>
      </c>
      <c r="D96" s="67" t="s">
        <v>91</v>
      </c>
      <c r="E96" s="67" t="s">
        <v>16</v>
      </c>
      <c r="F96" s="67" t="s">
        <v>78</v>
      </c>
      <c r="G96" s="67" t="s">
        <v>16</v>
      </c>
      <c r="H96" s="67" t="s">
        <v>16</v>
      </c>
      <c r="I96" s="14" t="str">
        <f t="shared" si="163"/>
        <v>12</v>
      </c>
      <c r="J96" s="15">
        <f t="shared" si="164"/>
        <v>3</v>
      </c>
      <c r="K96" s="15">
        <f t="shared" si="165"/>
        <v>0</v>
      </c>
      <c r="L96" s="15">
        <f t="shared" si="166"/>
        <v>15</v>
      </c>
      <c r="M96" s="15">
        <f t="shared" si="167"/>
        <v>0</v>
      </c>
      <c r="N96" s="15">
        <f t="shared" si="168"/>
        <v>0</v>
      </c>
      <c r="O96" s="15">
        <f t="shared" si="169"/>
        <v>18</v>
      </c>
      <c r="P96" s="15" t="str">
        <f t="shared" si="170"/>
        <v>12</v>
      </c>
      <c r="Q96" s="15">
        <f t="shared" si="171"/>
        <v>33</v>
      </c>
      <c r="R96" s="15" t="str">
        <f t="shared" si="173"/>
        <v>21</v>
      </c>
      <c r="S96" s="131"/>
      <c r="T96" s="131"/>
      <c r="V96" s="72" t="s">
        <v>1672</v>
      </c>
      <c r="W96" s="72" t="s">
        <v>1692</v>
      </c>
    </row>
    <row r="97" spans="2:23" ht="16.5" customHeight="1">
      <c r="B97" s="14" t="s">
        <v>1673</v>
      </c>
      <c r="C97" s="14" t="str">
        <f t="shared" si="162"/>
        <v>FF03002900002C</v>
      </c>
      <c r="D97" s="67" t="s">
        <v>91</v>
      </c>
      <c r="E97" s="67" t="s">
        <v>16</v>
      </c>
      <c r="F97" s="67" t="s">
        <v>79</v>
      </c>
      <c r="G97" s="67" t="s">
        <v>16</v>
      </c>
      <c r="H97" s="67" t="s">
        <v>16</v>
      </c>
      <c r="I97" s="14" t="str">
        <f t="shared" si="163"/>
        <v>2C</v>
      </c>
      <c r="J97" s="15">
        <f t="shared" si="164"/>
        <v>3</v>
      </c>
      <c r="K97" s="15">
        <f t="shared" si="165"/>
        <v>0</v>
      </c>
      <c r="L97" s="15">
        <f t="shared" si="166"/>
        <v>41</v>
      </c>
      <c r="M97" s="15">
        <f t="shared" si="167"/>
        <v>0</v>
      </c>
      <c r="N97" s="15">
        <f t="shared" si="168"/>
        <v>0</v>
      </c>
      <c r="O97" s="15">
        <f t="shared" si="169"/>
        <v>44</v>
      </c>
      <c r="P97" s="15" t="str">
        <f t="shared" si="170"/>
        <v>2C</v>
      </c>
      <c r="Q97" s="15">
        <f t="shared" si="171"/>
        <v>85</v>
      </c>
      <c r="R97" s="15" t="str">
        <f t="shared" si="173"/>
        <v>55</v>
      </c>
      <c r="S97" s="131"/>
      <c r="T97" s="131"/>
      <c r="V97" s="72" t="s">
        <v>1673</v>
      </c>
      <c r="W97" s="72" t="s">
        <v>1693</v>
      </c>
    </row>
    <row r="98" spans="2:23" ht="16.5" customHeight="1">
      <c r="B98" s="14" t="s">
        <v>1745</v>
      </c>
      <c r="C98" s="14" t="str">
        <f t="shared" si="162"/>
        <v>FF018100000082</v>
      </c>
      <c r="D98" s="67" t="s">
        <v>24</v>
      </c>
      <c r="E98" s="67" t="s">
        <v>1737</v>
      </c>
      <c r="F98" s="67" t="s">
        <v>16</v>
      </c>
      <c r="G98" s="67" t="s">
        <v>16</v>
      </c>
      <c r="H98" s="67" t="s">
        <v>16</v>
      </c>
      <c r="I98" s="14" t="str">
        <f t="shared" si="163"/>
        <v>82</v>
      </c>
      <c r="J98" s="15">
        <f t="shared" si="164"/>
        <v>1</v>
      </c>
      <c r="K98" s="15">
        <f t="shared" si="165"/>
        <v>129</v>
      </c>
      <c r="L98" s="15">
        <f t="shared" si="166"/>
        <v>0</v>
      </c>
      <c r="M98" s="15">
        <f t="shared" si="167"/>
        <v>0</v>
      </c>
      <c r="N98" s="15">
        <f t="shared" si="168"/>
        <v>0</v>
      </c>
      <c r="O98" s="15">
        <f t="shared" si="169"/>
        <v>130</v>
      </c>
      <c r="P98" s="15" t="str">
        <f t="shared" si="170"/>
        <v>82</v>
      </c>
      <c r="Q98" s="15">
        <f t="shared" si="171"/>
        <v>259</v>
      </c>
      <c r="R98" s="15" t="str">
        <f t="shared" si="173"/>
        <v>03</v>
      </c>
      <c r="S98" s="131"/>
      <c r="T98" s="131"/>
      <c r="V98" s="72"/>
      <c r="W98" s="72"/>
    </row>
    <row r="99" spans="2:23" ht="16.5" customHeight="1">
      <c r="B99" s="14" t="s">
        <v>1738</v>
      </c>
      <c r="C99" s="14" t="str">
        <f t="shared" si="162"/>
        <v>FF018000000081</v>
      </c>
      <c r="D99" s="67" t="s">
        <v>24</v>
      </c>
      <c r="E99" s="67" t="s">
        <v>43</v>
      </c>
      <c r="F99" s="67" t="s">
        <v>16</v>
      </c>
      <c r="G99" s="67" t="s">
        <v>16</v>
      </c>
      <c r="H99" s="67" t="s">
        <v>16</v>
      </c>
      <c r="I99" s="14" t="str">
        <f t="shared" si="163"/>
        <v>81</v>
      </c>
      <c r="J99" s="15">
        <f t="shared" si="164"/>
        <v>1</v>
      </c>
      <c r="K99" s="15">
        <f t="shared" si="165"/>
        <v>128</v>
      </c>
      <c r="L99" s="15">
        <f t="shared" si="166"/>
        <v>0</v>
      </c>
      <c r="M99" s="15">
        <f t="shared" si="167"/>
        <v>0</v>
      </c>
      <c r="N99" s="15">
        <f t="shared" si="168"/>
        <v>0</v>
      </c>
      <c r="O99" s="15">
        <f t="shared" si="169"/>
        <v>129</v>
      </c>
      <c r="P99" s="15" t="str">
        <f t="shared" si="170"/>
        <v>81</v>
      </c>
      <c r="Q99" s="15">
        <f t="shared" si="171"/>
        <v>257</v>
      </c>
      <c r="R99" s="15" t="str">
        <f t="shared" si="173"/>
        <v>01</v>
      </c>
      <c r="S99" s="131"/>
      <c r="T99" s="131"/>
      <c r="V99" s="72"/>
      <c r="W99" s="72"/>
    </row>
    <row r="100" spans="2:23" ht="16.5" customHeight="1">
      <c r="B100" s="14" t="s">
        <v>1739</v>
      </c>
      <c r="C100" s="14" t="str">
        <f t="shared" si="162"/>
        <v>FF018002000487</v>
      </c>
      <c r="D100" s="67" t="s">
        <v>24</v>
      </c>
      <c r="E100" s="67" t="s">
        <v>43</v>
      </c>
      <c r="F100" s="67" t="s">
        <v>17</v>
      </c>
      <c r="G100" s="67" t="s">
        <v>16</v>
      </c>
      <c r="H100" s="67" t="s">
        <v>67</v>
      </c>
      <c r="I100" s="14" t="str">
        <f t="shared" si="163"/>
        <v>87</v>
      </c>
      <c r="J100" s="15">
        <f t="shared" si="164"/>
        <v>1</v>
      </c>
      <c r="K100" s="15">
        <f t="shared" si="165"/>
        <v>128</v>
      </c>
      <c r="L100" s="15">
        <f t="shared" si="166"/>
        <v>2</v>
      </c>
      <c r="M100" s="15">
        <f t="shared" si="167"/>
        <v>0</v>
      </c>
      <c r="N100" s="15">
        <f t="shared" si="168"/>
        <v>4</v>
      </c>
      <c r="O100" s="15">
        <f t="shared" si="169"/>
        <v>135</v>
      </c>
      <c r="P100" s="15" t="str">
        <f t="shared" si="170"/>
        <v>87</v>
      </c>
      <c r="Q100" s="15">
        <f t="shared" si="171"/>
        <v>269</v>
      </c>
      <c r="R100" s="15" t="str">
        <f t="shared" si="173"/>
        <v>0D</v>
      </c>
      <c r="S100" s="131"/>
      <c r="T100" s="131"/>
      <c r="V100" s="72"/>
      <c r="W100" s="72"/>
    </row>
    <row r="101" spans="2:23" ht="16.5" customHeight="1">
      <c r="B101" s="14" t="s">
        <v>1740</v>
      </c>
      <c r="C101" s="14" t="str">
        <f t="shared" si="162"/>
        <v>FF018002000083</v>
      </c>
      <c r="D101" s="67" t="s">
        <v>24</v>
      </c>
      <c r="E101" s="67" t="s">
        <v>43</v>
      </c>
      <c r="F101" s="67" t="s">
        <v>17</v>
      </c>
      <c r="G101" s="67" t="s">
        <v>16</v>
      </c>
      <c r="H101" s="67" t="s">
        <v>16</v>
      </c>
      <c r="I101" s="14" t="str">
        <f t="shared" si="163"/>
        <v>83</v>
      </c>
      <c r="J101" s="15">
        <f t="shared" si="164"/>
        <v>1</v>
      </c>
      <c r="K101" s="15">
        <f t="shared" si="165"/>
        <v>128</v>
      </c>
      <c r="L101" s="15">
        <f t="shared" si="166"/>
        <v>2</v>
      </c>
      <c r="M101" s="15">
        <f t="shared" si="167"/>
        <v>0</v>
      </c>
      <c r="N101" s="15">
        <f t="shared" si="168"/>
        <v>0</v>
      </c>
      <c r="O101" s="15">
        <f t="shared" si="169"/>
        <v>131</v>
      </c>
      <c r="P101" s="15" t="str">
        <f t="shared" si="170"/>
        <v>83</v>
      </c>
      <c r="Q101" s="15">
        <f t="shared" si="171"/>
        <v>261</v>
      </c>
      <c r="R101" s="15" t="str">
        <f t="shared" si="173"/>
        <v>05</v>
      </c>
      <c r="S101" s="131"/>
      <c r="T101" s="131"/>
      <c r="V101" s="72"/>
      <c r="W101" s="72"/>
    </row>
    <row r="102" spans="2:23" ht="16.5" customHeight="1">
      <c r="B102" s="14" t="s">
        <v>1741</v>
      </c>
      <c r="C102" s="14" t="str">
        <f t="shared" si="162"/>
        <v>FF018003000488</v>
      </c>
      <c r="D102" s="67" t="s">
        <v>24</v>
      </c>
      <c r="E102" s="67" t="s">
        <v>43</v>
      </c>
      <c r="F102" s="67" t="s">
        <v>91</v>
      </c>
      <c r="G102" s="67" t="s">
        <v>16</v>
      </c>
      <c r="H102" s="67" t="s">
        <v>67</v>
      </c>
      <c r="I102" s="14" t="str">
        <f t="shared" si="163"/>
        <v>88</v>
      </c>
      <c r="J102" s="15">
        <f t="shared" si="164"/>
        <v>1</v>
      </c>
      <c r="K102" s="15">
        <f t="shared" si="165"/>
        <v>128</v>
      </c>
      <c r="L102" s="15">
        <f t="shared" si="166"/>
        <v>3</v>
      </c>
      <c r="M102" s="15">
        <f t="shared" si="167"/>
        <v>0</v>
      </c>
      <c r="N102" s="15">
        <f t="shared" si="168"/>
        <v>4</v>
      </c>
      <c r="O102" s="15">
        <f t="shared" si="169"/>
        <v>136</v>
      </c>
      <c r="P102" s="15" t="str">
        <f t="shared" si="170"/>
        <v>88</v>
      </c>
      <c r="Q102" s="15">
        <f t="shared" si="171"/>
        <v>271</v>
      </c>
      <c r="R102" s="15" t="str">
        <f t="shared" si="173"/>
        <v>0F</v>
      </c>
      <c r="S102" s="131"/>
      <c r="T102" s="131"/>
      <c r="V102" s="72"/>
      <c r="W102" s="72"/>
    </row>
    <row r="103" spans="2:23" ht="16.5" customHeight="1">
      <c r="B103" s="14" t="s">
        <v>1742</v>
      </c>
      <c r="C103" s="14" t="str">
        <f t="shared" si="162"/>
        <v>FF018003000084</v>
      </c>
      <c r="D103" s="67" t="s">
        <v>24</v>
      </c>
      <c r="E103" s="67" t="s">
        <v>43</v>
      </c>
      <c r="F103" s="67" t="s">
        <v>91</v>
      </c>
      <c r="G103" s="67" t="s">
        <v>16</v>
      </c>
      <c r="H103" s="67" t="s">
        <v>16</v>
      </c>
      <c r="I103" s="14" t="str">
        <f t="shared" si="163"/>
        <v>84</v>
      </c>
      <c r="J103" s="15">
        <f t="shared" si="164"/>
        <v>1</v>
      </c>
      <c r="K103" s="15">
        <f t="shared" si="165"/>
        <v>128</v>
      </c>
      <c r="L103" s="15">
        <f t="shared" si="166"/>
        <v>3</v>
      </c>
      <c r="M103" s="15">
        <f t="shared" si="167"/>
        <v>0</v>
      </c>
      <c r="N103" s="15">
        <f t="shared" si="168"/>
        <v>0</v>
      </c>
      <c r="O103" s="15">
        <f t="shared" si="169"/>
        <v>132</v>
      </c>
      <c r="P103" s="15" t="str">
        <f t="shared" si="170"/>
        <v>84</v>
      </c>
      <c r="Q103" s="15">
        <f t="shared" si="171"/>
        <v>263</v>
      </c>
      <c r="R103" s="15" t="str">
        <f t="shared" si="173"/>
        <v>07</v>
      </c>
      <c r="S103" s="131"/>
      <c r="T103" s="131"/>
      <c r="V103" s="72"/>
      <c r="W103" s="72"/>
    </row>
    <row r="104" spans="2:23" ht="25.5">
      <c r="B104" s="14" t="s">
        <v>1743</v>
      </c>
      <c r="C104" s="14" t="str">
        <f t="shared" si="162"/>
        <v>FF018005000086</v>
      </c>
      <c r="D104" s="67" t="s">
        <v>24</v>
      </c>
      <c r="E104" s="67" t="s">
        <v>43</v>
      </c>
      <c r="F104" s="67" t="s">
        <v>92</v>
      </c>
      <c r="G104" s="67" t="s">
        <v>16</v>
      </c>
      <c r="H104" s="67" t="s">
        <v>16</v>
      </c>
      <c r="I104" s="14" t="str">
        <f t="shared" si="163"/>
        <v>86</v>
      </c>
      <c r="J104" s="15">
        <f t="shared" si="164"/>
        <v>1</v>
      </c>
      <c r="K104" s="15">
        <f t="shared" si="165"/>
        <v>128</v>
      </c>
      <c r="L104" s="15">
        <f t="shared" si="166"/>
        <v>5</v>
      </c>
      <c r="M104" s="15">
        <f t="shared" si="167"/>
        <v>0</v>
      </c>
      <c r="N104" s="15">
        <f t="shared" si="168"/>
        <v>0</v>
      </c>
      <c r="O104" s="15">
        <f t="shared" si="169"/>
        <v>134</v>
      </c>
      <c r="P104" s="15" t="str">
        <f t="shared" si="170"/>
        <v>86</v>
      </c>
      <c r="Q104" s="15">
        <f t="shared" si="171"/>
        <v>267</v>
      </c>
      <c r="R104" s="15" t="str">
        <f t="shared" si="173"/>
        <v>0B</v>
      </c>
      <c r="S104" s="131"/>
      <c r="T104" s="131"/>
      <c r="V104" s="72"/>
      <c r="W104" s="72"/>
    </row>
    <row r="105" spans="2:23" ht="25.5">
      <c r="B105" s="14" t="s">
        <v>1744</v>
      </c>
      <c r="C105" s="14" t="str">
        <f t="shared" si="162"/>
        <v>FF018005000187</v>
      </c>
      <c r="D105" s="67" t="s">
        <v>24</v>
      </c>
      <c r="E105" s="67" t="s">
        <v>43</v>
      </c>
      <c r="F105" s="67" t="s">
        <v>92</v>
      </c>
      <c r="G105" s="67" t="s">
        <v>16</v>
      </c>
      <c r="H105" s="67" t="s">
        <v>24</v>
      </c>
      <c r="I105" s="14" t="str">
        <f t="shared" si="163"/>
        <v>87</v>
      </c>
      <c r="J105" s="15">
        <f t="shared" si="164"/>
        <v>1</v>
      </c>
      <c r="K105" s="15">
        <f t="shared" si="165"/>
        <v>128</v>
      </c>
      <c r="L105" s="15">
        <f t="shared" si="166"/>
        <v>5</v>
      </c>
      <c r="M105" s="15">
        <f t="shared" si="167"/>
        <v>0</v>
      </c>
      <c r="N105" s="15">
        <f t="shared" si="168"/>
        <v>1</v>
      </c>
      <c r="O105" s="15">
        <f t="shared" si="169"/>
        <v>135</v>
      </c>
      <c r="P105" s="15" t="str">
        <f t="shared" si="170"/>
        <v>87</v>
      </c>
      <c r="Q105" s="15">
        <f t="shared" si="171"/>
        <v>269</v>
      </c>
      <c r="R105" s="15" t="str">
        <f t="shared" si="173"/>
        <v>0D</v>
      </c>
      <c r="S105" s="131"/>
      <c r="T105" s="131"/>
      <c r="V105" s="72"/>
      <c r="W105" s="72"/>
    </row>
    <row r="106" spans="2:23" ht="16.5" customHeight="1">
      <c r="B106" s="14" t="s">
        <v>1746</v>
      </c>
      <c r="C106" s="14" t="str">
        <f t="shared" si="162"/>
        <v>FF019100000092</v>
      </c>
      <c r="D106" s="67" t="s">
        <v>24</v>
      </c>
      <c r="E106" s="67" t="s">
        <v>1747</v>
      </c>
      <c r="F106" s="67" t="s">
        <v>16</v>
      </c>
      <c r="G106" s="67" t="s">
        <v>16</v>
      </c>
      <c r="H106" s="67" t="s">
        <v>16</v>
      </c>
      <c r="I106" s="14" t="str">
        <f t="shared" si="163"/>
        <v>92</v>
      </c>
      <c r="J106" s="15">
        <f t="shared" si="164"/>
        <v>1</v>
      </c>
      <c r="K106" s="15">
        <f t="shared" si="165"/>
        <v>145</v>
      </c>
      <c r="L106" s="15">
        <f t="shared" si="166"/>
        <v>0</v>
      </c>
      <c r="M106" s="15">
        <f t="shared" si="167"/>
        <v>0</v>
      </c>
      <c r="N106" s="15">
        <f t="shared" si="168"/>
        <v>0</v>
      </c>
      <c r="O106" s="15">
        <f t="shared" si="169"/>
        <v>146</v>
      </c>
      <c r="P106" s="15" t="str">
        <f t="shared" si="170"/>
        <v>92</v>
      </c>
      <c r="Q106" s="15">
        <f t="shared" si="171"/>
        <v>291</v>
      </c>
      <c r="R106" s="15" t="str">
        <f t="shared" si="173"/>
        <v>23</v>
      </c>
      <c r="S106" s="131"/>
      <c r="T106" s="131"/>
      <c r="V106" s="72"/>
      <c r="W106" s="72"/>
    </row>
    <row r="107" spans="2:23" ht="16.5" customHeight="1">
      <c r="B107" s="14" t="s">
        <v>1752</v>
      </c>
      <c r="C107" s="14" t="str">
        <f t="shared" si="162"/>
        <v>FF019001000092</v>
      </c>
      <c r="D107" s="67" t="s">
        <v>24</v>
      </c>
      <c r="E107" s="67" t="s">
        <v>1751</v>
      </c>
      <c r="F107" s="67" t="s">
        <v>24</v>
      </c>
      <c r="G107" s="67" t="s">
        <v>16</v>
      </c>
      <c r="H107" s="67" t="s">
        <v>16</v>
      </c>
      <c r="I107" s="14" t="str">
        <f t="shared" si="163"/>
        <v>92</v>
      </c>
      <c r="J107" s="15">
        <f t="shared" ref="J107:J124" si="174">HEX2DEC(D107)</f>
        <v>1</v>
      </c>
      <c r="K107" s="15">
        <f t="shared" ref="K107:K124" si="175">HEX2DEC(E107)</f>
        <v>144</v>
      </c>
      <c r="L107" s="15">
        <f t="shared" ref="L107:L124" si="176">HEX2DEC(F107)</f>
        <v>1</v>
      </c>
      <c r="M107" s="15">
        <f t="shared" ref="M107:M124" si="177">HEX2DEC(G107)</f>
        <v>0</v>
      </c>
      <c r="N107" s="15">
        <f t="shared" ref="N107:N124" si="178">HEX2DEC(H107)</f>
        <v>0</v>
      </c>
      <c r="O107" s="15">
        <f t="shared" ref="O107:O124" si="179">SUM(J107:N107)</f>
        <v>146</v>
      </c>
      <c r="P107" s="15" t="str">
        <f t="shared" ref="P107:P124" si="180">REPT("0",2-LEN(RIGHT(DEC2HEX(O107), 2)))&amp;RIGHT(DEC2HEX(O107), 2)</f>
        <v>92</v>
      </c>
      <c r="Q107" s="15">
        <f t="shared" ref="Q107:Q124" si="181">SUM(K107:P107)</f>
        <v>291</v>
      </c>
      <c r="R107" s="15" t="str">
        <f t="shared" ref="R107:R124" si="182">REPT("0",2-LEN(RIGHT(DEC2HEX(Q107), 2)))&amp;RIGHT(DEC2HEX(Q107), 2)</f>
        <v>23</v>
      </c>
      <c r="S107" s="131"/>
      <c r="T107" s="131"/>
      <c r="V107" s="72"/>
      <c r="W107" s="72"/>
    </row>
    <row r="108" spans="2:23" ht="16.5" customHeight="1">
      <c r="B108" s="14" t="s">
        <v>1753</v>
      </c>
      <c r="C108" s="14" t="str">
        <f t="shared" ref="C108" si="183">"FF"&amp;D108&amp;E108&amp;""&amp;F108&amp;G108&amp;H108&amp;I108</f>
        <v>FF019001000193</v>
      </c>
      <c r="D108" s="67" t="s">
        <v>24</v>
      </c>
      <c r="E108" s="67" t="s">
        <v>1751</v>
      </c>
      <c r="F108" s="67" t="s">
        <v>24</v>
      </c>
      <c r="G108" s="67" t="s">
        <v>16</v>
      </c>
      <c r="H108" s="67" t="s">
        <v>24</v>
      </c>
      <c r="I108" s="14" t="str">
        <f t="shared" ref="I108" si="184">P108</f>
        <v>93</v>
      </c>
      <c r="J108" s="15">
        <f t="shared" ref="J108" si="185">HEX2DEC(D108)</f>
        <v>1</v>
      </c>
      <c r="K108" s="15">
        <f t="shared" ref="K108" si="186">HEX2DEC(E108)</f>
        <v>144</v>
      </c>
      <c r="L108" s="15">
        <f t="shared" ref="L108" si="187">HEX2DEC(F108)</f>
        <v>1</v>
      </c>
      <c r="M108" s="15">
        <f t="shared" ref="M108" si="188">HEX2DEC(G108)</f>
        <v>0</v>
      </c>
      <c r="N108" s="15">
        <f t="shared" ref="N108" si="189">HEX2DEC(H108)</f>
        <v>1</v>
      </c>
      <c r="O108" s="15">
        <f t="shared" ref="O108" si="190">SUM(J108:N108)</f>
        <v>147</v>
      </c>
      <c r="P108" s="15" t="str">
        <f t="shared" ref="P108" si="191">REPT("0",2-LEN(RIGHT(DEC2HEX(O108), 2)))&amp;RIGHT(DEC2HEX(O108), 2)</f>
        <v>93</v>
      </c>
      <c r="Q108" s="15">
        <f t="shared" ref="Q108" si="192">SUM(K108:P108)</f>
        <v>293</v>
      </c>
      <c r="R108" s="15" t="str">
        <f t="shared" ref="R108" si="193">REPT("0",2-LEN(RIGHT(DEC2HEX(Q108), 2)))&amp;RIGHT(DEC2HEX(Q108), 2)</f>
        <v>25</v>
      </c>
      <c r="S108" s="131"/>
      <c r="T108" s="131"/>
      <c r="V108" s="72"/>
      <c r="W108" s="72"/>
    </row>
    <row r="109" spans="2:23" ht="16.5" customHeight="1">
      <c r="B109" s="14" t="s">
        <v>1748</v>
      </c>
      <c r="C109" s="14" t="str">
        <f t="shared" si="162"/>
        <v>FF019002000093</v>
      </c>
      <c r="D109" s="67" t="s">
        <v>24</v>
      </c>
      <c r="E109" s="67" t="s">
        <v>1751</v>
      </c>
      <c r="F109" s="67" t="s">
        <v>17</v>
      </c>
      <c r="G109" s="67" t="s">
        <v>16</v>
      </c>
      <c r="H109" s="67" t="s">
        <v>16</v>
      </c>
      <c r="I109" s="14" t="str">
        <f t="shared" si="163"/>
        <v>93</v>
      </c>
      <c r="J109" s="15">
        <f t="shared" si="174"/>
        <v>1</v>
      </c>
      <c r="K109" s="15">
        <f t="shared" si="175"/>
        <v>144</v>
      </c>
      <c r="L109" s="15">
        <f t="shared" si="176"/>
        <v>2</v>
      </c>
      <c r="M109" s="15">
        <f t="shared" si="177"/>
        <v>0</v>
      </c>
      <c r="N109" s="15">
        <f t="shared" si="178"/>
        <v>0</v>
      </c>
      <c r="O109" s="15">
        <f t="shared" si="179"/>
        <v>147</v>
      </c>
      <c r="P109" s="15" t="str">
        <f t="shared" si="180"/>
        <v>93</v>
      </c>
      <c r="Q109" s="15">
        <f t="shared" si="181"/>
        <v>293</v>
      </c>
      <c r="R109" s="15" t="str">
        <f t="shared" si="182"/>
        <v>25</v>
      </c>
      <c r="S109" s="131"/>
      <c r="T109" s="131"/>
      <c r="V109" s="72"/>
      <c r="W109" s="72"/>
    </row>
    <row r="110" spans="2:23" ht="16.5" customHeight="1">
      <c r="B110" s="14" t="s">
        <v>1754</v>
      </c>
      <c r="C110" s="14" t="str">
        <f t="shared" si="162"/>
        <v>FF019003000094</v>
      </c>
      <c r="D110" s="67" t="s">
        <v>24</v>
      </c>
      <c r="E110" s="67" t="s">
        <v>1751</v>
      </c>
      <c r="F110" s="67" t="s">
        <v>91</v>
      </c>
      <c r="G110" s="67" t="s">
        <v>16</v>
      </c>
      <c r="H110" s="67" t="s">
        <v>16</v>
      </c>
      <c r="I110" s="14" t="str">
        <f t="shared" si="163"/>
        <v>94</v>
      </c>
      <c r="J110" s="15">
        <f t="shared" si="174"/>
        <v>1</v>
      </c>
      <c r="K110" s="15">
        <f t="shared" si="175"/>
        <v>144</v>
      </c>
      <c r="L110" s="15">
        <f t="shared" si="176"/>
        <v>3</v>
      </c>
      <c r="M110" s="15">
        <f t="shared" si="177"/>
        <v>0</v>
      </c>
      <c r="N110" s="15">
        <f t="shared" si="178"/>
        <v>0</v>
      </c>
      <c r="O110" s="15">
        <f t="shared" si="179"/>
        <v>148</v>
      </c>
      <c r="P110" s="15" t="str">
        <f t="shared" si="180"/>
        <v>94</v>
      </c>
      <c r="Q110" s="15">
        <f t="shared" si="181"/>
        <v>295</v>
      </c>
      <c r="R110" s="15" t="str">
        <f t="shared" si="182"/>
        <v>27</v>
      </c>
      <c r="S110" s="131"/>
      <c r="T110" s="131"/>
      <c r="V110" s="72"/>
      <c r="W110" s="72"/>
    </row>
    <row r="111" spans="2:23" ht="16.5" customHeight="1">
      <c r="B111" s="14" t="s">
        <v>1755</v>
      </c>
      <c r="C111" s="14" t="str">
        <f t="shared" ref="C111" si="194">"FF"&amp;D111&amp;E111&amp;""&amp;F111&amp;G111&amp;H111&amp;I111</f>
        <v>FF019003000195</v>
      </c>
      <c r="D111" s="67" t="s">
        <v>24</v>
      </c>
      <c r="E111" s="67" t="s">
        <v>1751</v>
      </c>
      <c r="F111" s="67" t="s">
        <v>91</v>
      </c>
      <c r="G111" s="67" t="s">
        <v>16</v>
      </c>
      <c r="H111" s="67" t="s">
        <v>24</v>
      </c>
      <c r="I111" s="14" t="str">
        <f t="shared" ref="I111" si="195">P111</f>
        <v>95</v>
      </c>
      <c r="J111" s="15">
        <f t="shared" ref="J111" si="196">HEX2DEC(D111)</f>
        <v>1</v>
      </c>
      <c r="K111" s="15">
        <f t="shared" ref="K111" si="197">HEX2DEC(E111)</f>
        <v>144</v>
      </c>
      <c r="L111" s="15">
        <f t="shared" ref="L111" si="198">HEX2DEC(F111)</f>
        <v>3</v>
      </c>
      <c r="M111" s="15">
        <f t="shared" ref="M111" si="199">HEX2DEC(G111)</f>
        <v>0</v>
      </c>
      <c r="N111" s="15">
        <f t="shared" ref="N111" si="200">HEX2DEC(H111)</f>
        <v>1</v>
      </c>
      <c r="O111" s="15">
        <f t="shared" ref="O111" si="201">SUM(J111:N111)</f>
        <v>149</v>
      </c>
      <c r="P111" s="15" t="str">
        <f t="shared" ref="P111" si="202">REPT("0",2-LEN(RIGHT(DEC2HEX(O111), 2)))&amp;RIGHT(DEC2HEX(O111), 2)</f>
        <v>95</v>
      </c>
      <c r="Q111" s="15">
        <f t="shared" ref="Q111" si="203">SUM(K111:P111)</f>
        <v>297</v>
      </c>
      <c r="R111" s="15" t="str">
        <f t="shared" ref="R111" si="204">REPT("0",2-LEN(RIGHT(DEC2HEX(Q111), 2)))&amp;RIGHT(DEC2HEX(Q111), 2)</f>
        <v>29</v>
      </c>
      <c r="S111" s="131"/>
      <c r="T111" s="131"/>
      <c r="V111" s="72"/>
      <c r="W111" s="72"/>
    </row>
    <row r="112" spans="2:23" ht="16.5" customHeight="1">
      <c r="B112" s="14" t="s">
        <v>1749</v>
      </c>
      <c r="C112" s="14" t="str">
        <f t="shared" si="162"/>
        <v>FF019004000095</v>
      </c>
      <c r="D112" s="67" t="s">
        <v>24</v>
      </c>
      <c r="E112" s="67" t="s">
        <v>1751</v>
      </c>
      <c r="F112" s="67" t="s">
        <v>67</v>
      </c>
      <c r="G112" s="67" t="s">
        <v>16</v>
      </c>
      <c r="H112" s="67" t="s">
        <v>16</v>
      </c>
      <c r="I112" s="14" t="str">
        <f t="shared" si="163"/>
        <v>95</v>
      </c>
      <c r="J112" s="15">
        <f t="shared" si="174"/>
        <v>1</v>
      </c>
      <c r="K112" s="15">
        <f t="shared" si="175"/>
        <v>144</v>
      </c>
      <c r="L112" s="15">
        <f t="shared" si="176"/>
        <v>4</v>
      </c>
      <c r="M112" s="15">
        <f t="shared" si="177"/>
        <v>0</v>
      </c>
      <c r="N112" s="15">
        <f t="shared" si="178"/>
        <v>0</v>
      </c>
      <c r="O112" s="15">
        <f t="shared" si="179"/>
        <v>149</v>
      </c>
      <c r="P112" s="15" t="str">
        <f t="shared" si="180"/>
        <v>95</v>
      </c>
      <c r="Q112" s="15">
        <f t="shared" si="181"/>
        <v>297</v>
      </c>
      <c r="R112" s="15" t="str">
        <f t="shared" si="182"/>
        <v>29</v>
      </c>
      <c r="S112" s="131"/>
      <c r="T112" s="131"/>
      <c r="V112" s="72"/>
      <c r="W112" s="72"/>
    </row>
    <row r="113" spans="2:23" ht="16.5" customHeight="1">
      <c r="B113" s="14" t="s">
        <v>1756</v>
      </c>
      <c r="C113" s="14" t="str">
        <f t="shared" si="162"/>
        <v>FF019005000096</v>
      </c>
      <c r="D113" s="67" t="s">
        <v>24</v>
      </c>
      <c r="E113" s="67" t="s">
        <v>1751</v>
      </c>
      <c r="F113" s="67" t="s">
        <v>92</v>
      </c>
      <c r="G113" s="67" t="s">
        <v>16</v>
      </c>
      <c r="H113" s="67" t="s">
        <v>16</v>
      </c>
      <c r="I113" s="14" t="str">
        <f t="shared" si="163"/>
        <v>96</v>
      </c>
      <c r="J113" s="15">
        <f t="shared" si="174"/>
        <v>1</v>
      </c>
      <c r="K113" s="15">
        <f t="shared" si="175"/>
        <v>144</v>
      </c>
      <c r="L113" s="15">
        <f t="shared" si="176"/>
        <v>5</v>
      </c>
      <c r="M113" s="15">
        <f t="shared" si="177"/>
        <v>0</v>
      </c>
      <c r="N113" s="15">
        <f t="shared" si="178"/>
        <v>0</v>
      </c>
      <c r="O113" s="15">
        <f t="shared" si="179"/>
        <v>150</v>
      </c>
      <c r="P113" s="15" t="str">
        <f t="shared" si="180"/>
        <v>96</v>
      </c>
      <c r="Q113" s="15">
        <f t="shared" si="181"/>
        <v>299</v>
      </c>
      <c r="R113" s="15" t="str">
        <f t="shared" si="182"/>
        <v>2B</v>
      </c>
      <c r="T113" s="131"/>
      <c r="V113" s="72"/>
      <c r="W113" s="72"/>
    </row>
    <row r="114" spans="2:23" ht="16.5" customHeight="1">
      <c r="B114" s="14" t="s">
        <v>1757</v>
      </c>
      <c r="C114" s="14" t="str">
        <f t="shared" ref="C114" si="205">"FF"&amp;D114&amp;E114&amp;""&amp;F114&amp;G114&amp;H114&amp;I114</f>
        <v>FF019005000197</v>
      </c>
      <c r="D114" s="67" t="s">
        <v>24</v>
      </c>
      <c r="E114" s="67" t="s">
        <v>1751</v>
      </c>
      <c r="F114" s="67" t="s">
        <v>92</v>
      </c>
      <c r="G114" s="67" t="s">
        <v>16</v>
      </c>
      <c r="H114" s="67" t="s">
        <v>24</v>
      </c>
      <c r="I114" s="14" t="str">
        <f t="shared" ref="I114" si="206">P114</f>
        <v>97</v>
      </c>
      <c r="J114" s="15">
        <f t="shared" ref="J114" si="207">HEX2DEC(D114)</f>
        <v>1</v>
      </c>
      <c r="K114" s="15">
        <f t="shared" ref="K114" si="208">HEX2DEC(E114)</f>
        <v>144</v>
      </c>
      <c r="L114" s="15">
        <f t="shared" ref="L114" si="209">HEX2DEC(F114)</f>
        <v>5</v>
      </c>
      <c r="M114" s="15">
        <f t="shared" ref="M114" si="210">HEX2DEC(G114)</f>
        <v>0</v>
      </c>
      <c r="N114" s="15">
        <f t="shared" ref="N114" si="211">HEX2DEC(H114)</f>
        <v>1</v>
      </c>
      <c r="O114" s="15">
        <f t="shared" ref="O114" si="212">SUM(J114:N114)</f>
        <v>151</v>
      </c>
      <c r="P114" s="15" t="str">
        <f t="shared" ref="P114" si="213">REPT("0",2-LEN(RIGHT(DEC2HEX(O114), 2)))&amp;RIGHT(DEC2HEX(O114), 2)</f>
        <v>97</v>
      </c>
      <c r="Q114" s="15">
        <f t="shared" ref="Q114" si="214">SUM(K114:P114)</f>
        <v>301</v>
      </c>
      <c r="R114" s="15" t="str">
        <f t="shared" ref="R114" si="215">REPT("0",2-LEN(RIGHT(DEC2HEX(Q114), 2)))&amp;RIGHT(DEC2HEX(Q114), 2)</f>
        <v>2D</v>
      </c>
      <c r="S114" s="131"/>
      <c r="T114" s="131"/>
      <c r="V114" s="72"/>
      <c r="W114" s="72"/>
    </row>
    <row r="115" spans="2:23" ht="16.5" customHeight="1">
      <c r="B115" s="14" t="s">
        <v>1750</v>
      </c>
      <c r="C115" s="14" t="str">
        <f t="shared" si="162"/>
        <v>FF019006000097</v>
      </c>
      <c r="D115" s="67" t="s">
        <v>24</v>
      </c>
      <c r="E115" s="67" t="s">
        <v>1751</v>
      </c>
      <c r="F115" s="67" t="s">
        <v>100</v>
      </c>
      <c r="G115" s="67" t="s">
        <v>16</v>
      </c>
      <c r="H115" s="67" t="s">
        <v>16</v>
      </c>
      <c r="I115" s="14" t="str">
        <f t="shared" si="163"/>
        <v>97</v>
      </c>
      <c r="J115" s="15">
        <f t="shared" si="174"/>
        <v>1</v>
      </c>
      <c r="K115" s="15">
        <f t="shared" si="175"/>
        <v>144</v>
      </c>
      <c r="L115" s="15">
        <f t="shared" si="176"/>
        <v>6</v>
      </c>
      <c r="M115" s="15">
        <f t="shared" si="177"/>
        <v>0</v>
      </c>
      <c r="N115" s="15">
        <f t="shared" si="178"/>
        <v>0</v>
      </c>
      <c r="O115" s="15">
        <f t="shared" si="179"/>
        <v>151</v>
      </c>
      <c r="P115" s="15" t="str">
        <f t="shared" si="180"/>
        <v>97</v>
      </c>
      <c r="Q115" s="15">
        <f t="shared" si="181"/>
        <v>301</v>
      </c>
      <c r="R115" s="15" t="str">
        <f t="shared" si="182"/>
        <v>2D</v>
      </c>
      <c r="S115" s="131"/>
      <c r="T115" s="131"/>
      <c r="V115" s="72"/>
      <c r="W115" s="72"/>
    </row>
    <row r="116" spans="2:23" ht="16.5" customHeight="1">
      <c r="B116" s="14" t="s">
        <v>1758</v>
      </c>
      <c r="C116" s="14" t="str">
        <f t="shared" si="162"/>
        <v>FF01A1100000B2</v>
      </c>
      <c r="D116" s="67" t="s">
        <v>24</v>
      </c>
      <c r="E116" s="67" t="s">
        <v>80</v>
      </c>
      <c r="F116" s="67" t="s">
        <v>109</v>
      </c>
      <c r="G116" s="67" t="s">
        <v>16</v>
      </c>
      <c r="H116" s="67" t="s">
        <v>16</v>
      </c>
      <c r="I116" s="14" t="str">
        <f t="shared" si="163"/>
        <v>B2</v>
      </c>
      <c r="J116" s="15">
        <f t="shared" si="174"/>
        <v>1</v>
      </c>
      <c r="K116" s="15">
        <f t="shared" si="175"/>
        <v>161</v>
      </c>
      <c r="L116" s="15">
        <f t="shared" si="176"/>
        <v>16</v>
      </c>
      <c r="M116" s="15">
        <f t="shared" si="177"/>
        <v>0</v>
      </c>
      <c r="N116" s="15">
        <f t="shared" si="178"/>
        <v>0</v>
      </c>
      <c r="O116" s="15">
        <f t="shared" si="179"/>
        <v>178</v>
      </c>
      <c r="P116" s="15" t="str">
        <f t="shared" si="180"/>
        <v>B2</v>
      </c>
      <c r="Q116" s="15">
        <f t="shared" si="181"/>
        <v>355</v>
      </c>
      <c r="R116" s="15" t="str">
        <f t="shared" si="182"/>
        <v>63</v>
      </c>
      <c r="S116" s="131"/>
      <c r="T116" s="131"/>
      <c r="V116" s="72"/>
      <c r="W116" s="72"/>
    </row>
    <row r="117" spans="2:23" ht="25.5">
      <c r="B117" s="14" t="s">
        <v>1759</v>
      </c>
      <c r="C117" s="14" t="str">
        <f t="shared" si="162"/>
        <v>FF01A0110000B2</v>
      </c>
      <c r="D117" s="67" t="s">
        <v>24</v>
      </c>
      <c r="E117" s="67" t="s">
        <v>23</v>
      </c>
      <c r="F117" s="67" t="s">
        <v>110</v>
      </c>
      <c r="G117" s="67" t="s">
        <v>16</v>
      </c>
      <c r="H117" s="67" t="s">
        <v>16</v>
      </c>
      <c r="I117" s="14" t="str">
        <f t="shared" si="163"/>
        <v>B2</v>
      </c>
      <c r="J117" s="15">
        <f t="shared" si="174"/>
        <v>1</v>
      </c>
      <c r="K117" s="15">
        <f t="shared" si="175"/>
        <v>160</v>
      </c>
      <c r="L117" s="15">
        <f t="shared" si="176"/>
        <v>17</v>
      </c>
      <c r="M117" s="15">
        <f t="shared" si="177"/>
        <v>0</v>
      </c>
      <c r="N117" s="15">
        <f t="shared" si="178"/>
        <v>0</v>
      </c>
      <c r="O117" s="15">
        <f t="shared" si="179"/>
        <v>178</v>
      </c>
      <c r="P117" s="15" t="str">
        <f t="shared" si="180"/>
        <v>B2</v>
      </c>
      <c r="Q117" s="15">
        <f t="shared" si="181"/>
        <v>355</v>
      </c>
      <c r="R117" s="15" t="str">
        <f t="shared" si="182"/>
        <v>63</v>
      </c>
      <c r="S117" s="131"/>
      <c r="T117" s="131"/>
      <c r="V117" s="72"/>
      <c r="W117" s="72"/>
    </row>
    <row r="118" spans="2:23" ht="16.5" customHeight="1">
      <c r="B118" s="14" t="s">
        <v>1760</v>
      </c>
      <c r="C118" s="14" t="str">
        <f t="shared" si="162"/>
        <v>FF01A0120000B3</v>
      </c>
      <c r="D118" s="67" t="s">
        <v>24</v>
      </c>
      <c r="E118" s="67" t="s">
        <v>23</v>
      </c>
      <c r="F118" s="67" t="s">
        <v>111</v>
      </c>
      <c r="G118" s="67" t="s">
        <v>16</v>
      </c>
      <c r="H118" s="67" t="s">
        <v>16</v>
      </c>
      <c r="I118" s="14" t="str">
        <f t="shared" si="163"/>
        <v>B3</v>
      </c>
      <c r="J118" s="15">
        <f t="shared" si="174"/>
        <v>1</v>
      </c>
      <c r="K118" s="15">
        <f t="shared" si="175"/>
        <v>160</v>
      </c>
      <c r="L118" s="15">
        <f t="shared" si="176"/>
        <v>18</v>
      </c>
      <c r="M118" s="15">
        <f t="shared" si="177"/>
        <v>0</v>
      </c>
      <c r="N118" s="15">
        <f t="shared" si="178"/>
        <v>0</v>
      </c>
      <c r="O118" s="15">
        <f t="shared" si="179"/>
        <v>179</v>
      </c>
      <c r="P118" s="15" t="str">
        <f t="shared" si="180"/>
        <v>B3</v>
      </c>
      <c r="Q118" s="15">
        <f t="shared" si="181"/>
        <v>357</v>
      </c>
      <c r="R118" s="15" t="str">
        <f t="shared" si="182"/>
        <v>65</v>
      </c>
      <c r="S118" s="131"/>
      <c r="T118" s="131"/>
      <c r="V118" s="72"/>
      <c r="W118" s="72"/>
    </row>
    <row r="119" spans="2:23" ht="16.5" customHeight="1">
      <c r="B119" s="14" t="s">
        <v>1761</v>
      </c>
      <c r="C119" s="14" t="str">
        <f t="shared" si="162"/>
        <v>FF01A0120001B4</v>
      </c>
      <c r="D119" s="67" t="s">
        <v>24</v>
      </c>
      <c r="E119" s="67" t="s">
        <v>23</v>
      </c>
      <c r="F119" s="67" t="s">
        <v>111</v>
      </c>
      <c r="G119" s="67" t="s">
        <v>16</v>
      </c>
      <c r="H119" s="67" t="s">
        <v>24</v>
      </c>
      <c r="I119" s="14" t="str">
        <f t="shared" si="163"/>
        <v>B4</v>
      </c>
      <c r="J119" s="15">
        <f t="shared" si="174"/>
        <v>1</v>
      </c>
      <c r="K119" s="15">
        <f t="shared" si="175"/>
        <v>160</v>
      </c>
      <c r="L119" s="15">
        <f t="shared" si="176"/>
        <v>18</v>
      </c>
      <c r="M119" s="15">
        <f t="shared" si="177"/>
        <v>0</v>
      </c>
      <c r="N119" s="15">
        <f t="shared" si="178"/>
        <v>1</v>
      </c>
      <c r="O119" s="15">
        <f t="shared" si="179"/>
        <v>180</v>
      </c>
      <c r="P119" s="15" t="str">
        <f t="shared" si="180"/>
        <v>B4</v>
      </c>
      <c r="Q119" s="15">
        <f t="shared" si="181"/>
        <v>359</v>
      </c>
      <c r="R119" s="15" t="str">
        <f t="shared" si="182"/>
        <v>67</v>
      </c>
      <c r="S119" s="131"/>
      <c r="T119" s="131"/>
      <c r="V119" s="72"/>
      <c r="W119" s="72"/>
    </row>
    <row r="120" spans="2:23" ht="16.5" customHeight="1">
      <c r="B120" s="14" t="s">
        <v>1764</v>
      </c>
      <c r="C120" s="14" t="str">
        <f t="shared" si="162"/>
        <v>FF01A01305DC95</v>
      </c>
      <c r="D120" s="67" t="s">
        <v>24</v>
      </c>
      <c r="E120" s="67" t="s">
        <v>23</v>
      </c>
      <c r="F120" s="67" t="s">
        <v>116</v>
      </c>
      <c r="G120" s="67" t="s">
        <v>92</v>
      </c>
      <c r="H120" s="67" t="s">
        <v>1705</v>
      </c>
      <c r="I120" s="14" t="str">
        <f t="shared" si="163"/>
        <v>95</v>
      </c>
      <c r="J120" s="15">
        <f t="shared" si="174"/>
        <v>1</v>
      </c>
      <c r="K120" s="15">
        <f t="shared" si="175"/>
        <v>160</v>
      </c>
      <c r="L120" s="15">
        <f t="shared" si="176"/>
        <v>19</v>
      </c>
      <c r="M120" s="15">
        <f t="shared" si="177"/>
        <v>5</v>
      </c>
      <c r="N120" s="15">
        <f t="shared" si="178"/>
        <v>220</v>
      </c>
      <c r="O120" s="15">
        <f t="shared" si="179"/>
        <v>405</v>
      </c>
      <c r="P120" s="15" t="str">
        <f t="shared" si="180"/>
        <v>95</v>
      </c>
      <c r="Q120" s="15">
        <f t="shared" si="181"/>
        <v>809</v>
      </c>
      <c r="R120" s="15" t="str">
        <f t="shared" si="182"/>
        <v>29</v>
      </c>
      <c r="S120" s="131">
        <v>1500</v>
      </c>
      <c r="T120" s="131" t="str">
        <f>DEC2HEX(S120)</f>
        <v>5DC</v>
      </c>
      <c r="V120" s="72"/>
      <c r="W120" s="72"/>
    </row>
    <row r="121" spans="2:23" ht="16.5" customHeight="1">
      <c r="B121" s="14" t="s">
        <v>1765</v>
      </c>
      <c r="C121" s="14" t="str">
        <f t="shared" ref="C121:C122" si="216">"FF"&amp;D121&amp;E121&amp;""&amp;F121&amp;G121&amp;H121&amp;I121</f>
        <v>FF01A0130BB877</v>
      </c>
      <c r="D121" s="67" t="s">
        <v>24</v>
      </c>
      <c r="E121" s="67" t="s">
        <v>23</v>
      </c>
      <c r="F121" s="67" t="s">
        <v>116</v>
      </c>
      <c r="G121" s="67" t="s">
        <v>1724</v>
      </c>
      <c r="H121" s="67" t="s">
        <v>1369</v>
      </c>
      <c r="I121" s="14" t="str">
        <f t="shared" ref="I121:I122" si="217">P121</f>
        <v>77</v>
      </c>
      <c r="J121" s="15">
        <f t="shared" ref="J121:J122" si="218">HEX2DEC(D121)</f>
        <v>1</v>
      </c>
      <c r="K121" s="15">
        <f t="shared" ref="K121:K122" si="219">HEX2DEC(E121)</f>
        <v>160</v>
      </c>
      <c r="L121" s="15">
        <f t="shared" ref="L121:L122" si="220">HEX2DEC(F121)</f>
        <v>19</v>
      </c>
      <c r="M121" s="15">
        <f t="shared" ref="M121:M122" si="221">HEX2DEC(G121)</f>
        <v>11</v>
      </c>
      <c r="N121" s="15">
        <f t="shared" ref="N121:N122" si="222">HEX2DEC(H121)</f>
        <v>184</v>
      </c>
      <c r="O121" s="15">
        <f t="shared" ref="O121:O122" si="223">SUM(J121:N121)</f>
        <v>375</v>
      </c>
      <c r="P121" s="15" t="str">
        <f t="shared" ref="P121:P122" si="224">REPT("0",2-LEN(RIGHT(DEC2HEX(O121), 2)))&amp;RIGHT(DEC2HEX(O121), 2)</f>
        <v>77</v>
      </c>
      <c r="Q121" s="15">
        <f t="shared" ref="Q121:Q122" si="225">SUM(K121:P121)</f>
        <v>749</v>
      </c>
      <c r="R121" s="15" t="str">
        <f t="shared" ref="R121:R122" si="226">REPT("0",2-LEN(RIGHT(DEC2HEX(Q121), 2)))&amp;RIGHT(DEC2HEX(Q121), 2)</f>
        <v>ED</v>
      </c>
      <c r="S121" s="131">
        <v>3000</v>
      </c>
      <c r="T121" s="131" t="str">
        <f>DEC2HEX(S121)</f>
        <v>BB8</v>
      </c>
      <c r="V121" s="72"/>
      <c r="W121" s="72"/>
    </row>
    <row r="122" spans="2:23" ht="16.5" customHeight="1">
      <c r="B122" s="14" t="s">
        <v>1766</v>
      </c>
      <c r="C122" s="14" t="str">
        <f t="shared" si="216"/>
        <v>FF01A013119459</v>
      </c>
      <c r="D122" s="67" t="s">
        <v>24</v>
      </c>
      <c r="E122" s="67" t="s">
        <v>23</v>
      </c>
      <c r="F122" s="67" t="s">
        <v>116</v>
      </c>
      <c r="G122" s="67" t="s">
        <v>110</v>
      </c>
      <c r="H122" s="67" t="s">
        <v>176</v>
      </c>
      <c r="I122" s="14" t="str">
        <f t="shared" si="217"/>
        <v>59</v>
      </c>
      <c r="J122" s="15">
        <f t="shared" si="218"/>
        <v>1</v>
      </c>
      <c r="K122" s="15">
        <f t="shared" si="219"/>
        <v>160</v>
      </c>
      <c r="L122" s="15">
        <f t="shared" si="220"/>
        <v>19</v>
      </c>
      <c r="M122" s="15">
        <f t="shared" si="221"/>
        <v>17</v>
      </c>
      <c r="N122" s="15">
        <f t="shared" si="222"/>
        <v>148</v>
      </c>
      <c r="O122" s="15">
        <f t="shared" si="223"/>
        <v>345</v>
      </c>
      <c r="P122" s="15" t="str">
        <f t="shared" si="224"/>
        <v>59</v>
      </c>
      <c r="Q122" s="15">
        <f t="shared" si="225"/>
        <v>689</v>
      </c>
      <c r="R122" s="15" t="str">
        <f t="shared" si="226"/>
        <v>B1</v>
      </c>
      <c r="S122" s="131">
        <v>4500</v>
      </c>
      <c r="T122" s="131" t="str">
        <f>DEC2HEX(S122)</f>
        <v>1194</v>
      </c>
      <c r="V122" s="72"/>
      <c r="W122" s="72"/>
    </row>
    <row r="123" spans="2:23" ht="16.5" customHeight="1">
      <c r="B123" s="14" t="s">
        <v>1762</v>
      </c>
      <c r="C123" s="14" t="str">
        <f t="shared" ref="C123" si="227">"FF"&amp;D123&amp;E123&amp;""&amp;F123&amp;G123&amp;H123&amp;I123</f>
        <v>FF01A01317703B</v>
      </c>
      <c r="D123" s="67" t="s">
        <v>24</v>
      </c>
      <c r="E123" s="67" t="s">
        <v>23</v>
      </c>
      <c r="F123" s="67" t="s">
        <v>116</v>
      </c>
      <c r="G123" s="67" t="s">
        <v>131</v>
      </c>
      <c r="H123" s="67" t="s">
        <v>1733</v>
      </c>
      <c r="I123" s="14" t="str">
        <f t="shared" ref="I123" si="228">P123</f>
        <v>3B</v>
      </c>
      <c r="J123" s="15">
        <f t="shared" ref="J123" si="229">HEX2DEC(D123)</f>
        <v>1</v>
      </c>
      <c r="K123" s="15">
        <f t="shared" ref="K123" si="230">HEX2DEC(E123)</f>
        <v>160</v>
      </c>
      <c r="L123" s="15">
        <f t="shared" ref="L123" si="231">HEX2DEC(F123)</f>
        <v>19</v>
      </c>
      <c r="M123" s="15">
        <f t="shared" ref="M123" si="232">HEX2DEC(G123)</f>
        <v>23</v>
      </c>
      <c r="N123" s="15">
        <f t="shared" ref="N123" si="233">HEX2DEC(H123)</f>
        <v>112</v>
      </c>
      <c r="O123" s="15">
        <f t="shared" ref="O123" si="234">SUM(J123:N123)</f>
        <v>315</v>
      </c>
      <c r="P123" s="15" t="str">
        <f t="shared" ref="P123" si="235">REPT("0",2-LEN(RIGHT(DEC2HEX(O123), 2)))&amp;RIGHT(DEC2HEX(O123), 2)</f>
        <v>3B</v>
      </c>
      <c r="Q123" s="15">
        <f t="shared" ref="Q123" si="236">SUM(K123:P123)</f>
        <v>629</v>
      </c>
      <c r="R123" s="15" t="str">
        <f t="shared" ref="R123" si="237">REPT("0",2-LEN(RIGHT(DEC2HEX(Q123), 2)))&amp;RIGHT(DEC2HEX(Q123), 2)</f>
        <v>75</v>
      </c>
      <c r="S123" s="131">
        <v>6000</v>
      </c>
      <c r="T123" s="131" t="str">
        <f>DEC2HEX(S123)</f>
        <v>1770</v>
      </c>
      <c r="V123" s="72"/>
      <c r="W123" s="72"/>
    </row>
    <row r="124" spans="2:23" ht="16.5" customHeight="1">
      <c r="B124" s="14" t="s">
        <v>1767</v>
      </c>
      <c r="C124" s="14" t="str">
        <f t="shared" si="162"/>
        <v>FF01A014F92AD8</v>
      </c>
      <c r="D124" s="67" t="s">
        <v>24</v>
      </c>
      <c r="E124" s="67" t="s">
        <v>23</v>
      </c>
      <c r="F124" s="67" t="s">
        <v>62</v>
      </c>
      <c r="G124" s="67" t="s">
        <v>1770</v>
      </c>
      <c r="H124" s="67" t="s">
        <v>174</v>
      </c>
      <c r="I124" s="14" t="str">
        <f t="shared" si="163"/>
        <v>D8</v>
      </c>
      <c r="J124" s="15">
        <f t="shared" si="174"/>
        <v>1</v>
      </c>
      <c r="K124" s="15">
        <f t="shared" si="175"/>
        <v>160</v>
      </c>
      <c r="L124" s="15">
        <f t="shared" si="176"/>
        <v>20</v>
      </c>
      <c r="M124" s="15">
        <f t="shared" si="177"/>
        <v>249</v>
      </c>
      <c r="N124" s="15">
        <f t="shared" si="178"/>
        <v>42</v>
      </c>
      <c r="O124" s="15">
        <f t="shared" si="179"/>
        <v>472</v>
      </c>
      <c r="P124" s="15" t="str">
        <f t="shared" si="180"/>
        <v>D8</v>
      </c>
      <c r="Q124" s="15">
        <f t="shared" si="181"/>
        <v>943</v>
      </c>
      <c r="R124" s="15" t="str">
        <f t="shared" si="182"/>
        <v>AF</v>
      </c>
      <c r="S124" s="131">
        <v>-1750</v>
      </c>
      <c r="T124" s="131"/>
      <c r="U124" s="131" t="str">
        <f>TEXT(DEC2HEX(65536 + S124), "0000")</f>
        <v>F92A</v>
      </c>
      <c r="V124" s="72"/>
      <c r="W124" s="72"/>
    </row>
    <row r="125" spans="2:23" ht="16.5" customHeight="1">
      <c r="B125" s="14" t="s">
        <v>1768</v>
      </c>
      <c r="C125" s="14" t="str">
        <f t="shared" ref="C125:C127" si="238">"FF"&amp;D125&amp;E125&amp;""&amp;F125&amp;G125&amp;H125&amp;I125</f>
        <v>FF01A014F254FB</v>
      </c>
      <c r="D125" s="67" t="s">
        <v>24</v>
      </c>
      <c r="E125" s="67" t="s">
        <v>23</v>
      </c>
      <c r="F125" s="67" t="s">
        <v>62</v>
      </c>
      <c r="G125" s="67" t="s">
        <v>1771</v>
      </c>
      <c r="H125" s="67" t="s">
        <v>1392</v>
      </c>
      <c r="I125" s="14" t="str">
        <f t="shared" ref="I125:I127" si="239">P125</f>
        <v>FB</v>
      </c>
      <c r="J125" s="15">
        <f t="shared" ref="J125:J127" si="240">HEX2DEC(D125)</f>
        <v>1</v>
      </c>
      <c r="K125" s="15">
        <f t="shared" ref="K125:K127" si="241">HEX2DEC(E125)</f>
        <v>160</v>
      </c>
      <c r="L125" s="15">
        <f t="shared" ref="L125:L127" si="242">HEX2DEC(F125)</f>
        <v>20</v>
      </c>
      <c r="M125" s="15">
        <f t="shared" ref="M125:M127" si="243">HEX2DEC(G125)</f>
        <v>242</v>
      </c>
      <c r="N125" s="15">
        <f t="shared" ref="N125:N127" si="244">HEX2DEC(H125)</f>
        <v>84</v>
      </c>
      <c r="O125" s="15">
        <f t="shared" ref="O125:O127" si="245">SUM(J125:N125)</f>
        <v>507</v>
      </c>
      <c r="P125" s="15" t="str">
        <f t="shared" ref="P125:P127" si="246">REPT("0",2-LEN(RIGHT(DEC2HEX(O125), 2)))&amp;RIGHT(DEC2HEX(O125), 2)</f>
        <v>FB</v>
      </c>
      <c r="Q125" s="15">
        <f t="shared" ref="Q125:Q127" si="247">SUM(K125:P125)</f>
        <v>1013</v>
      </c>
      <c r="R125" s="15" t="str">
        <f t="shared" ref="R125:R127" si="248">REPT("0",2-LEN(RIGHT(DEC2HEX(Q125), 2)))&amp;RIGHT(DEC2HEX(Q125), 2)</f>
        <v>F5</v>
      </c>
      <c r="S125" s="131">
        <v>-3500</v>
      </c>
      <c r="T125" s="131"/>
      <c r="U125" s="131" t="str">
        <f>TEXT(DEC2HEX(65536 + S125), "0000")</f>
        <v>F254</v>
      </c>
      <c r="V125" s="72"/>
      <c r="W125" s="72"/>
    </row>
    <row r="126" spans="2:23" ht="16.5" customHeight="1">
      <c r="B126" s="14" t="s">
        <v>1769</v>
      </c>
      <c r="C126" s="14" t="str">
        <f t="shared" si="238"/>
        <v>FF01A014EB7E1E</v>
      </c>
      <c r="D126" s="67" t="s">
        <v>24</v>
      </c>
      <c r="E126" s="67" t="s">
        <v>23</v>
      </c>
      <c r="F126" s="67" t="s">
        <v>62</v>
      </c>
      <c r="G126" s="67" t="s">
        <v>1772</v>
      </c>
      <c r="H126" s="67" t="s">
        <v>1773</v>
      </c>
      <c r="I126" s="14" t="str">
        <f t="shared" si="239"/>
        <v>1E</v>
      </c>
      <c r="J126" s="15">
        <f t="shared" si="240"/>
        <v>1</v>
      </c>
      <c r="K126" s="15">
        <f t="shared" si="241"/>
        <v>160</v>
      </c>
      <c r="L126" s="15">
        <f t="shared" si="242"/>
        <v>20</v>
      </c>
      <c r="M126" s="15">
        <f t="shared" si="243"/>
        <v>235</v>
      </c>
      <c r="N126" s="15">
        <f t="shared" si="244"/>
        <v>126</v>
      </c>
      <c r="O126" s="15">
        <f t="shared" si="245"/>
        <v>542</v>
      </c>
      <c r="P126" s="15" t="str">
        <f t="shared" si="246"/>
        <v>1E</v>
      </c>
      <c r="Q126" s="15">
        <f t="shared" si="247"/>
        <v>1083</v>
      </c>
      <c r="R126" s="15" t="str">
        <f t="shared" si="248"/>
        <v>3B</v>
      </c>
      <c r="S126" s="131">
        <v>-5250</v>
      </c>
      <c r="T126" s="131"/>
      <c r="U126" s="131" t="str">
        <f>TEXT(DEC2HEX(65536 + S126), "0000")</f>
        <v>EB7E</v>
      </c>
      <c r="V126" s="72"/>
      <c r="W126" s="72"/>
    </row>
    <row r="127" spans="2:23" ht="16.5" customHeight="1">
      <c r="B127" s="14" t="s">
        <v>1763</v>
      </c>
      <c r="C127" s="14" t="str">
        <f t="shared" si="238"/>
        <v>FF01A014E4A841</v>
      </c>
      <c r="D127" s="67" t="s">
        <v>24</v>
      </c>
      <c r="E127" s="67" t="s">
        <v>23</v>
      </c>
      <c r="F127" s="67" t="s">
        <v>62</v>
      </c>
      <c r="G127" s="67" t="s">
        <v>1735</v>
      </c>
      <c r="H127" s="67" t="s">
        <v>1736</v>
      </c>
      <c r="I127" s="14" t="str">
        <f t="shared" si="239"/>
        <v>41</v>
      </c>
      <c r="J127" s="15">
        <f t="shared" si="240"/>
        <v>1</v>
      </c>
      <c r="K127" s="15">
        <f t="shared" si="241"/>
        <v>160</v>
      </c>
      <c r="L127" s="15">
        <f t="shared" si="242"/>
        <v>20</v>
      </c>
      <c r="M127" s="15">
        <f t="shared" si="243"/>
        <v>228</v>
      </c>
      <c r="N127" s="15">
        <f t="shared" si="244"/>
        <v>168</v>
      </c>
      <c r="O127" s="15">
        <f t="shared" si="245"/>
        <v>577</v>
      </c>
      <c r="P127" s="15" t="str">
        <f t="shared" si="246"/>
        <v>41</v>
      </c>
      <c r="Q127" s="15">
        <f t="shared" si="247"/>
        <v>1153</v>
      </c>
      <c r="R127" s="15" t="str">
        <f t="shared" si="248"/>
        <v>81</v>
      </c>
      <c r="S127" s="131">
        <v>-7000</v>
      </c>
      <c r="T127" s="131"/>
      <c r="U127" s="131" t="str">
        <f>TEXT(DEC2HEX(65536 + S127), "0000")</f>
        <v>E4A8</v>
      </c>
      <c r="V127" s="72"/>
      <c r="W127" s="72"/>
    </row>
    <row r="128" spans="2:23" ht="16.5" customHeight="1">
      <c r="B128" s="14" t="s">
        <v>1774</v>
      </c>
      <c r="C128" s="14" t="str">
        <f t="shared" ref="C128:C131" si="249">"FF"&amp;D128&amp;E128&amp;""&amp;F128&amp;G128&amp;H128&amp;I128</f>
        <v>FF01A1200000C2</v>
      </c>
      <c r="D128" s="67" t="s">
        <v>24</v>
      </c>
      <c r="E128" s="67" t="s">
        <v>80</v>
      </c>
      <c r="F128" s="67" t="s">
        <v>133</v>
      </c>
      <c r="G128" s="67" t="s">
        <v>16</v>
      </c>
      <c r="H128" s="67" t="s">
        <v>16</v>
      </c>
      <c r="I128" s="14" t="str">
        <f t="shared" ref="I128:I131" si="250">P128</f>
        <v>C2</v>
      </c>
      <c r="J128" s="15">
        <f t="shared" ref="J128:J131" si="251">HEX2DEC(D128)</f>
        <v>1</v>
      </c>
      <c r="K128" s="15">
        <f t="shared" ref="K128:K131" si="252">HEX2DEC(E128)</f>
        <v>161</v>
      </c>
      <c r="L128" s="15">
        <f t="shared" ref="L128:L131" si="253">HEX2DEC(F128)</f>
        <v>32</v>
      </c>
      <c r="M128" s="15">
        <f t="shared" ref="M128:M131" si="254">HEX2DEC(G128)</f>
        <v>0</v>
      </c>
      <c r="N128" s="15">
        <f t="shared" ref="N128:N131" si="255">HEX2DEC(H128)</f>
        <v>0</v>
      </c>
      <c r="O128" s="15">
        <f t="shared" ref="O128:O131" si="256">SUM(J128:N128)</f>
        <v>194</v>
      </c>
      <c r="P128" s="15" t="str">
        <f t="shared" ref="P128:P131" si="257">REPT("0",2-LEN(RIGHT(DEC2HEX(O128), 2)))&amp;RIGHT(DEC2HEX(O128), 2)</f>
        <v>C2</v>
      </c>
      <c r="Q128" s="15">
        <f t="shared" ref="Q128:Q131" si="258">SUM(K128:P128)</f>
        <v>387</v>
      </c>
      <c r="R128" s="15" t="str">
        <f t="shared" ref="R128:R131" si="259">REPT("0",2-LEN(RIGHT(DEC2HEX(Q128), 2)))&amp;RIGHT(DEC2HEX(Q128), 2)</f>
        <v>83</v>
      </c>
      <c r="S128" s="131"/>
      <c r="T128" s="131"/>
      <c r="V128" s="72"/>
      <c r="W128" s="72"/>
    </row>
    <row r="129" spans="2:23" ht="16.5" customHeight="1">
      <c r="B129" s="14" t="s">
        <v>1776</v>
      </c>
      <c r="C129" s="14" t="str">
        <f t="shared" si="249"/>
        <v>FF01A0210000C2</v>
      </c>
      <c r="D129" s="67" t="s">
        <v>24</v>
      </c>
      <c r="E129" s="67" t="s">
        <v>23</v>
      </c>
      <c r="F129" s="67" t="s">
        <v>18</v>
      </c>
      <c r="G129" s="67" t="s">
        <v>16</v>
      </c>
      <c r="H129" s="67" t="s">
        <v>16</v>
      </c>
      <c r="I129" s="14" t="str">
        <f t="shared" si="250"/>
        <v>C2</v>
      </c>
      <c r="J129" s="15">
        <f t="shared" si="251"/>
        <v>1</v>
      </c>
      <c r="K129" s="15">
        <f t="shared" si="252"/>
        <v>160</v>
      </c>
      <c r="L129" s="15">
        <f t="shared" si="253"/>
        <v>33</v>
      </c>
      <c r="M129" s="15">
        <f t="shared" si="254"/>
        <v>0</v>
      </c>
      <c r="N129" s="15">
        <f t="shared" si="255"/>
        <v>0</v>
      </c>
      <c r="O129" s="15">
        <f t="shared" si="256"/>
        <v>194</v>
      </c>
      <c r="P129" s="15" t="str">
        <f t="shared" si="257"/>
        <v>C2</v>
      </c>
      <c r="Q129" s="15">
        <f t="shared" si="258"/>
        <v>387</v>
      </c>
      <c r="R129" s="15" t="str">
        <f t="shared" si="259"/>
        <v>83</v>
      </c>
      <c r="S129" s="131"/>
      <c r="T129" s="131"/>
      <c r="V129" s="72"/>
      <c r="W129" s="72"/>
    </row>
    <row r="130" spans="2:23" ht="16.5" customHeight="1">
      <c r="B130" s="14" t="s">
        <v>1775</v>
      </c>
      <c r="C130" s="14" t="str">
        <f t="shared" si="249"/>
        <v>FF01A0210001C3</v>
      </c>
      <c r="D130" s="67" t="s">
        <v>24</v>
      </c>
      <c r="E130" s="67" t="s">
        <v>23</v>
      </c>
      <c r="F130" s="67" t="s">
        <v>18</v>
      </c>
      <c r="G130" s="67" t="s">
        <v>16</v>
      </c>
      <c r="H130" s="67" t="s">
        <v>24</v>
      </c>
      <c r="I130" s="14" t="str">
        <f t="shared" si="250"/>
        <v>C3</v>
      </c>
      <c r="J130" s="15">
        <f t="shared" si="251"/>
        <v>1</v>
      </c>
      <c r="K130" s="15">
        <f t="shared" si="252"/>
        <v>160</v>
      </c>
      <c r="L130" s="15">
        <f t="shared" si="253"/>
        <v>33</v>
      </c>
      <c r="M130" s="15">
        <f t="shared" si="254"/>
        <v>0</v>
      </c>
      <c r="N130" s="15">
        <f t="shared" si="255"/>
        <v>1</v>
      </c>
      <c r="O130" s="15">
        <f t="shared" si="256"/>
        <v>195</v>
      </c>
      <c r="P130" s="15" t="str">
        <f t="shared" si="257"/>
        <v>C3</v>
      </c>
      <c r="Q130" s="15">
        <f t="shared" si="258"/>
        <v>389</v>
      </c>
      <c r="R130" s="15" t="str">
        <f t="shared" si="259"/>
        <v>85</v>
      </c>
      <c r="S130" s="131"/>
      <c r="T130" s="131"/>
      <c r="V130" s="72"/>
      <c r="W130" s="72"/>
    </row>
    <row r="131" spans="2:23" ht="16.5" customHeight="1">
      <c r="B131" s="14" t="s">
        <v>1777</v>
      </c>
      <c r="C131" s="14" t="str">
        <f t="shared" si="249"/>
        <v>FF01A0220000C3</v>
      </c>
      <c r="D131" s="67" t="s">
        <v>24</v>
      </c>
      <c r="E131" s="67" t="s">
        <v>23</v>
      </c>
      <c r="F131" s="67" t="s">
        <v>49</v>
      </c>
      <c r="G131" s="67" t="s">
        <v>16</v>
      </c>
      <c r="H131" s="67" t="s">
        <v>16</v>
      </c>
      <c r="I131" s="14" t="str">
        <f t="shared" si="250"/>
        <v>C3</v>
      </c>
      <c r="J131" s="15">
        <f t="shared" si="251"/>
        <v>1</v>
      </c>
      <c r="K131" s="15">
        <f t="shared" si="252"/>
        <v>160</v>
      </c>
      <c r="L131" s="15">
        <f t="shared" si="253"/>
        <v>34</v>
      </c>
      <c r="M131" s="15">
        <f t="shared" si="254"/>
        <v>0</v>
      </c>
      <c r="N131" s="15">
        <f t="shared" si="255"/>
        <v>0</v>
      </c>
      <c r="O131" s="15">
        <f t="shared" si="256"/>
        <v>195</v>
      </c>
      <c r="P131" s="15" t="str">
        <f t="shared" si="257"/>
        <v>C3</v>
      </c>
      <c r="Q131" s="15">
        <f t="shared" si="258"/>
        <v>389</v>
      </c>
      <c r="R131" s="15" t="str">
        <f t="shared" si="259"/>
        <v>85</v>
      </c>
      <c r="S131" s="131"/>
      <c r="T131" s="131"/>
      <c r="V131" s="72"/>
      <c r="W131" s="72"/>
    </row>
    <row r="132" spans="2:23" ht="16.5" customHeight="1">
      <c r="B132" s="14" t="s">
        <v>1778</v>
      </c>
      <c r="C132" s="14" t="str">
        <f t="shared" ref="C132:C141" si="260">"FF"&amp;D132&amp;E132&amp;""&amp;F132&amp;G132&amp;H132&amp;I132</f>
        <v>FF01A0220001C4</v>
      </c>
      <c r="D132" s="67" t="s">
        <v>24</v>
      </c>
      <c r="E132" s="67" t="s">
        <v>23</v>
      </c>
      <c r="F132" s="67" t="s">
        <v>49</v>
      </c>
      <c r="G132" s="67" t="s">
        <v>16</v>
      </c>
      <c r="H132" s="67" t="s">
        <v>24</v>
      </c>
      <c r="I132" s="14" t="str">
        <f t="shared" ref="I132:I141" si="261">P132</f>
        <v>C4</v>
      </c>
      <c r="J132" s="15">
        <f t="shared" ref="J132:J141" si="262">HEX2DEC(D132)</f>
        <v>1</v>
      </c>
      <c r="K132" s="15">
        <f t="shared" ref="K132:K141" si="263">HEX2DEC(E132)</f>
        <v>160</v>
      </c>
      <c r="L132" s="15">
        <f t="shared" ref="L132:L141" si="264">HEX2DEC(F132)</f>
        <v>34</v>
      </c>
      <c r="M132" s="15">
        <f t="shared" ref="M132:M141" si="265">HEX2DEC(G132)</f>
        <v>0</v>
      </c>
      <c r="N132" s="15">
        <f t="shared" ref="N132:N141" si="266">HEX2DEC(H132)</f>
        <v>1</v>
      </c>
      <c r="O132" s="15">
        <f t="shared" ref="O132:O141" si="267">SUM(J132:N132)</f>
        <v>196</v>
      </c>
      <c r="P132" s="15" t="str">
        <f t="shared" ref="P132:P141" si="268">REPT("0",2-LEN(RIGHT(DEC2HEX(O132), 2)))&amp;RIGHT(DEC2HEX(O132), 2)</f>
        <v>C4</v>
      </c>
      <c r="Q132" s="15">
        <f t="shared" ref="Q132:Q141" si="269">SUM(K132:P132)</f>
        <v>391</v>
      </c>
      <c r="R132" s="15" t="str">
        <f t="shared" ref="R132:R141" si="270">REPT("0",2-LEN(RIGHT(DEC2HEX(Q132), 2)))&amp;RIGHT(DEC2HEX(Q132), 2)</f>
        <v>87</v>
      </c>
      <c r="S132" s="131"/>
      <c r="T132" s="131"/>
      <c r="V132" s="72"/>
      <c r="W132" s="72"/>
    </row>
    <row r="133" spans="2:23" ht="16.5" customHeight="1">
      <c r="B133" s="14" t="s">
        <v>1779</v>
      </c>
      <c r="C133" s="14" t="str">
        <f t="shared" si="260"/>
        <v>FF01A0230000C4</v>
      </c>
      <c r="D133" s="67" t="s">
        <v>24</v>
      </c>
      <c r="E133" s="67" t="s">
        <v>23</v>
      </c>
      <c r="F133" s="67" t="s">
        <v>1703</v>
      </c>
      <c r="G133" s="67" t="s">
        <v>16</v>
      </c>
      <c r="H133" s="67" t="s">
        <v>16</v>
      </c>
      <c r="I133" s="14" t="str">
        <f t="shared" si="261"/>
        <v>C4</v>
      </c>
      <c r="J133" s="15">
        <f t="shared" si="262"/>
        <v>1</v>
      </c>
      <c r="K133" s="15">
        <f t="shared" si="263"/>
        <v>160</v>
      </c>
      <c r="L133" s="15">
        <f t="shared" si="264"/>
        <v>35</v>
      </c>
      <c r="M133" s="15">
        <f t="shared" si="265"/>
        <v>0</v>
      </c>
      <c r="N133" s="15">
        <f t="shared" si="266"/>
        <v>0</v>
      </c>
      <c r="O133" s="15">
        <f t="shared" si="267"/>
        <v>196</v>
      </c>
      <c r="P133" s="15" t="str">
        <f t="shared" si="268"/>
        <v>C4</v>
      </c>
      <c r="Q133" s="15">
        <f t="shared" si="269"/>
        <v>391</v>
      </c>
      <c r="R133" s="15" t="str">
        <f t="shared" si="270"/>
        <v>87</v>
      </c>
      <c r="S133" s="131"/>
      <c r="T133" s="131"/>
      <c r="V133" s="72"/>
      <c r="W133" s="72"/>
    </row>
    <row r="134" spans="2:23" ht="16.5" customHeight="1">
      <c r="B134" s="14" t="s">
        <v>1986</v>
      </c>
      <c r="C134" s="14" t="str">
        <f t="shared" si="260"/>
        <v>FF01A0230001C5</v>
      </c>
      <c r="D134" s="67" t="s">
        <v>24</v>
      </c>
      <c r="E134" s="67" t="s">
        <v>23</v>
      </c>
      <c r="F134" s="67" t="s">
        <v>1703</v>
      </c>
      <c r="G134" s="67" t="s">
        <v>16</v>
      </c>
      <c r="H134" s="67" t="s">
        <v>24</v>
      </c>
      <c r="I134" s="14" t="str">
        <f t="shared" si="261"/>
        <v>C5</v>
      </c>
      <c r="J134" s="15">
        <f t="shared" si="262"/>
        <v>1</v>
      </c>
      <c r="K134" s="15">
        <f t="shared" si="263"/>
        <v>160</v>
      </c>
      <c r="L134" s="15">
        <f t="shared" si="264"/>
        <v>35</v>
      </c>
      <c r="M134" s="15">
        <f t="shared" si="265"/>
        <v>0</v>
      </c>
      <c r="N134" s="15">
        <f t="shared" si="266"/>
        <v>1</v>
      </c>
      <c r="O134" s="15">
        <f t="shared" si="267"/>
        <v>197</v>
      </c>
      <c r="P134" s="15" t="str">
        <f t="shared" si="268"/>
        <v>C5</v>
      </c>
      <c r="Q134" s="15">
        <f t="shared" si="269"/>
        <v>393</v>
      </c>
      <c r="R134" s="15" t="str">
        <f t="shared" si="270"/>
        <v>89</v>
      </c>
      <c r="S134" s="131"/>
      <c r="T134" s="131"/>
      <c r="V134" s="72"/>
      <c r="W134" s="72"/>
    </row>
    <row r="135" spans="2:23" ht="16.5" customHeight="1">
      <c r="B135" s="14" t="s">
        <v>1780</v>
      </c>
      <c r="C135" s="14" t="str">
        <f t="shared" si="260"/>
        <v>FF01A0240000C5</v>
      </c>
      <c r="D135" s="67" t="s">
        <v>24</v>
      </c>
      <c r="E135" s="67" t="s">
        <v>23</v>
      </c>
      <c r="F135" s="67" t="s">
        <v>1785</v>
      </c>
      <c r="G135" s="67" t="s">
        <v>16</v>
      </c>
      <c r="H135" s="67" t="s">
        <v>16</v>
      </c>
      <c r="I135" s="14" t="str">
        <f t="shared" si="261"/>
        <v>C5</v>
      </c>
      <c r="J135" s="15">
        <f t="shared" si="262"/>
        <v>1</v>
      </c>
      <c r="K135" s="15">
        <f t="shared" si="263"/>
        <v>160</v>
      </c>
      <c r="L135" s="15">
        <f t="shared" si="264"/>
        <v>36</v>
      </c>
      <c r="M135" s="15">
        <f t="shared" si="265"/>
        <v>0</v>
      </c>
      <c r="N135" s="15">
        <f t="shared" si="266"/>
        <v>0</v>
      </c>
      <c r="O135" s="15">
        <f t="shared" si="267"/>
        <v>197</v>
      </c>
      <c r="P135" s="15" t="str">
        <f t="shared" si="268"/>
        <v>C5</v>
      </c>
      <c r="Q135" s="15">
        <f t="shared" si="269"/>
        <v>393</v>
      </c>
      <c r="R135" s="15" t="str">
        <f t="shared" si="270"/>
        <v>89</v>
      </c>
      <c r="S135" s="131"/>
      <c r="T135" s="131"/>
      <c r="V135" s="72"/>
      <c r="W135" s="72"/>
    </row>
    <row r="136" spans="2:23" ht="16.5" customHeight="1">
      <c r="B136" s="14" t="s">
        <v>1781</v>
      </c>
      <c r="C136" s="14" t="str">
        <f t="shared" si="260"/>
        <v>FF01A0240001C6</v>
      </c>
      <c r="D136" s="67" t="s">
        <v>24</v>
      </c>
      <c r="E136" s="67" t="s">
        <v>23</v>
      </c>
      <c r="F136" s="67" t="s">
        <v>1785</v>
      </c>
      <c r="G136" s="67" t="s">
        <v>16</v>
      </c>
      <c r="H136" s="67" t="s">
        <v>24</v>
      </c>
      <c r="I136" s="14" t="str">
        <f t="shared" si="261"/>
        <v>C6</v>
      </c>
      <c r="J136" s="15">
        <f t="shared" si="262"/>
        <v>1</v>
      </c>
      <c r="K136" s="15">
        <f t="shared" si="263"/>
        <v>160</v>
      </c>
      <c r="L136" s="15">
        <f t="shared" si="264"/>
        <v>36</v>
      </c>
      <c r="M136" s="15">
        <f t="shared" si="265"/>
        <v>0</v>
      </c>
      <c r="N136" s="15">
        <f t="shared" si="266"/>
        <v>1</v>
      </c>
      <c r="O136" s="15">
        <f t="shared" si="267"/>
        <v>198</v>
      </c>
      <c r="P136" s="15" t="str">
        <f t="shared" si="268"/>
        <v>C6</v>
      </c>
      <c r="Q136" s="15">
        <f t="shared" si="269"/>
        <v>395</v>
      </c>
      <c r="R136" s="15" t="str">
        <f t="shared" si="270"/>
        <v>8B</v>
      </c>
      <c r="S136" s="131"/>
      <c r="T136" s="131"/>
      <c r="V136" s="72"/>
      <c r="W136" s="72"/>
    </row>
    <row r="137" spans="2:23" ht="16.5" customHeight="1">
      <c r="B137" s="14" t="s">
        <v>1782</v>
      </c>
      <c r="C137" s="14" t="str">
        <f t="shared" si="260"/>
        <v>FF01A0240002C7</v>
      </c>
      <c r="D137" s="67" t="s">
        <v>24</v>
      </c>
      <c r="E137" s="67" t="s">
        <v>23</v>
      </c>
      <c r="F137" s="67" t="s">
        <v>1785</v>
      </c>
      <c r="G137" s="67" t="s">
        <v>16</v>
      </c>
      <c r="H137" s="67" t="s">
        <v>17</v>
      </c>
      <c r="I137" s="14" t="str">
        <f t="shared" si="261"/>
        <v>C7</v>
      </c>
      <c r="J137" s="15">
        <f t="shared" si="262"/>
        <v>1</v>
      </c>
      <c r="K137" s="15">
        <f t="shared" si="263"/>
        <v>160</v>
      </c>
      <c r="L137" s="15">
        <f t="shared" si="264"/>
        <v>36</v>
      </c>
      <c r="M137" s="15">
        <f t="shared" si="265"/>
        <v>0</v>
      </c>
      <c r="N137" s="15">
        <f t="shared" si="266"/>
        <v>2</v>
      </c>
      <c r="O137" s="15">
        <f t="shared" si="267"/>
        <v>199</v>
      </c>
      <c r="P137" s="15" t="str">
        <f t="shared" si="268"/>
        <v>C7</v>
      </c>
      <c r="Q137" s="15">
        <f t="shared" si="269"/>
        <v>397</v>
      </c>
      <c r="R137" s="15" t="str">
        <f t="shared" si="270"/>
        <v>8D</v>
      </c>
      <c r="S137" s="131"/>
      <c r="T137" s="131"/>
      <c r="V137" s="72"/>
      <c r="W137" s="72"/>
    </row>
    <row r="138" spans="2:23" ht="16.5" customHeight="1">
      <c r="B138" s="14" t="s">
        <v>1783</v>
      </c>
      <c r="C138" s="14" t="str">
        <f t="shared" si="260"/>
        <v>FF01A0240003C8</v>
      </c>
      <c r="D138" s="67" t="s">
        <v>24</v>
      </c>
      <c r="E138" s="67" t="s">
        <v>23</v>
      </c>
      <c r="F138" s="67" t="s">
        <v>1785</v>
      </c>
      <c r="G138" s="67" t="s">
        <v>16</v>
      </c>
      <c r="H138" s="67" t="s">
        <v>91</v>
      </c>
      <c r="I138" s="14" t="str">
        <f t="shared" si="261"/>
        <v>C8</v>
      </c>
      <c r="J138" s="15">
        <f t="shared" si="262"/>
        <v>1</v>
      </c>
      <c r="K138" s="15">
        <f t="shared" si="263"/>
        <v>160</v>
      </c>
      <c r="L138" s="15">
        <f t="shared" si="264"/>
        <v>36</v>
      </c>
      <c r="M138" s="15">
        <f t="shared" si="265"/>
        <v>0</v>
      </c>
      <c r="N138" s="15">
        <f t="shared" si="266"/>
        <v>3</v>
      </c>
      <c r="O138" s="15">
        <f t="shared" si="267"/>
        <v>200</v>
      </c>
      <c r="P138" s="15" t="str">
        <f t="shared" si="268"/>
        <v>C8</v>
      </c>
      <c r="Q138" s="15">
        <f t="shared" si="269"/>
        <v>399</v>
      </c>
      <c r="R138" s="15" t="str">
        <f t="shared" si="270"/>
        <v>8F</v>
      </c>
      <c r="S138" s="131"/>
      <c r="T138" s="131"/>
      <c r="V138" s="72"/>
      <c r="W138" s="72"/>
    </row>
    <row r="139" spans="2:23" ht="16.5" customHeight="1">
      <c r="B139" s="14" t="s">
        <v>1784</v>
      </c>
      <c r="C139" s="14" t="str">
        <f t="shared" si="260"/>
        <v>FF01A0240004C9</v>
      </c>
      <c r="D139" s="67" t="s">
        <v>24</v>
      </c>
      <c r="E139" s="67" t="s">
        <v>23</v>
      </c>
      <c r="F139" s="67" t="s">
        <v>1785</v>
      </c>
      <c r="G139" s="67" t="s">
        <v>16</v>
      </c>
      <c r="H139" s="67" t="s">
        <v>67</v>
      </c>
      <c r="I139" s="14" t="str">
        <f t="shared" si="261"/>
        <v>C9</v>
      </c>
      <c r="J139" s="15">
        <f t="shared" si="262"/>
        <v>1</v>
      </c>
      <c r="K139" s="15">
        <f t="shared" si="263"/>
        <v>160</v>
      </c>
      <c r="L139" s="15">
        <f t="shared" si="264"/>
        <v>36</v>
      </c>
      <c r="M139" s="15">
        <f t="shared" si="265"/>
        <v>0</v>
      </c>
      <c r="N139" s="15">
        <f t="shared" si="266"/>
        <v>4</v>
      </c>
      <c r="O139" s="15">
        <f t="shared" si="267"/>
        <v>201</v>
      </c>
      <c r="P139" s="15" t="str">
        <f t="shared" si="268"/>
        <v>C9</v>
      </c>
      <c r="Q139" s="15">
        <f t="shared" si="269"/>
        <v>401</v>
      </c>
      <c r="R139" s="15" t="str">
        <f t="shared" si="270"/>
        <v>91</v>
      </c>
      <c r="S139" s="131"/>
      <c r="T139" s="131"/>
      <c r="V139" s="72"/>
      <c r="W139" s="72"/>
    </row>
    <row r="140" spans="2:23" ht="16.5" customHeight="1">
      <c r="B140" s="14" t="s">
        <v>1205</v>
      </c>
      <c r="C140" s="14" t="str">
        <f t="shared" si="260"/>
        <v>FF01A0250000C6</v>
      </c>
      <c r="D140" s="67" t="s">
        <v>24</v>
      </c>
      <c r="E140" s="67" t="s">
        <v>23</v>
      </c>
      <c r="F140" s="67" t="s">
        <v>51</v>
      </c>
      <c r="G140" s="67" t="s">
        <v>16</v>
      </c>
      <c r="H140" s="67" t="s">
        <v>16</v>
      </c>
      <c r="I140" s="14" t="str">
        <f t="shared" si="261"/>
        <v>C6</v>
      </c>
      <c r="J140" s="15">
        <f t="shared" si="262"/>
        <v>1</v>
      </c>
      <c r="K140" s="15">
        <f t="shared" si="263"/>
        <v>160</v>
      </c>
      <c r="L140" s="15">
        <f t="shared" si="264"/>
        <v>37</v>
      </c>
      <c r="M140" s="15">
        <f t="shared" si="265"/>
        <v>0</v>
      </c>
      <c r="N140" s="15">
        <f t="shared" si="266"/>
        <v>0</v>
      </c>
      <c r="O140" s="15">
        <f t="shared" si="267"/>
        <v>198</v>
      </c>
      <c r="P140" s="15" t="str">
        <f t="shared" si="268"/>
        <v>C6</v>
      </c>
      <c r="Q140" s="15">
        <f t="shared" si="269"/>
        <v>395</v>
      </c>
      <c r="R140" s="15" t="str">
        <f t="shared" si="270"/>
        <v>8B</v>
      </c>
      <c r="S140" s="131"/>
      <c r="T140" s="131"/>
      <c r="V140" s="72"/>
      <c r="W140" s="72"/>
    </row>
    <row r="141" spans="2:23" ht="16.5" customHeight="1">
      <c r="B141" s="14" t="s">
        <v>1204</v>
      </c>
      <c r="C141" s="14" t="str">
        <f t="shared" si="260"/>
        <v>FF01A0250001C7</v>
      </c>
      <c r="D141" s="67" t="s">
        <v>24</v>
      </c>
      <c r="E141" s="67" t="s">
        <v>23</v>
      </c>
      <c r="F141" s="67" t="s">
        <v>51</v>
      </c>
      <c r="G141" s="67" t="s">
        <v>16</v>
      </c>
      <c r="H141" s="67" t="s">
        <v>24</v>
      </c>
      <c r="I141" s="14" t="str">
        <f t="shared" si="261"/>
        <v>C7</v>
      </c>
      <c r="J141" s="15">
        <f t="shared" si="262"/>
        <v>1</v>
      </c>
      <c r="K141" s="15">
        <f t="shared" si="263"/>
        <v>160</v>
      </c>
      <c r="L141" s="15">
        <f t="shared" si="264"/>
        <v>37</v>
      </c>
      <c r="M141" s="15">
        <f t="shared" si="265"/>
        <v>0</v>
      </c>
      <c r="N141" s="15">
        <f t="shared" si="266"/>
        <v>1</v>
      </c>
      <c r="O141" s="15">
        <f t="shared" si="267"/>
        <v>199</v>
      </c>
      <c r="P141" s="15" t="str">
        <f t="shared" si="268"/>
        <v>C7</v>
      </c>
      <c r="Q141" s="15">
        <f t="shared" si="269"/>
        <v>397</v>
      </c>
      <c r="R141" s="15" t="str">
        <f t="shared" si="270"/>
        <v>8D</v>
      </c>
      <c r="S141" s="131"/>
      <c r="T141" s="131"/>
      <c r="V141" s="72"/>
      <c r="W141" s="72"/>
    </row>
    <row r="142" spans="2:23" ht="16.5" customHeight="1">
      <c r="B142" s="14" t="s">
        <v>1786</v>
      </c>
      <c r="C142" s="14" t="str">
        <f t="shared" ref="C142:C150" si="271">"FF"&amp;D142&amp;E142&amp;""&amp;F142&amp;G142&amp;H142&amp;I142</f>
        <v>FF01A160000002</v>
      </c>
      <c r="D142" s="67" t="s">
        <v>24</v>
      </c>
      <c r="E142" s="67" t="s">
        <v>80</v>
      </c>
      <c r="F142" s="67" t="s">
        <v>1712</v>
      </c>
      <c r="G142" s="67" t="s">
        <v>16</v>
      </c>
      <c r="H142" s="67" t="s">
        <v>16</v>
      </c>
      <c r="I142" s="14" t="str">
        <f t="shared" ref="I142:I150" si="272">P142</f>
        <v>02</v>
      </c>
      <c r="J142" s="15">
        <f t="shared" ref="J142:J150" si="273">HEX2DEC(D142)</f>
        <v>1</v>
      </c>
      <c r="K142" s="15">
        <f t="shared" ref="K142:K150" si="274">HEX2DEC(E142)</f>
        <v>161</v>
      </c>
      <c r="L142" s="15">
        <f t="shared" ref="L142:L150" si="275">HEX2DEC(F142)</f>
        <v>96</v>
      </c>
      <c r="M142" s="15">
        <f t="shared" ref="M142:M150" si="276">HEX2DEC(G142)</f>
        <v>0</v>
      </c>
      <c r="N142" s="15">
        <f t="shared" ref="N142:N150" si="277">HEX2DEC(H142)</f>
        <v>0</v>
      </c>
      <c r="O142" s="15">
        <f t="shared" ref="O142:O150" si="278">SUM(J142:N142)</f>
        <v>258</v>
      </c>
      <c r="P142" s="15" t="str">
        <f t="shared" ref="P142:P150" si="279">REPT("0",2-LEN(RIGHT(DEC2HEX(O142), 2)))&amp;RIGHT(DEC2HEX(O142), 2)</f>
        <v>02</v>
      </c>
      <c r="Q142" s="15">
        <f t="shared" ref="Q142:Q150" si="280">SUM(K142:P142)</f>
        <v>515</v>
      </c>
      <c r="R142" s="15" t="str">
        <f t="shared" ref="R142:R150" si="281">REPT("0",2-LEN(RIGHT(DEC2HEX(Q142), 2)))&amp;RIGHT(DEC2HEX(Q142), 2)</f>
        <v>03</v>
      </c>
      <c r="S142" s="131"/>
      <c r="T142" s="131"/>
      <c r="V142" s="72"/>
      <c r="W142" s="72"/>
    </row>
    <row r="143" spans="2:23" ht="16.5" customHeight="1">
      <c r="B143" s="14" t="s">
        <v>1788</v>
      </c>
      <c r="C143" s="14" t="str">
        <f t="shared" si="271"/>
        <v>FF01A061000002</v>
      </c>
      <c r="D143" s="67" t="s">
        <v>24</v>
      </c>
      <c r="E143" s="67" t="s">
        <v>23</v>
      </c>
      <c r="F143" s="67" t="s">
        <v>1794</v>
      </c>
      <c r="G143" s="67" t="s">
        <v>16</v>
      </c>
      <c r="H143" s="67" t="s">
        <v>16</v>
      </c>
      <c r="I143" s="14" t="str">
        <f t="shared" si="272"/>
        <v>02</v>
      </c>
      <c r="J143" s="15">
        <f t="shared" si="273"/>
        <v>1</v>
      </c>
      <c r="K143" s="15">
        <f t="shared" si="274"/>
        <v>160</v>
      </c>
      <c r="L143" s="15">
        <f t="shared" si="275"/>
        <v>97</v>
      </c>
      <c r="M143" s="15">
        <f t="shared" si="276"/>
        <v>0</v>
      </c>
      <c r="N143" s="15">
        <f t="shared" si="277"/>
        <v>0</v>
      </c>
      <c r="O143" s="15">
        <f t="shared" si="278"/>
        <v>258</v>
      </c>
      <c r="P143" s="15" t="str">
        <f t="shared" si="279"/>
        <v>02</v>
      </c>
      <c r="Q143" s="15">
        <f t="shared" si="280"/>
        <v>515</v>
      </c>
      <c r="R143" s="15" t="str">
        <f t="shared" si="281"/>
        <v>03</v>
      </c>
      <c r="S143" s="131"/>
      <c r="T143" s="131"/>
      <c r="V143" s="72"/>
      <c r="W143" s="72"/>
    </row>
    <row r="144" spans="2:23" ht="16.5" customHeight="1">
      <c r="B144" s="14" t="s">
        <v>1787</v>
      </c>
      <c r="C144" s="14" t="str">
        <f t="shared" si="271"/>
        <v>FF01A061000103</v>
      </c>
      <c r="D144" s="67" t="s">
        <v>24</v>
      </c>
      <c r="E144" s="67" t="s">
        <v>23</v>
      </c>
      <c r="F144" s="67" t="s">
        <v>1794</v>
      </c>
      <c r="G144" s="67" t="s">
        <v>16</v>
      </c>
      <c r="H144" s="67" t="s">
        <v>24</v>
      </c>
      <c r="I144" s="14" t="str">
        <f t="shared" si="272"/>
        <v>03</v>
      </c>
      <c r="J144" s="15">
        <f t="shared" si="273"/>
        <v>1</v>
      </c>
      <c r="K144" s="15">
        <f t="shared" si="274"/>
        <v>160</v>
      </c>
      <c r="L144" s="15">
        <f t="shared" si="275"/>
        <v>97</v>
      </c>
      <c r="M144" s="15">
        <f t="shared" si="276"/>
        <v>0</v>
      </c>
      <c r="N144" s="15">
        <f t="shared" si="277"/>
        <v>1</v>
      </c>
      <c r="O144" s="15">
        <f t="shared" si="278"/>
        <v>259</v>
      </c>
      <c r="P144" s="15" t="str">
        <f t="shared" si="279"/>
        <v>03</v>
      </c>
      <c r="Q144" s="15">
        <f t="shared" si="280"/>
        <v>517</v>
      </c>
      <c r="R144" s="15" t="str">
        <f t="shared" si="281"/>
        <v>05</v>
      </c>
      <c r="S144" s="131"/>
      <c r="T144" s="131"/>
      <c r="V144" s="72"/>
      <c r="W144" s="72"/>
    </row>
    <row r="145" spans="2:23" ht="16.5" customHeight="1">
      <c r="B145" s="14" t="s">
        <v>1789</v>
      </c>
      <c r="C145" s="14" t="str">
        <f t="shared" si="271"/>
        <v>FF01A062000003</v>
      </c>
      <c r="D145" s="67" t="s">
        <v>24</v>
      </c>
      <c r="E145" s="67" t="s">
        <v>23</v>
      </c>
      <c r="F145" s="67" t="s">
        <v>1795</v>
      </c>
      <c r="G145" s="67" t="s">
        <v>16</v>
      </c>
      <c r="H145" s="67" t="s">
        <v>16</v>
      </c>
      <c r="I145" s="14" t="str">
        <f t="shared" si="272"/>
        <v>03</v>
      </c>
      <c r="J145" s="15">
        <f t="shared" si="273"/>
        <v>1</v>
      </c>
      <c r="K145" s="15">
        <f t="shared" si="274"/>
        <v>160</v>
      </c>
      <c r="L145" s="15">
        <f t="shared" si="275"/>
        <v>98</v>
      </c>
      <c r="M145" s="15">
        <f t="shared" si="276"/>
        <v>0</v>
      </c>
      <c r="N145" s="15">
        <f t="shared" si="277"/>
        <v>0</v>
      </c>
      <c r="O145" s="15">
        <f t="shared" si="278"/>
        <v>259</v>
      </c>
      <c r="P145" s="15" t="str">
        <f t="shared" si="279"/>
        <v>03</v>
      </c>
      <c r="Q145" s="15">
        <f t="shared" si="280"/>
        <v>517</v>
      </c>
      <c r="R145" s="15" t="str">
        <f t="shared" si="281"/>
        <v>05</v>
      </c>
      <c r="S145" s="131"/>
      <c r="T145" s="131"/>
      <c r="V145" s="72"/>
      <c r="W145" s="72"/>
    </row>
    <row r="146" spans="2:23" ht="16.5" customHeight="1">
      <c r="B146" s="14" t="s">
        <v>1789</v>
      </c>
      <c r="C146" s="14" t="str">
        <f t="shared" si="271"/>
        <v>FF01A062000104</v>
      </c>
      <c r="D146" s="67" t="s">
        <v>24</v>
      </c>
      <c r="E146" s="67" t="s">
        <v>23</v>
      </c>
      <c r="F146" s="67" t="s">
        <v>1795</v>
      </c>
      <c r="G146" s="67" t="s">
        <v>16</v>
      </c>
      <c r="H146" s="67" t="s">
        <v>24</v>
      </c>
      <c r="I146" s="14" t="str">
        <f t="shared" si="272"/>
        <v>04</v>
      </c>
      <c r="J146" s="15">
        <f t="shared" si="273"/>
        <v>1</v>
      </c>
      <c r="K146" s="15">
        <f t="shared" si="274"/>
        <v>160</v>
      </c>
      <c r="L146" s="15">
        <f t="shared" si="275"/>
        <v>98</v>
      </c>
      <c r="M146" s="15">
        <f t="shared" si="276"/>
        <v>0</v>
      </c>
      <c r="N146" s="15">
        <f t="shared" si="277"/>
        <v>1</v>
      </c>
      <c r="O146" s="15">
        <f t="shared" si="278"/>
        <v>260</v>
      </c>
      <c r="P146" s="15" t="str">
        <f t="shared" si="279"/>
        <v>04</v>
      </c>
      <c r="Q146" s="15">
        <f t="shared" si="280"/>
        <v>519</v>
      </c>
      <c r="R146" s="15" t="str">
        <f t="shared" si="281"/>
        <v>07</v>
      </c>
      <c r="S146" s="131"/>
      <c r="T146" s="131"/>
      <c r="V146" s="72"/>
      <c r="W146" s="72"/>
    </row>
    <row r="147" spans="2:23" ht="16.5" customHeight="1">
      <c r="B147" s="14" t="s">
        <v>1790</v>
      </c>
      <c r="C147" s="14" t="str">
        <f t="shared" si="271"/>
        <v>FF01A063000004</v>
      </c>
      <c r="D147" s="67" t="s">
        <v>24</v>
      </c>
      <c r="E147" s="67" t="s">
        <v>23</v>
      </c>
      <c r="F147" s="67" t="s">
        <v>1796</v>
      </c>
      <c r="G147" s="67" t="s">
        <v>16</v>
      </c>
      <c r="H147" s="67" t="s">
        <v>16</v>
      </c>
      <c r="I147" s="14" t="str">
        <f t="shared" si="272"/>
        <v>04</v>
      </c>
      <c r="J147" s="15">
        <f t="shared" si="273"/>
        <v>1</v>
      </c>
      <c r="K147" s="15">
        <f t="shared" si="274"/>
        <v>160</v>
      </c>
      <c r="L147" s="15">
        <f t="shared" si="275"/>
        <v>99</v>
      </c>
      <c r="M147" s="15">
        <f t="shared" si="276"/>
        <v>0</v>
      </c>
      <c r="N147" s="15">
        <f t="shared" si="277"/>
        <v>0</v>
      </c>
      <c r="O147" s="15">
        <f t="shared" si="278"/>
        <v>260</v>
      </c>
      <c r="P147" s="15" t="str">
        <f t="shared" si="279"/>
        <v>04</v>
      </c>
      <c r="Q147" s="15">
        <f t="shared" si="280"/>
        <v>519</v>
      </c>
      <c r="R147" s="15" t="str">
        <f t="shared" si="281"/>
        <v>07</v>
      </c>
      <c r="S147" s="131"/>
      <c r="T147" s="131"/>
      <c r="V147" s="72"/>
      <c r="W147" s="72"/>
    </row>
    <row r="148" spans="2:23" ht="16.5" customHeight="1">
      <c r="B148" s="14" t="s">
        <v>1791</v>
      </c>
      <c r="C148" s="14" t="str">
        <f t="shared" si="271"/>
        <v>FF01A06300FF03</v>
      </c>
      <c r="D148" s="67" t="s">
        <v>24</v>
      </c>
      <c r="E148" s="67" t="s">
        <v>23</v>
      </c>
      <c r="F148" s="67" t="s">
        <v>1796</v>
      </c>
      <c r="G148" s="67" t="s">
        <v>16</v>
      </c>
      <c r="H148" s="67" t="s">
        <v>9</v>
      </c>
      <c r="I148" s="14" t="str">
        <f t="shared" si="272"/>
        <v>03</v>
      </c>
      <c r="J148" s="15">
        <f t="shared" si="273"/>
        <v>1</v>
      </c>
      <c r="K148" s="15">
        <f t="shared" si="274"/>
        <v>160</v>
      </c>
      <c r="L148" s="15">
        <f t="shared" si="275"/>
        <v>99</v>
      </c>
      <c r="M148" s="15">
        <f t="shared" si="276"/>
        <v>0</v>
      </c>
      <c r="N148" s="15">
        <f t="shared" si="277"/>
        <v>255</v>
      </c>
      <c r="O148" s="15">
        <f t="shared" si="278"/>
        <v>515</v>
      </c>
      <c r="P148" s="15" t="str">
        <f t="shared" si="279"/>
        <v>03</v>
      </c>
      <c r="Q148" s="15">
        <f t="shared" si="280"/>
        <v>1029</v>
      </c>
      <c r="R148" s="15" t="str">
        <f t="shared" si="281"/>
        <v>05</v>
      </c>
      <c r="S148" s="131">
        <v>255</v>
      </c>
      <c r="T148" s="131" t="str">
        <f>DEC2HEX(S148)</f>
        <v>FF</v>
      </c>
      <c r="V148" s="72"/>
      <c r="W148" s="72"/>
    </row>
    <row r="149" spans="2:23" ht="16.5" customHeight="1">
      <c r="B149" s="14" t="s">
        <v>1792</v>
      </c>
      <c r="C149" s="14" t="str">
        <f t="shared" si="271"/>
        <v>FF01A064000005</v>
      </c>
      <c r="D149" s="67" t="s">
        <v>24</v>
      </c>
      <c r="E149" s="67" t="s">
        <v>23</v>
      </c>
      <c r="F149" s="67" t="s">
        <v>128</v>
      </c>
      <c r="G149" s="67" t="s">
        <v>16</v>
      </c>
      <c r="H149" s="67" t="s">
        <v>16</v>
      </c>
      <c r="I149" s="14" t="str">
        <f t="shared" si="272"/>
        <v>05</v>
      </c>
      <c r="J149" s="15">
        <f t="shared" si="273"/>
        <v>1</v>
      </c>
      <c r="K149" s="15">
        <f t="shared" si="274"/>
        <v>160</v>
      </c>
      <c r="L149" s="15">
        <f t="shared" si="275"/>
        <v>100</v>
      </c>
      <c r="M149" s="15">
        <f t="shared" si="276"/>
        <v>0</v>
      </c>
      <c r="N149" s="15">
        <f t="shared" si="277"/>
        <v>0</v>
      </c>
      <c r="O149" s="15">
        <f t="shared" si="278"/>
        <v>261</v>
      </c>
      <c r="P149" s="15" t="str">
        <f t="shared" si="279"/>
        <v>05</v>
      </c>
      <c r="Q149" s="15">
        <f t="shared" si="280"/>
        <v>521</v>
      </c>
      <c r="R149" s="15" t="str">
        <f t="shared" si="281"/>
        <v>09</v>
      </c>
      <c r="S149" s="131"/>
      <c r="T149" s="131"/>
      <c r="V149" s="72"/>
      <c r="W149" s="72"/>
    </row>
    <row r="150" spans="2:23" ht="16.5" customHeight="1">
      <c r="B150" s="14" t="s">
        <v>1793</v>
      </c>
      <c r="C150" s="14" t="str">
        <f t="shared" si="271"/>
        <v>FF01A064FFFF03</v>
      </c>
      <c r="D150" s="67" t="s">
        <v>24</v>
      </c>
      <c r="E150" s="67" t="s">
        <v>23</v>
      </c>
      <c r="F150" s="67" t="s">
        <v>128</v>
      </c>
      <c r="G150" s="67" t="s">
        <v>9</v>
      </c>
      <c r="H150" s="67" t="s">
        <v>9</v>
      </c>
      <c r="I150" s="14" t="str">
        <f t="shared" si="272"/>
        <v>03</v>
      </c>
      <c r="J150" s="15">
        <f t="shared" si="273"/>
        <v>1</v>
      </c>
      <c r="K150" s="15">
        <f t="shared" si="274"/>
        <v>160</v>
      </c>
      <c r="L150" s="15">
        <f t="shared" si="275"/>
        <v>100</v>
      </c>
      <c r="M150" s="15">
        <f t="shared" si="276"/>
        <v>255</v>
      </c>
      <c r="N150" s="15">
        <f t="shared" si="277"/>
        <v>255</v>
      </c>
      <c r="O150" s="15">
        <f t="shared" si="278"/>
        <v>771</v>
      </c>
      <c r="P150" s="15" t="str">
        <f t="shared" si="279"/>
        <v>03</v>
      </c>
      <c r="Q150" s="15">
        <f t="shared" si="280"/>
        <v>1541</v>
      </c>
      <c r="R150" s="15" t="str">
        <f t="shared" si="281"/>
        <v>05</v>
      </c>
      <c r="S150" s="131">
        <v>65535</v>
      </c>
      <c r="T150" s="131" t="str">
        <f>DEC2HEX(S150)</f>
        <v>FFFF</v>
      </c>
      <c r="V150" s="72"/>
      <c r="W150" s="72"/>
    </row>
    <row r="151" spans="2:23" ht="16.5" customHeight="1">
      <c r="B151" s="14" t="s">
        <v>1797</v>
      </c>
      <c r="C151" s="14" t="str">
        <f t="shared" ref="C151:C160" si="282">"FF"&amp;D151&amp;E151&amp;""&amp;F151&amp;G151&amp;H151&amp;I151</f>
        <v>FF01B1000000B2</v>
      </c>
      <c r="D151" s="67" t="s">
        <v>24</v>
      </c>
      <c r="E151" s="67" t="s">
        <v>32</v>
      </c>
      <c r="F151" s="67" t="s">
        <v>16</v>
      </c>
      <c r="G151" s="67" t="s">
        <v>16</v>
      </c>
      <c r="H151" s="67" t="s">
        <v>16</v>
      </c>
      <c r="I151" s="14" t="str">
        <f t="shared" ref="I151:I160" si="283">P151</f>
        <v>B2</v>
      </c>
      <c r="J151" s="15">
        <f t="shared" ref="J151:J160" si="284">HEX2DEC(D151)</f>
        <v>1</v>
      </c>
      <c r="K151" s="15">
        <f t="shared" ref="K151:K160" si="285">HEX2DEC(E151)</f>
        <v>177</v>
      </c>
      <c r="L151" s="15">
        <f t="shared" ref="L151:L160" si="286">HEX2DEC(F151)</f>
        <v>0</v>
      </c>
      <c r="M151" s="15">
        <f t="shared" ref="M151:M160" si="287">HEX2DEC(G151)</f>
        <v>0</v>
      </c>
      <c r="N151" s="15">
        <f t="shared" ref="N151:N160" si="288">HEX2DEC(H151)</f>
        <v>0</v>
      </c>
      <c r="O151" s="15">
        <f t="shared" ref="O151:O160" si="289">SUM(J151:N151)</f>
        <v>178</v>
      </c>
      <c r="P151" s="15" t="str">
        <f t="shared" ref="P151:P160" si="290">REPT("0",2-LEN(RIGHT(DEC2HEX(O151), 2)))&amp;RIGHT(DEC2HEX(O151), 2)</f>
        <v>B2</v>
      </c>
      <c r="Q151" s="15">
        <f t="shared" ref="Q151:Q160" si="291">SUM(K151:P151)</f>
        <v>355</v>
      </c>
      <c r="R151" s="15" t="str">
        <f t="shared" ref="R151:R160" si="292">REPT("0",2-LEN(RIGHT(DEC2HEX(Q151), 2)))&amp;RIGHT(DEC2HEX(Q151), 2)</f>
        <v>63</v>
      </c>
      <c r="S151" s="131"/>
      <c r="T151" s="131"/>
      <c r="V151" s="72"/>
      <c r="W151" s="72"/>
    </row>
    <row r="152" spans="2:23" ht="16.5" customHeight="1">
      <c r="B152" s="14" t="s">
        <v>1798</v>
      </c>
      <c r="C152" s="14" t="str">
        <f t="shared" si="282"/>
        <v>FF01B0010000B2</v>
      </c>
      <c r="D152" s="67" t="s">
        <v>24</v>
      </c>
      <c r="E152" s="67" t="s">
        <v>1281</v>
      </c>
      <c r="F152" s="67" t="s">
        <v>24</v>
      </c>
      <c r="G152" s="67" t="s">
        <v>16</v>
      </c>
      <c r="H152" s="67" t="s">
        <v>16</v>
      </c>
      <c r="I152" s="14" t="str">
        <f t="shared" si="283"/>
        <v>B2</v>
      </c>
      <c r="J152" s="15">
        <f t="shared" si="284"/>
        <v>1</v>
      </c>
      <c r="K152" s="15">
        <f t="shared" si="285"/>
        <v>176</v>
      </c>
      <c r="L152" s="15">
        <f t="shared" si="286"/>
        <v>1</v>
      </c>
      <c r="M152" s="15">
        <f t="shared" si="287"/>
        <v>0</v>
      </c>
      <c r="N152" s="15">
        <f t="shared" si="288"/>
        <v>0</v>
      </c>
      <c r="O152" s="15">
        <f t="shared" si="289"/>
        <v>178</v>
      </c>
      <c r="P152" s="15" t="str">
        <f t="shared" si="290"/>
        <v>B2</v>
      </c>
      <c r="Q152" s="15">
        <f t="shared" si="291"/>
        <v>355</v>
      </c>
      <c r="R152" s="15" t="str">
        <f t="shared" si="292"/>
        <v>63</v>
      </c>
      <c r="S152" s="131"/>
      <c r="T152" s="131"/>
      <c r="V152" s="72"/>
      <c r="W152" s="72"/>
    </row>
    <row r="153" spans="2:23" ht="16.5" customHeight="1">
      <c r="B153" s="14" t="s">
        <v>1799</v>
      </c>
      <c r="C153" s="14" t="str">
        <f t="shared" si="282"/>
        <v>FF01B0020000B3</v>
      </c>
      <c r="D153" s="67" t="s">
        <v>24</v>
      </c>
      <c r="E153" s="67" t="s">
        <v>1281</v>
      </c>
      <c r="F153" s="67" t="s">
        <v>17</v>
      </c>
      <c r="G153" s="67" t="s">
        <v>16</v>
      </c>
      <c r="H153" s="67" t="s">
        <v>16</v>
      </c>
      <c r="I153" s="14" t="str">
        <f t="shared" si="283"/>
        <v>B3</v>
      </c>
      <c r="J153" s="15">
        <f t="shared" si="284"/>
        <v>1</v>
      </c>
      <c r="K153" s="15">
        <f t="shared" si="285"/>
        <v>176</v>
      </c>
      <c r="L153" s="15">
        <f t="shared" si="286"/>
        <v>2</v>
      </c>
      <c r="M153" s="15">
        <f t="shared" si="287"/>
        <v>0</v>
      </c>
      <c r="N153" s="15">
        <f t="shared" si="288"/>
        <v>0</v>
      </c>
      <c r="O153" s="15">
        <f t="shared" si="289"/>
        <v>179</v>
      </c>
      <c r="P153" s="15" t="str">
        <f t="shared" si="290"/>
        <v>B3</v>
      </c>
      <c r="Q153" s="15">
        <f t="shared" si="291"/>
        <v>357</v>
      </c>
      <c r="R153" s="15" t="str">
        <f t="shared" si="292"/>
        <v>65</v>
      </c>
      <c r="S153" s="131"/>
      <c r="T153" s="131"/>
      <c r="V153" s="72"/>
      <c r="W153" s="72"/>
    </row>
    <row r="154" spans="2:23" ht="16.5" customHeight="1">
      <c r="B154" s="14" t="s">
        <v>1800</v>
      </c>
      <c r="C154" s="14" t="str">
        <f t="shared" si="282"/>
        <v>FF01B0020001B4</v>
      </c>
      <c r="D154" s="67" t="s">
        <v>24</v>
      </c>
      <c r="E154" s="67" t="s">
        <v>1281</v>
      </c>
      <c r="F154" s="67" t="s">
        <v>17</v>
      </c>
      <c r="G154" s="67" t="s">
        <v>16</v>
      </c>
      <c r="H154" s="67" t="s">
        <v>24</v>
      </c>
      <c r="I154" s="14" t="str">
        <f t="shared" si="283"/>
        <v>B4</v>
      </c>
      <c r="J154" s="15">
        <f t="shared" si="284"/>
        <v>1</v>
      </c>
      <c r="K154" s="15">
        <f t="shared" si="285"/>
        <v>176</v>
      </c>
      <c r="L154" s="15">
        <f t="shared" si="286"/>
        <v>2</v>
      </c>
      <c r="M154" s="15">
        <f t="shared" si="287"/>
        <v>0</v>
      </c>
      <c r="N154" s="15">
        <f t="shared" si="288"/>
        <v>1</v>
      </c>
      <c r="O154" s="15">
        <f t="shared" si="289"/>
        <v>180</v>
      </c>
      <c r="P154" s="15" t="str">
        <f t="shared" si="290"/>
        <v>B4</v>
      </c>
      <c r="Q154" s="15">
        <f t="shared" si="291"/>
        <v>359</v>
      </c>
      <c r="R154" s="15" t="str">
        <f t="shared" si="292"/>
        <v>67</v>
      </c>
      <c r="S154" s="131"/>
      <c r="T154" s="131"/>
      <c r="V154" s="72"/>
      <c r="W154" s="72"/>
    </row>
    <row r="155" spans="2:23" ht="16.5" customHeight="1">
      <c r="B155" s="14" t="s">
        <v>1802</v>
      </c>
      <c r="C155" s="14" t="str">
        <f t="shared" si="282"/>
        <v>FF01B0020002B5</v>
      </c>
      <c r="D155" s="67" t="s">
        <v>24</v>
      </c>
      <c r="E155" s="67" t="s">
        <v>1281</v>
      </c>
      <c r="F155" s="67" t="s">
        <v>17</v>
      </c>
      <c r="G155" s="67" t="s">
        <v>16</v>
      </c>
      <c r="H155" s="67" t="s">
        <v>17</v>
      </c>
      <c r="I155" s="14" t="str">
        <f t="shared" si="283"/>
        <v>B5</v>
      </c>
      <c r="J155" s="15">
        <f t="shared" si="284"/>
        <v>1</v>
      </c>
      <c r="K155" s="15">
        <f t="shared" si="285"/>
        <v>176</v>
      </c>
      <c r="L155" s="15">
        <f t="shared" si="286"/>
        <v>2</v>
      </c>
      <c r="M155" s="15">
        <f t="shared" si="287"/>
        <v>0</v>
      </c>
      <c r="N155" s="15">
        <f t="shared" si="288"/>
        <v>2</v>
      </c>
      <c r="O155" s="15">
        <f t="shared" si="289"/>
        <v>181</v>
      </c>
      <c r="P155" s="15" t="str">
        <f t="shared" si="290"/>
        <v>B5</v>
      </c>
      <c r="Q155" s="15">
        <f t="shared" si="291"/>
        <v>361</v>
      </c>
      <c r="R155" s="15" t="str">
        <f t="shared" si="292"/>
        <v>69</v>
      </c>
      <c r="S155" s="131"/>
      <c r="T155" s="131"/>
      <c r="V155" s="72"/>
      <c r="W155" s="72"/>
    </row>
    <row r="156" spans="2:23" ht="16.5" customHeight="1">
      <c r="B156" s="14" t="s">
        <v>1801</v>
      </c>
      <c r="C156" s="14" t="str">
        <f t="shared" si="282"/>
        <v>FF01B0020003B6</v>
      </c>
      <c r="D156" s="67" t="s">
        <v>24</v>
      </c>
      <c r="E156" s="67" t="s">
        <v>1281</v>
      </c>
      <c r="F156" s="67" t="s">
        <v>17</v>
      </c>
      <c r="G156" s="67" t="s">
        <v>16</v>
      </c>
      <c r="H156" s="67" t="s">
        <v>91</v>
      </c>
      <c r="I156" s="14" t="str">
        <f t="shared" si="283"/>
        <v>B6</v>
      </c>
      <c r="J156" s="15">
        <f t="shared" si="284"/>
        <v>1</v>
      </c>
      <c r="K156" s="15">
        <f t="shared" si="285"/>
        <v>176</v>
      </c>
      <c r="L156" s="15">
        <f t="shared" si="286"/>
        <v>2</v>
      </c>
      <c r="M156" s="15">
        <f t="shared" si="287"/>
        <v>0</v>
      </c>
      <c r="N156" s="15">
        <f t="shared" si="288"/>
        <v>3</v>
      </c>
      <c r="O156" s="15">
        <f t="shared" si="289"/>
        <v>182</v>
      </c>
      <c r="P156" s="15" t="str">
        <f t="shared" si="290"/>
        <v>B6</v>
      </c>
      <c r="Q156" s="15">
        <f t="shared" si="291"/>
        <v>363</v>
      </c>
      <c r="R156" s="15" t="str">
        <f t="shared" si="292"/>
        <v>6B</v>
      </c>
      <c r="S156" s="131"/>
      <c r="T156" s="131"/>
      <c r="V156" s="72"/>
      <c r="W156" s="72"/>
    </row>
    <row r="157" spans="2:23" ht="16.5" customHeight="1">
      <c r="B157" s="14" t="s">
        <v>1808</v>
      </c>
      <c r="C157" s="14" t="str">
        <f t="shared" ref="C157" si="293">"FF"&amp;D157&amp;E157&amp;""&amp;F157&amp;G157&amp;H157&amp;I157</f>
        <v>FF01B0030000B4</v>
      </c>
      <c r="D157" s="67" t="s">
        <v>24</v>
      </c>
      <c r="E157" s="67" t="s">
        <v>1281</v>
      </c>
      <c r="F157" s="67" t="s">
        <v>91</v>
      </c>
      <c r="G157" s="67" t="s">
        <v>16</v>
      </c>
      <c r="H157" s="67" t="s">
        <v>16</v>
      </c>
      <c r="I157" s="14" t="str">
        <f t="shared" ref="I157" si="294">P157</f>
        <v>B4</v>
      </c>
      <c r="J157" s="15">
        <f t="shared" ref="J157" si="295">HEX2DEC(D157)</f>
        <v>1</v>
      </c>
      <c r="K157" s="15">
        <f t="shared" ref="K157" si="296">HEX2DEC(E157)</f>
        <v>176</v>
      </c>
      <c r="L157" s="15">
        <f t="shared" ref="L157" si="297">HEX2DEC(F157)</f>
        <v>3</v>
      </c>
      <c r="M157" s="15">
        <f t="shared" ref="M157" si="298">HEX2DEC(G157)</f>
        <v>0</v>
      </c>
      <c r="N157" s="15">
        <f t="shared" ref="N157" si="299">HEX2DEC(H157)</f>
        <v>0</v>
      </c>
      <c r="O157" s="15">
        <f t="shared" ref="O157" si="300">SUM(J157:N157)</f>
        <v>180</v>
      </c>
      <c r="P157" s="15" t="str">
        <f t="shared" ref="P157" si="301">REPT("0",2-LEN(RIGHT(DEC2HEX(O157), 2)))&amp;RIGHT(DEC2HEX(O157), 2)</f>
        <v>B4</v>
      </c>
      <c r="Q157" s="15">
        <f t="shared" ref="Q157" si="302">SUM(K157:P157)</f>
        <v>359</v>
      </c>
      <c r="R157" s="15" t="str">
        <f t="shared" ref="R157" si="303">REPT("0",2-LEN(RIGHT(DEC2HEX(Q157), 2)))&amp;RIGHT(DEC2HEX(Q157), 2)</f>
        <v>67</v>
      </c>
      <c r="S157" s="131"/>
      <c r="T157" s="131"/>
      <c r="V157" s="72"/>
      <c r="W157" s="72"/>
    </row>
    <row r="158" spans="2:23" ht="16.5" customHeight="1">
      <c r="B158" s="14" t="s">
        <v>1809</v>
      </c>
      <c r="C158" s="14" t="str">
        <f t="shared" ref="C158" si="304">"FF"&amp;D158&amp;E158&amp;""&amp;F158&amp;G158&amp;H158&amp;I158</f>
        <v>FF01B0030040F4</v>
      </c>
      <c r="D158" s="67" t="s">
        <v>24</v>
      </c>
      <c r="E158" s="67" t="s">
        <v>1281</v>
      </c>
      <c r="F158" s="67" t="s">
        <v>91</v>
      </c>
      <c r="G158" s="67" t="s">
        <v>16</v>
      </c>
      <c r="H158" s="67" t="s">
        <v>1509</v>
      </c>
      <c r="I158" s="14" t="str">
        <f t="shared" ref="I158" si="305">P158</f>
        <v>F4</v>
      </c>
      <c r="J158" s="15">
        <f t="shared" ref="J158" si="306">HEX2DEC(D158)</f>
        <v>1</v>
      </c>
      <c r="K158" s="15">
        <f t="shared" ref="K158" si="307">HEX2DEC(E158)</f>
        <v>176</v>
      </c>
      <c r="L158" s="15">
        <f t="shared" ref="L158" si="308">HEX2DEC(F158)</f>
        <v>3</v>
      </c>
      <c r="M158" s="15">
        <f t="shared" ref="M158" si="309">HEX2DEC(G158)</f>
        <v>0</v>
      </c>
      <c r="N158" s="15">
        <f t="shared" ref="N158" si="310">HEX2DEC(H158)</f>
        <v>64</v>
      </c>
      <c r="O158" s="15">
        <f t="shared" ref="O158" si="311">SUM(J158:N158)</f>
        <v>244</v>
      </c>
      <c r="P158" s="15" t="str">
        <f t="shared" ref="P158" si="312">REPT("0",2-LEN(RIGHT(DEC2HEX(O158), 2)))&amp;RIGHT(DEC2HEX(O158), 2)</f>
        <v>F4</v>
      </c>
      <c r="Q158" s="15">
        <f t="shared" ref="Q158" si="313">SUM(K158:P158)</f>
        <v>487</v>
      </c>
      <c r="R158" s="15" t="str">
        <f t="shared" ref="R158" si="314">REPT("0",2-LEN(RIGHT(DEC2HEX(Q158), 2)))&amp;RIGHT(DEC2HEX(Q158), 2)</f>
        <v>E7</v>
      </c>
      <c r="S158" s="131">
        <v>64</v>
      </c>
      <c r="T158" s="131" t="str">
        <f>DEC2HEX(S158)</f>
        <v>40</v>
      </c>
      <c r="V158" s="72"/>
      <c r="W158" s="72"/>
    </row>
    <row r="159" spans="2:23" ht="16.5" customHeight="1">
      <c r="B159" s="14" t="s">
        <v>1803</v>
      </c>
      <c r="C159" s="14" t="str">
        <f t="shared" si="282"/>
        <v>FF01B0040000B5</v>
      </c>
      <c r="D159" s="67" t="s">
        <v>24</v>
      </c>
      <c r="E159" s="67" t="s">
        <v>1281</v>
      </c>
      <c r="F159" s="67" t="s">
        <v>67</v>
      </c>
      <c r="G159" s="67" t="s">
        <v>16</v>
      </c>
      <c r="H159" s="67" t="s">
        <v>16</v>
      </c>
      <c r="I159" s="14" t="str">
        <f t="shared" si="283"/>
        <v>B5</v>
      </c>
      <c r="J159" s="15">
        <f t="shared" si="284"/>
        <v>1</v>
      </c>
      <c r="K159" s="15">
        <f t="shared" si="285"/>
        <v>176</v>
      </c>
      <c r="L159" s="15">
        <f t="shared" si="286"/>
        <v>4</v>
      </c>
      <c r="M159" s="15">
        <f t="shared" si="287"/>
        <v>0</v>
      </c>
      <c r="N159" s="15">
        <f t="shared" si="288"/>
        <v>0</v>
      </c>
      <c r="O159" s="15">
        <f t="shared" si="289"/>
        <v>181</v>
      </c>
      <c r="P159" s="15" t="str">
        <f t="shared" si="290"/>
        <v>B5</v>
      </c>
      <c r="Q159" s="15">
        <f t="shared" si="291"/>
        <v>361</v>
      </c>
      <c r="R159" s="15" t="str">
        <f t="shared" si="292"/>
        <v>69</v>
      </c>
      <c r="S159" s="131"/>
      <c r="T159" s="131"/>
      <c r="V159" s="72"/>
      <c r="W159" s="72"/>
    </row>
    <row r="160" spans="2:23" ht="25.5">
      <c r="B160" s="14" t="s">
        <v>1804</v>
      </c>
      <c r="C160" s="14" t="str">
        <f t="shared" si="282"/>
        <v>FF01B004A8C01D</v>
      </c>
      <c r="D160" s="67" t="s">
        <v>24</v>
      </c>
      <c r="E160" s="67" t="s">
        <v>1281</v>
      </c>
      <c r="F160" s="67" t="s">
        <v>67</v>
      </c>
      <c r="G160" s="67" t="s">
        <v>1736</v>
      </c>
      <c r="H160" s="67" t="s">
        <v>1282</v>
      </c>
      <c r="I160" s="14" t="str">
        <f t="shared" si="283"/>
        <v>1D</v>
      </c>
      <c r="J160" s="15">
        <f t="shared" si="284"/>
        <v>1</v>
      </c>
      <c r="K160" s="15">
        <f t="shared" si="285"/>
        <v>176</v>
      </c>
      <c r="L160" s="15">
        <f t="shared" si="286"/>
        <v>4</v>
      </c>
      <c r="M160" s="15">
        <f t="shared" si="287"/>
        <v>168</v>
      </c>
      <c r="N160" s="15">
        <f t="shared" si="288"/>
        <v>192</v>
      </c>
      <c r="O160" s="15">
        <f t="shared" si="289"/>
        <v>541</v>
      </c>
      <c r="P160" s="15" t="str">
        <f t="shared" si="290"/>
        <v>1D</v>
      </c>
      <c r="Q160" s="15">
        <f t="shared" si="291"/>
        <v>1081</v>
      </c>
      <c r="R160" s="15" t="str">
        <f t="shared" si="292"/>
        <v>39</v>
      </c>
      <c r="S160" s="131">
        <v>43200</v>
      </c>
      <c r="T160" s="131" t="str">
        <f>DEC2HEX(S160)</f>
        <v>A8C0</v>
      </c>
      <c r="V160" s="72"/>
      <c r="W160" s="72"/>
    </row>
    <row r="161" spans="2:23" ht="16.5" customHeight="1">
      <c r="B161" s="14" t="s">
        <v>1805</v>
      </c>
      <c r="C161" s="14" t="str">
        <f t="shared" ref="C161:C168" si="315">"FF"&amp;D161&amp;E161&amp;""&amp;F161&amp;G161&amp;H161&amp;I161</f>
        <v>FF01B005FFFFB4</v>
      </c>
      <c r="D161" s="67" t="s">
        <v>24</v>
      </c>
      <c r="E161" s="67" t="s">
        <v>1281</v>
      </c>
      <c r="F161" s="67" t="s">
        <v>92</v>
      </c>
      <c r="G161" s="67" t="s">
        <v>9</v>
      </c>
      <c r="H161" s="67" t="s">
        <v>9</v>
      </c>
      <c r="I161" s="14" t="str">
        <f t="shared" ref="I161:I168" si="316">P161</f>
        <v>B4</v>
      </c>
      <c r="J161" s="15">
        <f t="shared" ref="J161:J168" si="317">HEX2DEC(D161)</f>
        <v>1</v>
      </c>
      <c r="K161" s="15">
        <f t="shared" ref="K161:K168" si="318">HEX2DEC(E161)</f>
        <v>176</v>
      </c>
      <c r="L161" s="15">
        <f t="shared" ref="L161:L168" si="319">HEX2DEC(F161)</f>
        <v>5</v>
      </c>
      <c r="M161" s="15">
        <f t="shared" ref="M161:M168" si="320">HEX2DEC(G161)</f>
        <v>255</v>
      </c>
      <c r="N161" s="15">
        <f t="shared" ref="N161:N168" si="321">HEX2DEC(H161)</f>
        <v>255</v>
      </c>
      <c r="O161" s="15">
        <f t="shared" ref="O161:O168" si="322">SUM(J161:N161)</f>
        <v>692</v>
      </c>
      <c r="P161" s="15" t="str">
        <f t="shared" ref="P161:P168" si="323">REPT("0",2-LEN(RIGHT(DEC2HEX(O161), 2)))&amp;RIGHT(DEC2HEX(O161), 2)</f>
        <v>B4</v>
      </c>
      <c r="Q161" s="15">
        <f t="shared" ref="Q161:Q168" si="324">SUM(K161:P161)</f>
        <v>1383</v>
      </c>
      <c r="R161" s="15" t="str">
        <f t="shared" ref="R161:R168" si="325">REPT("0",2-LEN(RIGHT(DEC2HEX(Q161), 2)))&amp;RIGHT(DEC2HEX(Q161), 2)</f>
        <v>67</v>
      </c>
      <c r="S161" s="131">
        <v>-1</v>
      </c>
      <c r="T161" s="131"/>
      <c r="U161" s="131" t="str">
        <f>TEXT(DEC2HEX(65536 + S161), "0000")</f>
        <v>FFFF</v>
      </c>
      <c r="V161" s="72"/>
      <c r="W161" s="72"/>
    </row>
    <row r="162" spans="2:23" ht="16.5" customHeight="1">
      <c r="B162" s="14" t="s">
        <v>1806</v>
      </c>
      <c r="C162" s="14" t="str">
        <f t="shared" si="315"/>
        <v>FF01B005B9B01F</v>
      </c>
      <c r="D162" s="67" t="s">
        <v>24</v>
      </c>
      <c r="E162" s="67" t="s">
        <v>1281</v>
      </c>
      <c r="F162" s="67" t="s">
        <v>92</v>
      </c>
      <c r="G162" s="67" t="s">
        <v>1704</v>
      </c>
      <c r="H162" s="67" t="s">
        <v>1281</v>
      </c>
      <c r="I162" s="14" t="str">
        <f t="shared" si="316"/>
        <v>1F</v>
      </c>
      <c r="J162" s="15">
        <f t="shared" si="317"/>
        <v>1</v>
      </c>
      <c r="K162" s="15">
        <f t="shared" si="318"/>
        <v>176</v>
      </c>
      <c r="L162" s="15">
        <f t="shared" si="319"/>
        <v>5</v>
      </c>
      <c r="M162" s="15">
        <f t="shared" si="320"/>
        <v>185</v>
      </c>
      <c r="N162" s="15">
        <f t="shared" si="321"/>
        <v>176</v>
      </c>
      <c r="O162" s="15">
        <f t="shared" si="322"/>
        <v>543</v>
      </c>
      <c r="P162" s="15" t="str">
        <f t="shared" si="323"/>
        <v>1F</v>
      </c>
      <c r="Q162" s="15">
        <f t="shared" si="324"/>
        <v>1085</v>
      </c>
      <c r="R162" s="15" t="str">
        <f t="shared" si="325"/>
        <v>3D</v>
      </c>
      <c r="S162" s="131">
        <v>-18000</v>
      </c>
      <c r="T162" s="131"/>
      <c r="U162" s="131" t="str">
        <f>TEXT(DEC2HEX(65536 + S162), "0000")</f>
        <v>B9B0</v>
      </c>
      <c r="V162" s="72"/>
      <c r="W162" s="72"/>
    </row>
    <row r="163" spans="2:23" ht="16.5" customHeight="1">
      <c r="B163" s="14" t="s">
        <v>1807</v>
      </c>
      <c r="C163" s="14" t="str">
        <f t="shared" si="315"/>
        <v>FF01B0060001B8</v>
      </c>
      <c r="D163" s="67" t="s">
        <v>24</v>
      </c>
      <c r="E163" s="67" t="s">
        <v>1281</v>
      </c>
      <c r="F163" s="67" t="s">
        <v>100</v>
      </c>
      <c r="G163" s="67" t="s">
        <v>16</v>
      </c>
      <c r="H163" s="67" t="s">
        <v>24</v>
      </c>
      <c r="I163" s="14" t="str">
        <f t="shared" si="316"/>
        <v>B8</v>
      </c>
      <c r="J163" s="15">
        <f t="shared" si="317"/>
        <v>1</v>
      </c>
      <c r="K163" s="15">
        <f t="shared" si="318"/>
        <v>176</v>
      </c>
      <c r="L163" s="15">
        <f t="shared" si="319"/>
        <v>6</v>
      </c>
      <c r="M163" s="15">
        <f t="shared" si="320"/>
        <v>0</v>
      </c>
      <c r="N163" s="15">
        <f t="shared" si="321"/>
        <v>1</v>
      </c>
      <c r="O163" s="15">
        <f t="shared" si="322"/>
        <v>184</v>
      </c>
      <c r="P163" s="15" t="str">
        <f t="shared" si="323"/>
        <v>B8</v>
      </c>
      <c r="Q163" s="15">
        <f t="shared" si="324"/>
        <v>367</v>
      </c>
      <c r="R163" s="15" t="str">
        <f t="shared" si="325"/>
        <v>6F</v>
      </c>
      <c r="S163" s="131"/>
      <c r="T163" s="131"/>
      <c r="V163" s="72"/>
      <c r="W163" s="72"/>
    </row>
    <row r="164" spans="2:23" ht="16.5" customHeight="1">
      <c r="B164" s="14" t="s">
        <v>1810</v>
      </c>
      <c r="C164" s="14" t="str">
        <f t="shared" si="315"/>
        <v>FF01B00646504D</v>
      </c>
      <c r="D164" s="67" t="s">
        <v>24</v>
      </c>
      <c r="E164" s="67" t="s">
        <v>1281</v>
      </c>
      <c r="F164" s="67" t="s">
        <v>100</v>
      </c>
      <c r="G164" s="67" t="s">
        <v>1702</v>
      </c>
      <c r="H164" s="67" t="s">
        <v>162</v>
      </c>
      <c r="I164" s="14" t="str">
        <f t="shared" si="316"/>
        <v>4D</v>
      </c>
      <c r="J164" s="15">
        <f t="shared" si="317"/>
        <v>1</v>
      </c>
      <c r="K164" s="15">
        <f t="shared" si="318"/>
        <v>176</v>
      </c>
      <c r="L164" s="15">
        <f t="shared" si="319"/>
        <v>6</v>
      </c>
      <c r="M164" s="15">
        <f t="shared" si="320"/>
        <v>70</v>
      </c>
      <c r="N164" s="15">
        <f t="shared" si="321"/>
        <v>80</v>
      </c>
      <c r="O164" s="15">
        <f t="shared" si="322"/>
        <v>333</v>
      </c>
      <c r="P164" s="15" t="str">
        <f t="shared" si="323"/>
        <v>4D</v>
      </c>
      <c r="Q164" s="15">
        <f t="shared" si="324"/>
        <v>665</v>
      </c>
      <c r="R164" s="15" t="str">
        <f t="shared" si="325"/>
        <v>99</v>
      </c>
      <c r="S164" s="131">
        <v>18000</v>
      </c>
      <c r="T164" s="131" t="str">
        <f>DEC2HEX(S164)</f>
        <v>4650</v>
      </c>
      <c r="V164" s="72"/>
      <c r="W164" s="72"/>
    </row>
    <row r="165" spans="2:23" ht="16.5" customHeight="1">
      <c r="B165" s="14" t="s">
        <v>1811</v>
      </c>
      <c r="C165" s="14" t="str">
        <f t="shared" si="315"/>
        <v>FF01B1100001C3</v>
      </c>
      <c r="D165" s="67" t="s">
        <v>24</v>
      </c>
      <c r="E165" s="67" t="s">
        <v>32</v>
      </c>
      <c r="F165" s="67" t="s">
        <v>109</v>
      </c>
      <c r="G165" s="67" t="s">
        <v>16</v>
      </c>
      <c r="H165" s="67" t="s">
        <v>24</v>
      </c>
      <c r="I165" s="14" t="str">
        <f t="shared" si="316"/>
        <v>C3</v>
      </c>
      <c r="J165" s="15">
        <f t="shared" si="317"/>
        <v>1</v>
      </c>
      <c r="K165" s="15">
        <f t="shared" si="318"/>
        <v>177</v>
      </c>
      <c r="L165" s="15">
        <f t="shared" si="319"/>
        <v>16</v>
      </c>
      <c r="M165" s="15">
        <f t="shared" si="320"/>
        <v>0</v>
      </c>
      <c r="N165" s="15">
        <f t="shared" si="321"/>
        <v>1</v>
      </c>
      <c r="O165" s="15">
        <f t="shared" si="322"/>
        <v>195</v>
      </c>
      <c r="P165" s="15" t="str">
        <f t="shared" si="323"/>
        <v>C3</v>
      </c>
      <c r="Q165" s="15">
        <f t="shared" si="324"/>
        <v>389</v>
      </c>
      <c r="R165" s="15" t="str">
        <f t="shared" si="325"/>
        <v>85</v>
      </c>
      <c r="S165" s="131"/>
      <c r="T165" s="131"/>
      <c r="V165" s="72"/>
      <c r="W165" s="72"/>
    </row>
    <row r="166" spans="2:23" ht="16.5" customHeight="1">
      <c r="B166" s="14" t="s">
        <v>1812</v>
      </c>
      <c r="C166" s="14" t="str">
        <f t="shared" si="315"/>
        <v>FF01B11000FFC1</v>
      </c>
      <c r="D166" s="67" t="s">
        <v>24</v>
      </c>
      <c r="E166" s="67" t="s">
        <v>32</v>
      </c>
      <c r="F166" s="67" t="s">
        <v>109</v>
      </c>
      <c r="G166" s="67" t="s">
        <v>16</v>
      </c>
      <c r="H166" s="67" t="s">
        <v>9</v>
      </c>
      <c r="I166" s="14" t="str">
        <f t="shared" si="316"/>
        <v>C1</v>
      </c>
      <c r="J166" s="15">
        <f t="shared" si="317"/>
        <v>1</v>
      </c>
      <c r="K166" s="15">
        <f t="shared" si="318"/>
        <v>177</v>
      </c>
      <c r="L166" s="15">
        <f t="shared" si="319"/>
        <v>16</v>
      </c>
      <c r="M166" s="15">
        <f t="shared" si="320"/>
        <v>0</v>
      </c>
      <c r="N166" s="15">
        <f t="shared" si="321"/>
        <v>255</v>
      </c>
      <c r="O166" s="15">
        <f t="shared" si="322"/>
        <v>449</v>
      </c>
      <c r="P166" s="15" t="str">
        <f t="shared" si="323"/>
        <v>C1</v>
      </c>
      <c r="Q166" s="15">
        <f t="shared" si="324"/>
        <v>897</v>
      </c>
      <c r="R166" s="15" t="str">
        <f t="shared" si="325"/>
        <v>81</v>
      </c>
      <c r="S166" s="131"/>
      <c r="T166" s="131"/>
      <c r="V166" s="72"/>
      <c r="W166" s="72"/>
    </row>
    <row r="167" spans="2:23" ht="16.5" customHeight="1">
      <c r="B167" s="14" t="s">
        <v>1813</v>
      </c>
      <c r="C167" s="14" t="str">
        <f t="shared" si="315"/>
        <v>FF01B0110001C3</v>
      </c>
      <c r="D167" s="67" t="s">
        <v>24</v>
      </c>
      <c r="E167" s="67" t="s">
        <v>1281</v>
      </c>
      <c r="F167" s="67" t="s">
        <v>110</v>
      </c>
      <c r="G167" s="67" t="s">
        <v>16</v>
      </c>
      <c r="H167" s="67" t="s">
        <v>24</v>
      </c>
      <c r="I167" s="14" t="str">
        <f t="shared" si="316"/>
        <v>C3</v>
      </c>
      <c r="J167" s="15">
        <f t="shared" si="317"/>
        <v>1</v>
      </c>
      <c r="K167" s="15">
        <f t="shared" si="318"/>
        <v>176</v>
      </c>
      <c r="L167" s="15">
        <f t="shared" si="319"/>
        <v>17</v>
      </c>
      <c r="M167" s="15">
        <f t="shared" si="320"/>
        <v>0</v>
      </c>
      <c r="N167" s="15">
        <f t="shared" si="321"/>
        <v>1</v>
      </c>
      <c r="O167" s="15">
        <f t="shared" si="322"/>
        <v>195</v>
      </c>
      <c r="P167" s="15" t="str">
        <f t="shared" si="323"/>
        <v>C3</v>
      </c>
      <c r="Q167" s="15">
        <f t="shared" si="324"/>
        <v>389</v>
      </c>
      <c r="R167" s="15" t="str">
        <f t="shared" si="325"/>
        <v>85</v>
      </c>
      <c r="S167" s="131"/>
      <c r="T167" s="131"/>
      <c r="V167" s="72"/>
      <c r="W167" s="72"/>
    </row>
    <row r="168" spans="2:23" ht="16.5" customHeight="1">
      <c r="B168" s="14" t="s">
        <v>1523</v>
      </c>
      <c r="C168" s="14" t="str">
        <f t="shared" si="315"/>
        <v>FF01B01100FFC1</v>
      </c>
      <c r="D168" s="67" t="s">
        <v>24</v>
      </c>
      <c r="E168" s="67" t="s">
        <v>1281</v>
      </c>
      <c r="F168" s="67" t="s">
        <v>110</v>
      </c>
      <c r="G168" s="67" t="s">
        <v>16</v>
      </c>
      <c r="H168" s="67" t="s">
        <v>9</v>
      </c>
      <c r="I168" s="14" t="str">
        <f t="shared" si="316"/>
        <v>C1</v>
      </c>
      <c r="J168" s="15">
        <f t="shared" si="317"/>
        <v>1</v>
      </c>
      <c r="K168" s="15">
        <f t="shared" si="318"/>
        <v>176</v>
      </c>
      <c r="L168" s="15">
        <f t="shared" si="319"/>
        <v>17</v>
      </c>
      <c r="M168" s="15">
        <f t="shared" si="320"/>
        <v>0</v>
      </c>
      <c r="N168" s="15">
        <f t="shared" si="321"/>
        <v>255</v>
      </c>
      <c r="O168" s="15">
        <f t="shared" si="322"/>
        <v>449</v>
      </c>
      <c r="P168" s="15" t="str">
        <f t="shared" si="323"/>
        <v>C1</v>
      </c>
      <c r="Q168" s="15">
        <f t="shared" si="324"/>
        <v>897</v>
      </c>
      <c r="R168" s="15" t="str">
        <f t="shared" si="325"/>
        <v>81</v>
      </c>
      <c r="S168" s="131"/>
      <c r="T168" s="131"/>
      <c r="V168" s="72"/>
      <c r="W168" s="72"/>
    </row>
    <row r="169" spans="2:23" ht="16.5" customHeight="1">
      <c r="B169" s="14" t="s">
        <v>1814</v>
      </c>
      <c r="C169" s="14" t="str">
        <f t="shared" ref="C169:C187" si="326">"FF"&amp;D169&amp;E169&amp;""&amp;F169&amp;G169&amp;H169&amp;I169</f>
        <v>FF01B012000C3</v>
      </c>
      <c r="D169" s="67" t="s">
        <v>24</v>
      </c>
      <c r="E169" s="67" t="s">
        <v>1281</v>
      </c>
      <c r="F169" s="67" t="s">
        <v>111</v>
      </c>
      <c r="G169" s="67" t="s">
        <v>16</v>
      </c>
      <c r="H169" s="67" t="s">
        <v>1822</v>
      </c>
      <c r="I169" s="14" t="str">
        <f t="shared" ref="I169:I187" si="327">P169</f>
        <v>C3</v>
      </c>
      <c r="J169" s="15">
        <f t="shared" ref="J169:J187" si="328">HEX2DEC(D169)</f>
        <v>1</v>
      </c>
      <c r="K169" s="15">
        <f t="shared" ref="K169:K187" si="329">HEX2DEC(E169)</f>
        <v>176</v>
      </c>
      <c r="L169" s="15">
        <f t="shared" ref="L169:L187" si="330">HEX2DEC(F169)</f>
        <v>18</v>
      </c>
      <c r="M169" s="15">
        <f t="shared" ref="M169:M187" si="331">HEX2DEC(G169)</f>
        <v>0</v>
      </c>
      <c r="N169" s="15">
        <f t="shared" ref="N169:N187" si="332">HEX2DEC(H169)</f>
        <v>0</v>
      </c>
      <c r="O169" s="15">
        <f t="shared" ref="O169:O187" si="333">SUM(J169:N169)</f>
        <v>195</v>
      </c>
      <c r="P169" s="15" t="str">
        <f t="shared" ref="P169:P187" si="334">REPT("0",2-LEN(RIGHT(DEC2HEX(O169), 2)))&amp;RIGHT(DEC2HEX(O169), 2)</f>
        <v>C3</v>
      </c>
      <c r="Q169" s="15">
        <f t="shared" ref="Q169:Q187" si="335">SUM(K169:P169)</f>
        <v>389</v>
      </c>
      <c r="R169" s="15" t="str">
        <f t="shared" ref="R169:R187" si="336">REPT("0",2-LEN(RIGHT(DEC2HEX(Q169), 2)))&amp;RIGHT(DEC2HEX(Q169), 2)</f>
        <v>85</v>
      </c>
      <c r="S169" s="131"/>
      <c r="T169" s="131"/>
      <c r="V169" s="72"/>
      <c r="W169" s="72"/>
    </row>
    <row r="170" spans="2:23" ht="16.5" customHeight="1">
      <c r="B170" s="14" t="s">
        <v>1815</v>
      </c>
      <c r="C170" s="14" t="str">
        <f t="shared" si="326"/>
        <v>FF01B012004003</v>
      </c>
      <c r="D170" s="67" t="s">
        <v>24</v>
      </c>
      <c r="E170" s="67" t="s">
        <v>1281</v>
      </c>
      <c r="F170" s="67" t="s">
        <v>111</v>
      </c>
      <c r="G170" s="67" t="s">
        <v>16</v>
      </c>
      <c r="H170" s="67" t="s">
        <v>1509</v>
      </c>
      <c r="I170" s="14" t="str">
        <f t="shared" si="327"/>
        <v>03</v>
      </c>
      <c r="J170" s="15">
        <f t="shared" si="328"/>
        <v>1</v>
      </c>
      <c r="K170" s="15">
        <f t="shared" si="329"/>
        <v>176</v>
      </c>
      <c r="L170" s="15">
        <f t="shared" si="330"/>
        <v>18</v>
      </c>
      <c r="M170" s="15">
        <f t="shared" si="331"/>
        <v>0</v>
      </c>
      <c r="N170" s="15">
        <f t="shared" si="332"/>
        <v>64</v>
      </c>
      <c r="O170" s="15">
        <f t="shared" si="333"/>
        <v>259</v>
      </c>
      <c r="P170" s="15" t="str">
        <f t="shared" si="334"/>
        <v>03</v>
      </c>
      <c r="Q170" s="15">
        <f t="shared" si="335"/>
        <v>517</v>
      </c>
      <c r="R170" s="15" t="str">
        <f t="shared" si="336"/>
        <v>05</v>
      </c>
      <c r="S170" s="131">
        <v>64</v>
      </c>
      <c r="T170" s="131" t="str">
        <f>DEC2HEX(S170)</f>
        <v>40</v>
      </c>
      <c r="V170" s="72"/>
      <c r="W170" s="72"/>
    </row>
    <row r="171" spans="2:23" ht="16.5" customHeight="1">
      <c r="B171" s="14" t="s">
        <v>1816</v>
      </c>
      <c r="C171" s="14" t="str">
        <f t="shared" si="326"/>
        <v>FF01B0130000C4</v>
      </c>
      <c r="D171" s="67" t="s">
        <v>24</v>
      </c>
      <c r="E171" s="67" t="s">
        <v>1281</v>
      </c>
      <c r="F171" s="67" t="s">
        <v>116</v>
      </c>
      <c r="G171" s="67" t="s">
        <v>16</v>
      </c>
      <c r="H171" s="67" t="s">
        <v>16</v>
      </c>
      <c r="I171" s="14" t="str">
        <f t="shared" si="327"/>
        <v>C4</v>
      </c>
      <c r="J171" s="15">
        <f t="shared" si="328"/>
        <v>1</v>
      </c>
      <c r="K171" s="15">
        <f t="shared" si="329"/>
        <v>176</v>
      </c>
      <c r="L171" s="15">
        <f t="shared" si="330"/>
        <v>19</v>
      </c>
      <c r="M171" s="15">
        <f t="shared" si="331"/>
        <v>0</v>
      </c>
      <c r="N171" s="15">
        <f t="shared" si="332"/>
        <v>0</v>
      </c>
      <c r="O171" s="15">
        <f t="shared" si="333"/>
        <v>196</v>
      </c>
      <c r="P171" s="15" t="str">
        <f t="shared" si="334"/>
        <v>C4</v>
      </c>
      <c r="Q171" s="15">
        <f t="shared" si="335"/>
        <v>391</v>
      </c>
      <c r="R171" s="15" t="str">
        <f t="shared" si="336"/>
        <v>87</v>
      </c>
      <c r="S171" s="131"/>
      <c r="T171" s="131"/>
      <c r="V171" s="72"/>
      <c r="W171" s="72"/>
    </row>
    <row r="172" spans="2:23" ht="17.25">
      <c r="B172" s="14" t="s">
        <v>1987</v>
      </c>
      <c r="C172" s="14" t="str">
        <f t="shared" si="326"/>
        <v>FF01B013A8C02C</v>
      </c>
      <c r="D172" s="67" t="s">
        <v>24</v>
      </c>
      <c r="E172" s="67" t="s">
        <v>1281</v>
      </c>
      <c r="F172" s="67" t="s">
        <v>116</v>
      </c>
      <c r="G172" s="67" t="s">
        <v>1736</v>
      </c>
      <c r="H172" s="67" t="s">
        <v>1282</v>
      </c>
      <c r="I172" s="14" t="str">
        <f t="shared" si="327"/>
        <v>2C</v>
      </c>
      <c r="J172" s="15">
        <f t="shared" si="328"/>
        <v>1</v>
      </c>
      <c r="K172" s="15">
        <f t="shared" si="329"/>
        <v>176</v>
      </c>
      <c r="L172" s="15">
        <f t="shared" si="330"/>
        <v>19</v>
      </c>
      <c r="M172" s="15">
        <f t="shared" si="331"/>
        <v>168</v>
      </c>
      <c r="N172" s="15">
        <f t="shared" si="332"/>
        <v>192</v>
      </c>
      <c r="O172" s="15">
        <f t="shared" si="333"/>
        <v>556</v>
      </c>
      <c r="P172" s="15" t="str">
        <f t="shared" si="334"/>
        <v>2C</v>
      </c>
      <c r="Q172" s="15">
        <f t="shared" si="335"/>
        <v>1111</v>
      </c>
      <c r="R172" s="15" t="str">
        <f t="shared" si="336"/>
        <v>57</v>
      </c>
      <c r="S172" s="131">
        <v>43200</v>
      </c>
      <c r="T172" s="131" t="str">
        <f>DEC2HEX(S172)</f>
        <v>A8C0</v>
      </c>
      <c r="U172" s="131"/>
      <c r="V172" s="72"/>
      <c r="W172" s="72"/>
    </row>
    <row r="173" spans="2:23" ht="17.25">
      <c r="B173" s="14" t="s">
        <v>1988</v>
      </c>
      <c r="C173" s="14" t="str">
        <f t="shared" si="326"/>
        <v>FF01B0160000C7</v>
      </c>
      <c r="D173" s="67" t="s">
        <v>24</v>
      </c>
      <c r="E173" s="67" t="s">
        <v>1281</v>
      </c>
      <c r="F173" s="67" t="s">
        <v>127</v>
      </c>
      <c r="G173" s="67" t="s">
        <v>16</v>
      </c>
      <c r="H173" s="67" t="s">
        <v>16</v>
      </c>
      <c r="I173" s="14" t="str">
        <f t="shared" si="327"/>
        <v>C7</v>
      </c>
      <c r="J173" s="15">
        <f t="shared" si="328"/>
        <v>1</v>
      </c>
      <c r="K173" s="15">
        <f t="shared" si="329"/>
        <v>176</v>
      </c>
      <c r="L173" s="15">
        <f t="shared" si="330"/>
        <v>22</v>
      </c>
      <c r="M173" s="15">
        <f t="shared" si="331"/>
        <v>0</v>
      </c>
      <c r="N173" s="15">
        <f t="shared" si="332"/>
        <v>0</v>
      </c>
      <c r="O173" s="15">
        <f t="shared" si="333"/>
        <v>199</v>
      </c>
      <c r="P173" s="15" t="str">
        <f t="shared" si="334"/>
        <v>C7</v>
      </c>
      <c r="Q173" s="15">
        <f t="shared" si="335"/>
        <v>397</v>
      </c>
      <c r="R173" s="15" t="str">
        <f t="shared" si="336"/>
        <v>8D</v>
      </c>
      <c r="S173" s="131"/>
      <c r="T173" s="131"/>
      <c r="V173" s="72"/>
      <c r="W173" s="72"/>
    </row>
    <row r="174" spans="2:23" ht="25.5">
      <c r="B174" s="14" t="s">
        <v>1989</v>
      </c>
      <c r="C174" s="14" t="str">
        <f t="shared" si="326"/>
        <v>FF01B016400007</v>
      </c>
      <c r="D174" s="67" t="s">
        <v>24</v>
      </c>
      <c r="E174" s="67" t="s">
        <v>1281</v>
      </c>
      <c r="F174" s="67" t="s">
        <v>127</v>
      </c>
      <c r="G174" s="67" t="s">
        <v>1509</v>
      </c>
      <c r="H174" s="67" t="s">
        <v>16</v>
      </c>
      <c r="I174" s="14" t="str">
        <f t="shared" si="327"/>
        <v>07</v>
      </c>
      <c r="J174" s="15">
        <f t="shared" si="328"/>
        <v>1</v>
      </c>
      <c r="K174" s="15">
        <f t="shared" si="329"/>
        <v>176</v>
      </c>
      <c r="L174" s="15">
        <f t="shared" si="330"/>
        <v>22</v>
      </c>
      <c r="M174" s="15">
        <f t="shared" si="331"/>
        <v>64</v>
      </c>
      <c r="N174" s="15">
        <f t="shared" si="332"/>
        <v>0</v>
      </c>
      <c r="O174" s="15">
        <f t="shared" si="333"/>
        <v>263</v>
      </c>
      <c r="P174" s="15" t="str">
        <f t="shared" si="334"/>
        <v>07</v>
      </c>
      <c r="Q174" s="15">
        <f t="shared" si="335"/>
        <v>525</v>
      </c>
      <c r="R174" s="15" t="str">
        <f t="shared" si="336"/>
        <v>0D</v>
      </c>
      <c r="S174" s="131">
        <v>16384</v>
      </c>
      <c r="T174" s="131" t="str">
        <f>DEC2HEX(S174)</f>
        <v>4000</v>
      </c>
      <c r="V174" s="72"/>
      <c r="W174" s="72"/>
    </row>
    <row r="175" spans="2:23" ht="25.5">
      <c r="B175" s="14" t="s">
        <v>1990</v>
      </c>
      <c r="C175" s="14" t="str">
        <f t="shared" si="326"/>
        <v>FF01B016FFFFC5</v>
      </c>
      <c r="D175" s="67" t="s">
        <v>24</v>
      </c>
      <c r="E175" s="67" t="s">
        <v>1281</v>
      </c>
      <c r="F175" s="67" t="s">
        <v>127</v>
      </c>
      <c r="G175" s="67" t="s">
        <v>9</v>
      </c>
      <c r="H175" s="67" t="s">
        <v>9</v>
      </c>
      <c r="I175" s="14" t="str">
        <f t="shared" si="327"/>
        <v>C5</v>
      </c>
      <c r="J175" s="15">
        <f t="shared" si="328"/>
        <v>1</v>
      </c>
      <c r="K175" s="15">
        <f t="shared" si="329"/>
        <v>176</v>
      </c>
      <c r="L175" s="15">
        <f t="shared" si="330"/>
        <v>22</v>
      </c>
      <c r="M175" s="15">
        <f t="shared" si="331"/>
        <v>255</v>
      </c>
      <c r="N175" s="15">
        <f t="shared" si="332"/>
        <v>255</v>
      </c>
      <c r="O175" s="15">
        <f t="shared" si="333"/>
        <v>709</v>
      </c>
      <c r="P175" s="15" t="str">
        <f t="shared" si="334"/>
        <v>C5</v>
      </c>
      <c r="Q175" s="15">
        <f t="shared" si="335"/>
        <v>1417</v>
      </c>
      <c r="R175" s="15" t="str">
        <f t="shared" si="336"/>
        <v>89</v>
      </c>
      <c r="S175" s="131"/>
      <c r="T175" s="131"/>
      <c r="V175" s="72"/>
      <c r="W175" s="72"/>
    </row>
    <row r="176" spans="2:23" ht="17.25">
      <c r="B176" s="14" t="s">
        <v>1991</v>
      </c>
      <c r="C176" s="14" t="str">
        <f t="shared" si="326"/>
        <v>FF01B0180000C9</v>
      </c>
      <c r="D176" s="67" t="s">
        <v>24</v>
      </c>
      <c r="E176" s="67" t="s">
        <v>1281</v>
      </c>
      <c r="F176" s="67" t="s">
        <v>1258</v>
      </c>
      <c r="G176" s="67" t="s">
        <v>16</v>
      </c>
      <c r="H176" s="67" t="s">
        <v>16</v>
      </c>
      <c r="I176" s="14" t="str">
        <f t="shared" si="327"/>
        <v>C9</v>
      </c>
      <c r="J176" s="15">
        <f t="shared" si="328"/>
        <v>1</v>
      </c>
      <c r="K176" s="15">
        <f t="shared" si="329"/>
        <v>176</v>
      </c>
      <c r="L176" s="15">
        <f t="shared" si="330"/>
        <v>24</v>
      </c>
      <c r="M176" s="15">
        <f t="shared" si="331"/>
        <v>0</v>
      </c>
      <c r="N176" s="15">
        <f t="shared" si="332"/>
        <v>0</v>
      </c>
      <c r="O176" s="15">
        <f t="shared" si="333"/>
        <v>201</v>
      </c>
      <c r="P176" s="15" t="str">
        <f t="shared" si="334"/>
        <v>C9</v>
      </c>
      <c r="Q176" s="15">
        <f t="shared" si="335"/>
        <v>401</v>
      </c>
      <c r="R176" s="15" t="str">
        <f t="shared" si="336"/>
        <v>91</v>
      </c>
      <c r="S176" s="131"/>
      <c r="T176" s="131"/>
      <c r="V176" s="72"/>
      <c r="W176" s="72"/>
    </row>
    <row r="177" spans="2:23" ht="25.5">
      <c r="B177" s="14" t="s">
        <v>1992</v>
      </c>
      <c r="C177" s="14" t="str">
        <f t="shared" si="326"/>
        <v>FF01B018400009</v>
      </c>
      <c r="D177" s="67" t="s">
        <v>24</v>
      </c>
      <c r="E177" s="67" t="s">
        <v>1281</v>
      </c>
      <c r="F177" s="67" t="s">
        <v>1258</v>
      </c>
      <c r="G177" s="67" t="s">
        <v>1509</v>
      </c>
      <c r="H177" s="67" t="s">
        <v>16</v>
      </c>
      <c r="I177" s="14" t="str">
        <f t="shared" si="327"/>
        <v>09</v>
      </c>
      <c r="J177" s="15">
        <f t="shared" si="328"/>
        <v>1</v>
      </c>
      <c r="K177" s="15">
        <f t="shared" si="329"/>
        <v>176</v>
      </c>
      <c r="L177" s="15">
        <f t="shared" si="330"/>
        <v>24</v>
      </c>
      <c r="M177" s="15">
        <f t="shared" si="331"/>
        <v>64</v>
      </c>
      <c r="N177" s="15">
        <f t="shared" si="332"/>
        <v>0</v>
      </c>
      <c r="O177" s="15">
        <f t="shared" si="333"/>
        <v>265</v>
      </c>
      <c r="P177" s="15" t="str">
        <f t="shared" si="334"/>
        <v>09</v>
      </c>
      <c r="Q177" s="15">
        <f t="shared" si="335"/>
        <v>529</v>
      </c>
      <c r="R177" s="15" t="str">
        <f t="shared" si="336"/>
        <v>11</v>
      </c>
      <c r="S177" s="131"/>
      <c r="T177" s="131"/>
      <c r="V177" s="72"/>
      <c r="W177" s="72"/>
    </row>
    <row r="178" spans="2:23" ht="25.5">
      <c r="B178" s="14" t="s">
        <v>1993</v>
      </c>
      <c r="C178" s="14" t="str">
        <f t="shared" si="326"/>
        <v>FF01B018FFFFC7</v>
      </c>
      <c r="D178" s="67" t="s">
        <v>24</v>
      </c>
      <c r="E178" s="67" t="s">
        <v>1281</v>
      </c>
      <c r="F178" s="67" t="s">
        <v>1258</v>
      </c>
      <c r="G178" s="67" t="s">
        <v>9</v>
      </c>
      <c r="H178" s="67" t="s">
        <v>9</v>
      </c>
      <c r="I178" s="14" t="str">
        <f t="shared" si="327"/>
        <v>C7</v>
      </c>
      <c r="J178" s="15">
        <f t="shared" si="328"/>
        <v>1</v>
      </c>
      <c r="K178" s="15">
        <f t="shared" si="329"/>
        <v>176</v>
      </c>
      <c r="L178" s="15">
        <f t="shared" si="330"/>
        <v>24</v>
      </c>
      <c r="M178" s="15">
        <f t="shared" si="331"/>
        <v>255</v>
      </c>
      <c r="N178" s="15">
        <f t="shared" si="332"/>
        <v>255</v>
      </c>
      <c r="O178" s="15">
        <f t="shared" si="333"/>
        <v>711</v>
      </c>
      <c r="P178" s="15" t="str">
        <f t="shared" si="334"/>
        <v>C7</v>
      </c>
      <c r="Q178" s="15">
        <f t="shared" si="335"/>
        <v>1421</v>
      </c>
      <c r="R178" s="15" t="str">
        <f t="shared" si="336"/>
        <v>8D</v>
      </c>
      <c r="S178" s="131"/>
      <c r="T178" s="131"/>
      <c r="V178" s="72"/>
      <c r="W178" s="72"/>
    </row>
    <row r="179" spans="2:23" ht="16.5" customHeight="1">
      <c r="B179" s="14" t="s">
        <v>1817</v>
      </c>
      <c r="C179" s="14" t="str">
        <f t="shared" si="326"/>
        <v>FF01B01A0000CB</v>
      </c>
      <c r="D179" s="67" t="s">
        <v>24</v>
      </c>
      <c r="E179" s="67" t="s">
        <v>1281</v>
      </c>
      <c r="F179" s="67" t="s">
        <v>1820</v>
      </c>
      <c r="G179" s="67" t="s">
        <v>16</v>
      </c>
      <c r="H179" s="67" t="s">
        <v>16</v>
      </c>
      <c r="I179" s="14" t="str">
        <f t="shared" si="327"/>
        <v>CB</v>
      </c>
      <c r="J179" s="15">
        <f t="shared" si="328"/>
        <v>1</v>
      </c>
      <c r="K179" s="15">
        <f t="shared" si="329"/>
        <v>176</v>
      </c>
      <c r="L179" s="15">
        <f t="shared" si="330"/>
        <v>26</v>
      </c>
      <c r="M179" s="15">
        <f t="shared" si="331"/>
        <v>0</v>
      </c>
      <c r="N179" s="15">
        <f t="shared" si="332"/>
        <v>0</v>
      </c>
      <c r="O179" s="15">
        <f t="shared" si="333"/>
        <v>203</v>
      </c>
      <c r="P179" s="15" t="str">
        <f t="shared" si="334"/>
        <v>CB</v>
      </c>
      <c r="Q179" s="15">
        <f t="shared" si="335"/>
        <v>405</v>
      </c>
      <c r="R179" s="15" t="str">
        <f t="shared" si="336"/>
        <v>95</v>
      </c>
      <c r="S179" s="131"/>
      <c r="T179" s="131"/>
      <c r="V179" s="72"/>
      <c r="W179" s="72"/>
    </row>
    <row r="180" spans="2:23" ht="16.5" customHeight="1">
      <c r="B180" s="14" t="s">
        <v>1818</v>
      </c>
      <c r="C180" s="14" t="str">
        <f t="shared" si="326"/>
        <v>FF01B01AFFFFC9</v>
      </c>
      <c r="D180" s="67" t="s">
        <v>24</v>
      </c>
      <c r="E180" s="67" t="s">
        <v>1281</v>
      </c>
      <c r="F180" s="67" t="s">
        <v>1820</v>
      </c>
      <c r="G180" s="67" t="s">
        <v>9</v>
      </c>
      <c r="H180" s="67" t="s">
        <v>9</v>
      </c>
      <c r="I180" s="14" t="str">
        <f t="shared" si="327"/>
        <v>C9</v>
      </c>
      <c r="J180" s="15">
        <f t="shared" si="328"/>
        <v>1</v>
      </c>
      <c r="K180" s="15">
        <f t="shared" si="329"/>
        <v>176</v>
      </c>
      <c r="L180" s="15">
        <f t="shared" si="330"/>
        <v>26</v>
      </c>
      <c r="M180" s="15">
        <f t="shared" si="331"/>
        <v>255</v>
      </c>
      <c r="N180" s="15">
        <f t="shared" si="332"/>
        <v>255</v>
      </c>
      <c r="O180" s="15">
        <f t="shared" si="333"/>
        <v>713</v>
      </c>
      <c r="P180" s="15" t="str">
        <f t="shared" si="334"/>
        <v>C9</v>
      </c>
      <c r="Q180" s="15">
        <f t="shared" si="335"/>
        <v>1425</v>
      </c>
      <c r="R180" s="15" t="str">
        <f t="shared" si="336"/>
        <v>91</v>
      </c>
      <c r="S180" s="131"/>
      <c r="T180" s="131"/>
      <c r="V180" s="72"/>
      <c r="W180" s="72"/>
    </row>
    <row r="181" spans="2:23" ht="16.5" customHeight="1">
      <c r="B181" s="14" t="s">
        <v>1819</v>
      </c>
      <c r="C181" s="14" t="str">
        <f t="shared" si="326"/>
        <v>FF01B01F0000D0</v>
      </c>
      <c r="D181" s="67" t="s">
        <v>24</v>
      </c>
      <c r="E181" s="67" t="s">
        <v>1281</v>
      </c>
      <c r="F181" s="67" t="s">
        <v>1821</v>
      </c>
      <c r="G181" s="67" t="s">
        <v>16</v>
      </c>
      <c r="H181" s="67" t="s">
        <v>16</v>
      </c>
      <c r="I181" s="14" t="str">
        <f t="shared" si="327"/>
        <v>D0</v>
      </c>
      <c r="J181" s="15">
        <f t="shared" si="328"/>
        <v>1</v>
      </c>
      <c r="K181" s="15">
        <f t="shared" si="329"/>
        <v>176</v>
      </c>
      <c r="L181" s="15">
        <f t="shared" si="330"/>
        <v>31</v>
      </c>
      <c r="M181" s="15">
        <f t="shared" si="331"/>
        <v>0</v>
      </c>
      <c r="N181" s="15">
        <f t="shared" si="332"/>
        <v>0</v>
      </c>
      <c r="O181" s="15">
        <f t="shared" si="333"/>
        <v>208</v>
      </c>
      <c r="P181" s="15" t="str">
        <f t="shared" si="334"/>
        <v>D0</v>
      </c>
      <c r="Q181" s="15">
        <f t="shared" si="335"/>
        <v>415</v>
      </c>
      <c r="R181" s="15" t="str">
        <f t="shared" si="336"/>
        <v>9F</v>
      </c>
      <c r="S181" s="131"/>
      <c r="T181" s="131"/>
      <c r="V181" s="72"/>
      <c r="W181" s="72"/>
    </row>
    <row r="182" spans="2:23" ht="16.5" customHeight="1">
      <c r="B182" s="14" t="s">
        <v>1823</v>
      </c>
      <c r="C182" s="14" t="str">
        <f t="shared" si="326"/>
        <v>FF01B1200001D3</v>
      </c>
      <c r="D182" s="67" t="s">
        <v>24</v>
      </c>
      <c r="E182" s="67" t="s">
        <v>32</v>
      </c>
      <c r="F182" s="67" t="s">
        <v>133</v>
      </c>
      <c r="G182" s="67" t="s">
        <v>16</v>
      </c>
      <c r="H182" s="67" t="s">
        <v>24</v>
      </c>
      <c r="I182" s="14" t="str">
        <f t="shared" si="327"/>
        <v>D3</v>
      </c>
      <c r="J182" s="15">
        <f t="shared" si="328"/>
        <v>1</v>
      </c>
      <c r="K182" s="15">
        <f t="shared" si="329"/>
        <v>177</v>
      </c>
      <c r="L182" s="15">
        <f t="shared" si="330"/>
        <v>32</v>
      </c>
      <c r="M182" s="15">
        <f t="shared" si="331"/>
        <v>0</v>
      </c>
      <c r="N182" s="15">
        <f t="shared" si="332"/>
        <v>1</v>
      </c>
      <c r="O182" s="15">
        <f t="shared" si="333"/>
        <v>211</v>
      </c>
      <c r="P182" s="15" t="str">
        <f t="shared" si="334"/>
        <v>D3</v>
      </c>
      <c r="Q182" s="15">
        <f t="shared" si="335"/>
        <v>421</v>
      </c>
      <c r="R182" s="15" t="str">
        <f t="shared" si="336"/>
        <v>A5</v>
      </c>
      <c r="S182" s="131"/>
      <c r="T182" s="131"/>
      <c r="V182" s="72"/>
      <c r="W182" s="72"/>
    </row>
    <row r="183" spans="2:23" ht="16.5" customHeight="1">
      <c r="B183" s="14" t="s">
        <v>1824</v>
      </c>
      <c r="C183" s="14" t="str">
        <f t="shared" si="326"/>
        <v>FF0101</v>
      </c>
      <c r="D183" s="67" t="s">
        <v>24</v>
      </c>
      <c r="E183" s="67"/>
      <c r="F183" s="67"/>
      <c r="G183" s="67"/>
      <c r="H183" s="67"/>
      <c r="I183" s="14" t="str">
        <f t="shared" si="327"/>
        <v>01</v>
      </c>
      <c r="J183" s="15">
        <f t="shared" si="328"/>
        <v>1</v>
      </c>
      <c r="K183" s="15">
        <f t="shared" si="329"/>
        <v>0</v>
      </c>
      <c r="L183" s="15">
        <f t="shared" si="330"/>
        <v>0</v>
      </c>
      <c r="M183" s="15">
        <f t="shared" si="331"/>
        <v>0</v>
      </c>
      <c r="N183" s="15">
        <f t="shared" si="332"/>
        <v>0</v>
      </c>
      <c r="O183" s="15">
        <f t="shared" si="333"/>
        <v>1</v>
      </c>
      <c r="P183" s="15" t="str">
        <f t="shared" si="334"/>
        <v>01</v>
      </c>
      <c r="Q183" s="15">
        <f t="shared" si="335"/>
        <v>1</v>
      </c>
      <c r="R183" s="15" t="str">
        <f t="shared" si="336"/>
        <v>01</v>
      </c>
      <c r="S183" s="131"/>
      <c r="T183" s="131"/>
      <c r="V183" s="72"/>
      <c r="W183" s="72"/>
    </row>
    <row r="184" spans="2:23" ht="25.5">
      <c r="B184" s="14" t="s">
        <v>1829</v>
      </c>
      <c r="C184" s="14" t="str">
        <f t="shared" ref="C184" si="337">"FF"&amp;D184&amp;E184&amp;""&amp;F184&amp;G184&amp;H184&amp;I184</f>
        <v>FF0101</v>
      </c>
      <c r="D184" s="67" t="s">
        <v>24</v>
      </c>
      <c r="E184" s="67"/>
      <c r="F184" s="67"/>
      <c r="G184" s="67"/>
      <c r="H184" s="67"/>
      <c r="I184" s="14" t="str">
        <f t="shared" ref="I184" si="338">P184</f>
        <v>01</v>
      </c>
      <c r="J184" s="15">
        <f t="shared" ref="J184" si="339">HEX2DEC(D184)</f>
        <v>1</v>
      </c>
      <c r="K184" s="15">
        <f t="shared" ref="K184" si="340">HEX2DEC(E184)</f>
        <v>0</v>
      </c>
      <c r="L184" s="15">
        <f t="shared" ref="L184" si="341">HEX2DEC(F184)</f>
        <v>0</v>
      </c>
      <c r="M184" s="15">
        <f t="shared" ref="M184" si="342">HEX2DEC(G184)</f>
        <v>0</v>
      </c>
      <c r="N184" s="15">
        <f t="shared" ref="N184" si="343">HEX2DEC(H184)</f>
        <v>0</v>
      </c>
      <c r="O184" s="15">
        <f t="shared" ref="O184" si="344">SUM(J184:N184)</f>
        <v>1</v>
      </c>
      <c r="P184" s="15" t="str">
        <f t="shared" ref="P184" si="345">REPT("0",2-LEN(RIGHT(DEC2HEX(O184), 2)))&amp;RIGHT(DEC2HEX(O184), 2)</f>
        <v>01</v>
      </c>
      <c r="Q184" s="15">
        <f t="shared" ref="Q184" si="346">SUM(K184:P184)</f>
        <v>1</v>
      </c>
      <c r="R184" s="15" t="str">
        <f t="shared" ref="R184" si="347">REPT("0",2-LEN(RIGHT(DEC2HEX(Q184), 2)))&amp;RIGHT(DEC2HEX(Q184), 2)</f>
        <v>01</v>
      </c>
      <c r="S184" s="131"/>
      <c r="T184" s="131"/>
      <c r="V184" s="72"/>
      <c r="W184" s="72"/>
    </row>
    <row r="185" spans="2:23" ht="16.5" customHeight="1">
      <c r="B185" s="14" t="s">
        <v>1825</v>
      </c>
      <c r="C185" s="14" t="str">
        <f t="shared" si="326"/>
        <v>FF0101</v>
      </c>
      <c r="D185" s="67" t="s">
        <v>24</v>
      </c>
      <c r="E185" s="67"/>
      <c r="F185" s="67"/>
      <c r="G185" s="67"/>
      <c r="H185" s="67"/>
      <c r="I185" s="14" t="str">
        <f t="shared" si="327"/>
        <v>01</v>
      </c>
      <c r="J185" s="15">
        <f t="shared" si="328"/>
        <v>1</v>
      </c>
      <c r="K185" s="15">
        <f t="shared" si="329"/>
        <v>0</v>
      </c>
      <c r="L185" s="15">
        <f t="shared" si="330"/>
        <v>0</v>
      </c>
      <c r="M185" s="15">
        <f t="shared" si="331"/>
        <v>0</v>
      </c>
      <c r="N185" s="15">
        <f t="shared" si="332"/>
        <v>0</v>
      </c>
      <c r="O185" s="15">
        <f t="shared" si="333"/>
        <v>1</v>
      </c>
      <c r="P185" s="15" t="str">
        <f t="shared" si="334"/>
        <v>01</v>
      </c>
      <c r="Q185" s="15">
        <f t="shared" si="335"/>
        <v>1</v>
      </c>
      <c r="R185" s="15" t="str">
        <f t="shared" si="336"/>
        <v>01</v>
      </c>
      <c r="S185" s="131"/>
      <c r="T185" s="131"/>
      <c r="V185" s="72"/>
      <c r="W185" s="72"/>
    </row>
    <row r="186" spans="2:23" ht="16.5" customHeight="1">
      <c r="B186" s="14" t="s">
        <v>1826</v>
      </c>
      <c r="C186" s="14" t="str">
        <f t="shared" si="326"/>
        <v>FF0101</v>
      </c>
      <c r="D186" s="67" t="s">
        <v>24</v>
      </c>
      <c r="E186" s="67"/>
      <c r="F186" s="67"/>
      <c r="G186" s="67"/>
      <c r="H186" s="67"/>
      <c r="I186" s="14" t="str">
        <f t="shared" si="327"/>
        <v>01</v>
      </c>
      <c r="J186" s="15">
        <f t="shared" si="328"/>
        <v>1</v>
      </c>
      <c r="K186" s="15">
        <f t="shared" si="329"/>
        <v>0</v>
      </c>
      <c r="L186" s="15">
        <f t="shared" si="330"/>
        <v>0</v>
      </c>
      <c r="M186" s="15">
        <f t="shared" si="331"/>
        <v>0</v>
      </c>
      <c r="N186" s="15">
        <f t="shared" si="332"/>
        <v>0</v>
      </c>
      <c r="O186" s="15">
        <f t="shared" si="333"/>
        <v>1</v>
      </c>
      <c r="P186" s="15" t="str">
        <f t="shared" si="334"/>
        <v>01</v>
      </c>
      <c r="Q186" s="15">
        <f t="shared" si="335"/>
        <v>1</v>
      </c>
      <c r="R186" s="15" t="str">
        <f t="shared" si="336"/>
        <v>01</v>
      </c>
      <c r="S186" s="131"/>
      <c r="T186" s="131"/>
      <c r="V186" s="72"/>
      <c r="W186" s="72"/>
    </row>
    <row r="187" spans="2:23" ht="16.5" customHeight="1">
      <c r="B187" s="14" t="s">
        <v>1827</v>
      </c>
      <c r="C187" s="14" t="str">
        <f t="shared" si="326"/>
        <v>FF0101</v>
      </c>
      <c r="D187" s="67" t="s">
        <v>24</v>
      </c>
      <c r="E187" s="67"/>
      <c r="F187" s="67"/>
      <c r="G187" s="67"/>
      <c r="H187" s="67"/>
      <c r="I187" s="14" t="str">
        <f t="shared" si="327"/>
        <v>01</v>
      </c>
      <c r="J187" s="15">
        <f t="shared" si="328"/>
        <v>1</v>
      </c>
      <c r="K187" s="15">
        <f t="shared" si="329"/>
        <v>0</v>
      </c>
      <c r="L187" s="15">
        <f t="shared" si="330"/>
        <v>0</v>
      </c>
      <c r="M187" s="15">
        <f t="shared" si="331"/>
        <v>0</v>
      </c>
      <c r="N187" s="15">
        <f t="shared" si="332"/>
        <v>0</v>
      </c>
      <c r="O187" s="15">
        <f t="shared" si="333"/>
        <v>1</v>
      </c>
      <c r="P187" s="15" t="str">
        <f t="shared" si="334"/>
        <v>01</v>
      </c>
      <c r="Q187" s="15">
        <f t="shared" si="335"/>
        <v>1</v>
      </c>
      <c r="R187" s="15" t="str">
        <f t="shared" si="336"/>
        <v>01</v>
      </c>
      <c r="S187" s="131"/>
      <c r="T187" s="131"/>
      <c r="V187" s="72"/>
      <c r="W187" s="72"/>
    </row>
    <row r="188" spans="2:23" ht="16.5" customHeight="1">
      <c r="B188" s="14" t="s">
        <v>1828</v>
      </c>
      <c r="C188" s="14" t="str">
        <f t="shared" ref="C188:C202" si="348">"FF"&amp;D188&amp;E188&amp;""&amp;F188&amp;G188&amp;H188&amp;I188</f>
        <v>FF0101</v>
      </c>
      <c r="D188" s="67" t="s">
        <v>24</v>
      </c>
      <c r="E188" s="67"/>
      <c r="F188" s="67"/>
      <c r="G188" s="67"/>
      <c r="H188" s="67"/>
      <c r="I188" s="14" t="str">
        <f t="shared" ref="I188:I202" si="349">P188</f>
        <v>01</v>
      </c>
      <c r="J188" s="15">
        <f t="shared" ref="J188:J202" si="350">HEX2DEC(D188)</f>
        <v>1</v>
      </c>
      <c r="K188" s="15">
        <f t="shared" ref="K188:K202" si="351">HEX2DEC(E188)</f>
        <v>0</v>
      </c>
      <c r="L188" s="15">
        <f t="shared" ref="L188:L202" si="352">HEX2DEC(F188)</f>
        <v>0</v>
      </c>
      <c r="M188" s="15">
        <f t="shared" ref="M188:M202" si="353">HEX2DEC(G188)</f>
        <v>0</v>
      </c>
      <c r="N188" s="15">
        <f t="shared" ref="N188:N202" si="354">HEX2DEC(H188)</f>
        <v>0</v>
      </c>
      <c r="O188" s="15">
        <f t="shared" ref="O188:O202" si="355">SUM(J188:N188)</f>
        <v>1</v>
      </c>
      <c r="P188" s="15" t="str">
        <f t="shared" ref="P188:P202" si="356">REPT("0",2-LEN(RIGHT(DEC2HEX(O188), 2)))&amp;RIGHT(DEC2HEX(O188), 2)</f>
        <v>01</v>
      </c>
      <c r="Q188" s="15">
        <f t="shared" ref="Q188:Q202" si="357">SUM(K188:P188)</f>
        <v>1</v>
      </c>
      <c r="R188" s="15" t="str">
        <f t="shared" ref="R188:R202" si="358">REPT("0",2-LEN(RIGHT(DEC2HEX(Q188), 2)))&amp;RIGHT(DEC2HEX(Q188), 2)</f>
        <v>01</v>
      </c>
      <c r="S188" s="131"/>
      <c r="T188" s="131"/>
      <c r="V188" s="72"/>
      <c r="W188" s="72"/>
    </row>
    <row r="189" spans="2:23" ht="16.5" customHeight="1">
      <c r="B189" s="14" t="s">
        <v>159</v>
      </c>
      <c r="C189" s="14" t="str">
        <f t="shared" si="348"/>
        <v>FF01E1000000E2</v>
      </c>
      <c r="D189" s="67" t="s">
        <v>24</v>
      </c>
      <c r="E189" s="67" t="s">
        <v>161</v>
      </c>
      <c r="F189" s="67" t="s">
        <v>16</v>
      </c>
      <c r="G189" s="67" t="s">
        <v>16</v>
      </c>
      <c r="H189" s="67" t="s">
        <v>16</v>
      </c>
      <c r="I189" s="14" t="str">
        <f t="shared" si="349"/>
        <v>E2</v>
      </c>
      <c r="J189" s="15">
        <f t="shared" si="350"/>
        <v>1</v>
      </c>
      <c r="K189" s="15">
        <f t="shared" si="351"/>
        <v>225</v>
      </c>
      <c r="L189" s="15">
        <f t="shared" si="352"/>
        <v>0</v>
      </c>
      <c r="M189" s="15">
        <f t="shared" si="353"/>
        <v>0</v>
      </c>
      <c r="N189" s="15">
        <f t="shared" si="354"/>
        <v>0</v>
      </c>
      <c r="O189" s="15">
        <f t="shared" si="355"/>
        <v>226</v>
      </c>
      <c r="P189" s="15" t="str">
        <f t="shared" si="356"/>
        <v>E2</v>
      </c>
      <c r="Q189" s="15">
        <f t="shared" si="357"/>
        <v>451</v>
      </c>
      <c r="R189" s="15" t="str">
        <f t="shared" si="358"/>
        <v>C3</v>
      </c>
      <c r="S189" s="131"/>
      <c r="T189" s="131"/>
      <c r="V189" s="72"/>
      <c r="W189" s="72"/>
    </row>
    <row r="190" spans="2:23" ht="16.5" customHeight="1">
      <c r="B190" s="14" t="s">
        <v>160</v>
      </c>
      <c r="C190" s="14" t="str">
        <f t="shared" si="348"/>
        <v>FF01E1100000F2</v>
      </c>
      <c r="D190" s="67" t="s">
        <v>24</v>
      </c>
      <c r="E190" s="67" t="s">
        <v>161</v>
      </c>
      <c r="F190" s="67" t="s">
        <v>109</v>
      </c>
      <c r="G190" s="67" t="s">
        <v>16</v>
      </c>
      <c r="H190" s="67" t="s">
        <v>16</v>
      </c>
      <c r="I190" s="14" t="str">
        <f t="shared" si="349"/>
        <v>F2</v>
      </c>
      <c r="J190" s="15">
        <f t="shared" si="350"/>
        <v>1</v>
      </c>
      <c r="K190" s="15">
        <f t="shared" si="351"/>
        <v>225</v>
      </c>
      <c r="L190" s="15">
        <f t="shared" si="352"/>
        <v>16</v>
      </c>
      <c r="M190" s="15">
        <f t="shared" si="353"/>
        <v>0</v>
      </c>
      <c r="N190" s="15">
        <f t="shared" si="354"/>
        <v>0</v>
      </c>
      <c r="O190" s="15">
        <f t="shared" si="355"/>
        <v>242</v>
      </c>
      <c r="P190" s="15" t="str">
        <f t="shared" si="356"/>
        <v>F2</v>
      </c>
      <c r="Q190" s="15">
        <f t="shared" si="357"/>
        <v>483</v>
      </c>
      <c r="R190" s="15" t="str">
        <f t="shared" si="358"/>
        <v>E3</v>
      </c>
      <c r="S190" s="131"/>
      <c r="T190" s="131"/>
      <c r="V190" s="72"/>
      <c r="W190" s="72"/>
    </row>
    <row r="191" spans="2:23" ht="16.5" customHeight="1">
      <c r="B191" s="14" t="s">
        <v>1830</v>
      </c>
      <c r="C191" s="14" t="str">
        <f t="shared" si="348"/>
        <v>FF03E021000004</v>
      </c>
      <c r="D191" s="67" t="s">
        <v>91</v>
      </c>
      <c r="E191" s="67" t="s">
        <v>15</v>
      </c>
      <c r="F191" s="67" t="s">
        <v>18</v>
      </c>
      <c r="G191" s="67" t="s">
        <v>16</v>
      </c>
      <c r="H191" s="67" t="s">
        <v>16</v>
      </c>
      <c r="I191" s="14" t="str">
        <f t="shared" si="349"/>
        <v>04</v>
      </c>
      <c r="J191" s="15">
        <f t="shared" si="350"/>
        <v>3</v>
      </c>
      <c r="K191" s="15">
        <f t="shared" si="351"/>
        <v>224</v>
      </c>
      <c r="L191" s="15">
        <f t="shared" si="352"/>
        <v>33</v>
      </c>
      <c r="M191" s="15">
        <f t="shared" si="353"/>
        <v>0</v>
      </c>
      <c r="N191" s="15">
        <f t="shared" si="354"/>
        <v>0</v>
      </c>
      <c r="O191" s="15">
        <f t="shared" si="355"/>
        <v>260</v>
      </c>
      <c r="P191" s="15" t="str">
        <f t="shared" si="356"/>
        <v>04</v>
      </c>
      <c r="Q191" s="15">
        <f t="shared" si="357"/>
        <v>517</v>
      </c>
      <c r="R191" s="15" t="str">
        <f t="shared" si="358"/>
        <v>05</v>
      </c>
      <c r="S191" s="131"/>
      <c r="T191" s="131"/>
      <c r="V191" s="72"/>
      <c r="W191" s="72"/>
    </row>
    <row r="192" spans="2:23" ht="16.5" customHeight="1">
      <c r="B192" s="14" t="s">
        <v>1831</v>
      </c>
      <c r="C192" s="14" t="str">
        <f t="shared" si="348"/>
        <v>FF03E022000005</v>
      </c>
      <c r="D192" s="67" t="s">
        <v>91</v>
      </c>
      <c r="E192" s="67" t="s">
        <v>15</v>
      </c>
      <c r="F192" s="67" t="s">
        <v>49</v>
      </c>
      <c r="G192" s="67" t="s">
        <v>16</v>
      </c>
      <c r="H192" s="67" t="s">
        <v>16</v>
      </c>
      <c r="I192" s="14" t="str">
        <f t="shared" si="349"/>
        <v>05</v>
      </c>
      <c r="J192" s="15">
        <f t="shared" si="350"/>
        <v>3</v>
      </c>
      <c r="K192" s="15">
        <f t="shared" si="351"/>
        <v>224</v>
      </c>
      <c r="L192" s="15">
        <f t="shared" si="352"/>
        <v>34</v>
      </c>
      <c r="M192" s="15">
        <f t="shared" si="353"/>
        <v>0</v>
      </c>
      <c r="N192" s="15">
        <f t="shared" si="354"/>
        <v>0</v>
      </c>
      <c r="O192" s="15">
        <f t="shared" si="355"/>
        <v>261</v>
      </c>
      <c r="P192" s="15" t="str">
        <f t="shared" si="356"/>
        <v>05</v>
      </c>
      <c r="Q192" s="15">
        <f t="shared" si="357"/>
        <v>519</v>
      </c>
      <c r="R192" s="15" t="str">
        <f t="shared" si="358"/>
        <v>07</v>
      </c>
      <c r="S192" s="131"/>
      <c r="T192" s="131"/>
      <c r="V192" s="72"/>
      <c r="W192" s="72"/>
    </row>
    <row r="193" spans="2:23" ht="16.5" customHeight="1">
      <c r="B193" s="14" t="s">
        <v>1832</v>
      </c>
      <c r="C193" s="14" t="str">
        <f t="shared" si="348"/>
        <v>FF03E023000006</v>
      </c>
      <c r="D193" s="67" t="s">
        <v>91</v>
      </c>
      <c r="E193" s="67" t="s">
        <v>15</v>
      </c>
      <c r="F193" s="67" t="s">
        <v>1703</v>
      </c>
      <c r="G193" s="67" t="s">
        <v>16</v>
      </c>
      <c r="H193" s="67" t="s">
        <v>16</v>
      </c>
      <c r="I193" s="14" t="str">
        <f t="shared" si="349"/>
        <v>06</v>
      </c>
      <c r="J193" s="15">
        <f t="shared" si="350"/>
        <v>3</v>
      </c>
      <c r="K193" s="15">
        <f t="shared" si="351"/>
        <v>224</v>
      </c>
      <c r="L193" s="15">
        <f t="shared" si="352"/>
        <v>35</v>
      </c>
      <c r="M193" s="15">
        <f t="shared" si="353"/>
        <v>0</v>
      </c>
      <c r="N193" s="15">
        <f t="shared" si="354"/>
        <v>0</v>
      </c>
      <c r="O193" s="15">
        <f t="shared" si="355"/>
        <v>262</v>
      </c>
      <c r="P193" s="15" t="str">
        <f t="shared" si="356"/>
        <v>06</v>
      </c>
      <c r="Q193" s="15">
        <f t="shared" si="357"/>
        <v>521</v>
      </c>
      <c r="R193" s="15" t="str">
        <f t="shared" si="358"/>
        <v>09</v>
      </c>
      <c r="S193" s="131"/>
      <c r="T193" s="131"/>
      <c r="V193" s="72"/>
      <c r="W193" s="72"/>
    </row>
    <row r="194" spans="2:23" ht="16.5" customHeight="1">
      <c r="B194" s="14" t="s">
        <v>1833</v>
      </c>
      <c r="C194" s="14" t="str">
        <f t="shared" si="348"/>
        <v>FF03E024000007</v>
      </c>
      <c r="D194" s="67" t="s">
        <v>91</v>
      </c>
      <c r="E194" s="67" t="s">
        <v>15</v>
      </c>
      <c r="F194" s="67" t="s">
        <v>1785</v>
      </c>
      <c r="G194" s="67" t="s">
        <v>16</v>
      </c>
      <c r="H194" s="67" t="s">
        <v>16</v>
      </c>
      <c r="I194" s="14" t="str">
        <f t="shared" si="349"/>
        <v>07</v>
      </c>
      <c r="J194" s="15">
        <f t="shared" si="350"/>
        <v>3</v>
      </c>
      <c r="K194" s="15">
        <f t="shared" si="351"/>
        <v>224</v>
      </c>
      <c r="L194" s="15">
        <f t="shared" si="352"/>
        <v>36</v>
      </c>
      <c r="M194" s="15">
        <f t="shared" si="353"/>
        <v>0</v>
      </c>
      <c r="N194" s="15">
        <f t="shared" si="354"/>
        <v>0</v>
      </c>
      <c r="O194" s="15">
        <f t="shared" si="355"/>
        <v>263</v>
      </c>
      <c r="P194" s="15" t="str">
        <f t="shared" si="356"/>
        <v>07</v>
      </c>
      <c r="Q194" s="15">
        <f t="shared" si="357"/>
        <v>523</v>
      </c>
      <c r="R194" s="15" t="str">
        <f t="shared" si="358"/>
        <v>0B</v>
      </c>
      <c r="S194" s="131"/>
      <c r="T194" s="131"/>
      <c r="V194" s="72"/>
      <c r="W194" s="72"/>
    </row>
    <row r="195" spans="2:23" ht="16.5" customHeight="1">
      <c r="B195" s="14" t="s">
        <v>1834</v>
      </c>
      <c r="C195" s="14" t="str">
        <f t="shared" si="348"/>
        <v>FF03E025000008</v>
      </c>
      <c r="D195" s="67" t="s">
        <v>91</v>
      </c>
      <c r="E195" s="67" t="s">
        <v>15</v>
      </c>
      <c r="F195" s="67" t="s">
        <v>51</v>
      </c>
      <c r="G195" s="67" t="s">
        <v>16</v>
      </c>
      <c r="H195" s="67" t="s">
        <v>16</v>
      </c>
      <c r="I195" s="14" t="str">
        <f t="shared" si="349"/>
        <v>08</v>
      </c>
      <c r="J195" s="15">
        <f t="shared" si="350"/>
        <v>3</v>
      </c>
      <c r="K195" s="15">
        <f t="shared" si="351"/>
        <v>224</v>
      </c>
      <c r="L195" s="15">
        <f t="shared" si="352"/>
        <v>37</v>
      </c>
      <c r="M195" s="15">
        <f t="shared" si="353"/>
        <v>0</v>
      </c>
      <c r="N195" s="15">
        <f t="shared" si="354"/>
        <v>0</v>
      </c>
      <c r="O195" s="15">
        <f t="shared" si="355"/>
        <v>264</v>
      </c>
      <c r="P195" s="15" t="str">
        <f t="shared" si="356"/>
        <v>08</v>
      </c>
      <c r="Q195" s="15">
        <f t="shared" si="357"/>
        <v>525</v>
      </c>
      <c r="R195" s="15" t="str">
        <f t="shared" si="358"/>
        <v>0D</v>
      </c>
      <c r="S195" s="131"/>
      <c r="T195" s="131"/>
      <c r="V195" s="72"/>
      <c r="W195" s="72"/>
    </row>
    <row r="196" spans="2:23" s="127" customFormat="1" ht="16.5" customHeight="1">
      <c r="B196" s="124" t="s">
        <v>1835</v>
      </c>
      <c r="C196" s="124" t="s">
        <v>1624</v>
      </c>
      <c r="D196" s="125" t="s">
        <v>17</v>
      </c>
      <c r="E196" s="125"/>
      <c r="F196" s="125"/>
      <c r="G196" s="125"/>
      <c r="H196" s="125"/>
      <c r="I196" s="124" t="str">
        <f t="shared" si="349"/>
        <v>02</v>
      </c>
      <c r="J196" s="126">
        <f t="shared" si="350"/>
        <v>2</v>
      </c>
      <c r="K196" s="126">
        <f t="shared" si="351"/>
        <v>0</v>
      </c>
      <c r="L196" s="126">
        <f t="shared" si="352"/>
        <v>0</v>
      </c>
      <c r="M196" s="126">
        <f t="shared" si="353"/>
        <v>0</v>
      </c>
      <c r="N196" s="126">
        <f t="shared" si="354"/>
        <v>0</v>
      </c>
      <c r="O196" s="126">
        <f t="shared" si="355"/>
        <v>2</v>
      </c>
      <c r="P196" s="126" t="str">
        <f t="shared" si="356"/>
        <v>02</v>
      </c>
      <c r="Q196" s="126">
        <f t="shared" si="357"/>
        <v>2</v>
      </c>
      <c r="R196" s="126" t="str">
        <f t="shared" si="358"/>
        <v>02</v>
      </c>
      <c r="S196" s="130"/>
      <c r="T196" s="130"/>
      <c r="V196" s="128"/>
      <c r="W196" s="128"/>
    </row>
    <row r="197" spans="2:23" ht="16.5" customHeight="1">
      <c r="B197" s="14" t="s">
        <v>1836</v>
      </c>
      <c r="C197" s="14" t="str">
        <f t="shared" si="348"/>
        <v>FF02E130000013</v>
      </c>
      <c r="D197" s="67" t="s">
        <v>17</v>
      </c>
      <c r="E197" s="67" t="s">
        <v>161</v>
      </c>
      <c r="F197" s="67" t="s">
        <v>172</v>
      </c>
      <c r="G197" s="67" t="s">
        <v>16</v>
      </c>
      <c r="H197" s="67" t="s">
        <v>16</v>
      </c>
      <c r="I197" s="14" t="str">
        <f t="shared" si="349"/>
        <v>13</v>
      </c>
      <c r="J197" s="15">
        <f t="shared" si="350"/>
        <v>2</v>
      </c>
      <c r="K197" s="15">
        <f t="shared" si="351"/>
        <v>225</v>
      </c>
      <c r="L197" s="15">
        <f t="shared" si="352"/>
        <v>48</v>
      </c>
      <c r="M197" s="15">
        <f t="shared" si="353"/>
        <v>0</v>
      </c>
      <c r="N197" s="15">
        <f t="shared" si="354"/>
        <v>0</v>
      </c>
      <c r="O197" s="15">
        <f t="shared" si="355"/>
        <v>275</v>
      </c>
      <c r="P197" s="15" t="str">
        <f t="shared" si="356"/>
        <v>13</v>
      </c>
      <c r="Q197" s="15">
        <f t="shared" si="357"/>
        <v>548</v>
      </c>
      <c r="R197" s="15" t="str">
        <f t="shared" si="358"/>
        <v>24</v>
      </c>
      <c r="S197" s="131"/>
      <c r="T197" s="131"/>
      <c r="V197" s="72"/>
      <c r="W197" s="72"/>
    </row>
    <row r="198" spans="2:23" ht="16.5" customHeight="1">
      <c r="B198" s="14" t="s">
        <v>1837</v>
      </c>
      <c r="C198" s="14" t="str">
        <f t="shared" si="348"/>
        <v>FF02E032000014</v>
      </c>
      <c r="D198" s="67" t="s">
        <v>17</v>
      </c>
      <c r="E198" s="67" t="s">
        <v>15</v>
      </c>
      <c r="F198" s="67" t="s">
        <v>1336</v>
      </c>
      <c r="G198" s="67" t="s">
        <v>16</v>
      </c>
      <c r="H198" s="67" t="s">
        <v>16</v>
      </c>
      <c r="I198" s="14" t="str">
        <f t="shared" si="349"/>
        <v>14</v>
      </c>
      <c r="J198" s="15">
        <f t="shared" si="350"/>
        <v>2</v>
      </c>
      <c r="K198" s="15">
        <f t="shared" si="351"/>
        <v>224</v>
      </c>
      <c r="L198" s="15">
        <f t="shared" si="352"/>
        <v>50</v>
      </c>
      <c r="M198" s="15">
        <f t="shared" si="353"/>
        <v>0</v>
      </c>
      <c r="N198" s="15">
        <f t="shared" si="354"/>
        <v>0</v>
      </c>
      <c r="O198" s="15">
        <f t="shared" si="355"/>
        <v>276</v>
      </c>
      <c r="P198" s="15" t="str">
        <f t="shared" si="356"/>
        <v>14</v>
      </c>
      <c r="Q198" s="15">
        <f t="shared" si="357"/>
        <v>550</v>
      </c>
      <c r="R198" s="15" t="str">
        <f t="shared" si="358"/>
        <v>26</v>
      </c>
      <c r="S198" s="131"/>
      <c r="T198" s="131"/>
      <c r="V198" s="72"/>
      <c r="W198" s="72"/>
    </row>
    <row r="199" spans="2:23" ht="16.5" customHeight="1">
      <c r="B199" s="14" t="s">
        <v>1838</v>
      </c>
      <c r="C199" s="14" t="str">
        <f t="shared" si="348"/>
        <v>FF02E032000115</v>
      </c>
      <c r="D199" s="67" t="s">
        <v>17</v>
      </c>
      <c r="E199" s="67" t="s">
        <v>15</v>
      </c>
      <c r="F199" s="67" t="s">
        <v>1336</v>
      </c>
      <c r="G199" s="67" t="s">
        <v>16</v>
      </c>
      <c r="H199" s="67" t="s">
        <v>24</v>
      </c>
      <c r="I199" s="14" t="str">
        <f t="shared" si="349"/>
        <v>15</v>
      </c>
      <c r="J199" s="15">
        <f t="shared" si="350"/>
        <v>2</v>
      </c>
      <c r="K199" s="15">
        <f t="shared" si="351"/>
        <v>224</v>
      </c>
      <c r="L199" s="15">
        <f t="shared" si="352"/>
        <v>50</v>
      </c>
      <c r="M199" s="15">
        <f t="shared" si="353"/>
        <v>0</v>
      </c>
      <c r="N199" s="15">
        <f t="shared" si="354"/>
        <v>1</v>
      </c>
      <c r="O199" s="15">
        <f t="shared" si="355"/>
        <v>277</v>
      </c>
      <c r="P199" s="15" t="str">
        <f t="shared" si="356"/>
        <v>15</v>
      </c>
      <c r="Q199" s="15">
        <f t="shared" si="357"/>
        <v>552</v>
      </c>
      <c r="R199" s="15" t="str">
        <f t="shared" si="358"/>
        <v>28</v>
      </c>
      <c r="S199" s="131"/>
      <c r="T199" s="131"/>
      <c r="V199" s="72"/>
      <c r="W199" s="72"/>
    </row>
    <row r="200" spans="2:23" ht="16.5" customHeight="1">
      <c r="B200" s="14" t="s">
        <v>1839</v>
      </c>
      <c r="C200" s="14" t="str">
        <f t="shared" si="348"/>
        <v>FF02E032000216</v>
      </c>
      <c r="D200" s="67" t="s">
        <v>17</v>
      </c>
      <c r="E200" s="67" t="s">
        <v>15</v>
      </c>
      <c r="F200" s="67" t="s">
        <v>1336</v>
      </c>
      <c r="G200" s="67" t="s">
        <v>16</v>
      </c>
      <c r="H200" s="67" t="s">
        <v>17</v>
      </c>
      <c r="I200" s="14" t="str">
        <f t="shared" si="349"/>
        <v>16</v>
      </c>
      <c r="J200" s="15">
        <f t="shared" si="350"/>
        <v>2</v>
      </c>
      <c r="K200" s="15">
        <f t="shared" si="351"/>
        <v>224</v>
      </c>
      <c r="L200" s="15">
        <f t="shared" si="352"/>
        <v>50</v>
      </c>
      <c r="M200" s="15">
        <f t="shared" si="353"/>
        <v>0</v>
      </c>
      <c r="N200" s="15">
        <f t="shared" si="354"/>
        <v>2</v>
      </c>
      <c r="O200" s="15">
        <f t="shared" si="355"/>
        <v>278</v>
      </c>
      <c r="P200" s="15" t="str">
        <f t="shared" si="356"/>
        <v>16</v>
      </c>
      <c r="Q200" s="15">
        <f t="shared" si="357"/>
        <v>554</v>
      </c>
      <c r="R200" s="15" t="str">
        <f t="shared" si="358"/>
        <v>2A</v>
      </c>
      <c r="S200" s="131"/>
      <c r="T200" s="131"/>
      <c r="V200" s="72"/>
      <c r="W200" s="72"/>
    </row>
    <row r="201" spans="2:23" ht="16.5" customHeight="1">
      <c r="B201" s="14" t="s">
        <v>1840</v>
      </c>
      <c r="C201" s="14" t="str">
        <f t="shared" si="348"/>
        <v>FF02E032000317</v>
      </c>
      <c r="D201" s="67" t="s">
        <v>17</v>
      </c>
      <c r="E201" s="67" t="s">
        <v>15</v>
      </c>
      <c r="F201" s="67" t="s">
        <v>1336</v>
      </c>
      <c r="G201" s="67" t="s">
        <v>16</v>
      </c>
      <c r="H201" s="67" t="s">
        <v>91</v>
      </c>
      <c r="I201" s="14" t="str">
        <f t="shared" si="349"/>
        <v>17</v>
      </c>
      <c r="J201" s="15">
        <f t="shared" si="350"/>
        <v>2</v>
      </c>
      <c r="K201" s="15">
        <f t="shared" si="351"/>
        <v>224</v>
      </c>
      <c r="L201" s="15">
        <f t="shared" si="352"/>
        <v>50</v>
      </c>
      <c r="M201" s="15">
        <f t="shared" si="353"/>
        <v>0</v>
      </c>
      <c r="N201" s="15">
        <f t="shared" si="354"/>
        <v>3</v>
      </c>
      <c r="O201" s="15">
        <f t="shared" si="355"/>
        <v>279</v>
      </c>
      <c r="P201" s="15" t="str">
        <f t="shared" si="356"/>
        <v>17</v>
      </c>
      <c r="Q201" s="15">
        <f t="shared" si="357"/>
        <v>556</v>
      </c>
      <c r="R201" s="15" t="str">
        <f t="shared" si="358"/>
        <v>2C</v>
      </c>
      <c r="S201" s="131"/>
      <c r="T201" s="131"/>
      <c r="V201" s="72"/>
      <c r="W201" s="72"/>
    </row>
    <row r="202" spans="2:23" ht="16.5" customHeight="1">
      <c r="B202" s="14" t="s">
        <v>1841</v>
      </c>
      <c r="C202" s="14" t="str">
        <f t="shared" si="348"/>
        <v>FF02E033000015</v>
      </c>
      <c r="D202" s="67" t="s">
        <v>17</v>
      </c>
      <c r="E202" s="67" t="s">
        <v>15</v>
      </c>
      <c r="F202" s="67" t="s">
        <v>1871</v>
      </c>
      <c r="G202" s="67" t="s">
        <v>16</v>
      </c>
      <c r="H202" s="67" t="s">
        <v>16</v>
      </c>
      <c r="I202" s="14" t="str">
        <f t="shared" si="349"/>
        <v>15</v>
      </c>
      <c r="J202" s="15">
        <f t="shared" si="350"/>
        <v>2</v>
      </c>
      <c r="K202" s="15">
        <f t="shared" si="351"/>
        <v>224</v>
      </c>
      <c r="L202" s="15">
        <f t="shared" si="352"/>
        <v>51</v>
      </c>
      <c r="M202" s="15">
        <f t="shared" si="353"/>
        <v>0</v>
      </c>
      <c r="N202" s="15">
        <f t="shared" si="354"/>
        <v>0</v>
      </c>
      <c r="O202" s="15">
        <f t="shared" si="355"/>
        <v>277</v>
      </c>
      <c r="P202" s="15" t="str">
        <f t="shared" si="356"/>
        <v>15</v>
      </c>
      <c r="Q202" s="15">
        <f t="shared" si="357"/>
        <v>552</v>
      </c>
      <c r="R202" s="15" t="str">
        <f t="shared" si="358"/>
        <v>28</v>
      </c>
      <c r="S202" s="131"/>
      <c r="T202" s="131"/>
      <c r="V202" s="72"/>
      <c r="W202" s="72"/>
    </row>
    <row r="203" spans="2:23" ht="16.5" customHeight="1">
      <c r="B203" s="14" t="s">
        <v>1842</v>
      </c>
      <c r="C203" s="14" t="str">
        <f t="shared" ref="C203:C220" si="359">"FF"&amp;D203&amp;E203&amp;""&amp;F203&amp;G203&amp;H203&amp;I203</f>
        <v>FF02E033000116</v>
      </c>
      <c r="D203" s="67" t="s">
        <v>17</v>
      </c>
      <c r="E203" s="67" t="s">
        <v>15</v>
      </c>
      <c r="F203" s="67" t="s">
        <v>1871</v>
      </c>
      <c r="G203" s="67" t="s">
        <v>16</v>
      </c>
      <c r="H203" s="67" t="s">
        <v>24</v>
      </c>
      <c r="I203" s="14" t="str">
        <f t="shared" ref="I203:I220" si="360">P203</f>
        <v>16</v>
      </c>
      <c r="J203" s="15">
        <f t="shared" ref="J203:J220" si="361">HEX2DEC(D203)</f>
        <v>2</v>
      </c>
      <c r="K203" s="15">
        <f t="shared" ref="K203:K220" si="362">HEX2DEC(E203)</f>
        <v>224</v>
      </c>
      <c r="L203" s="15">
        <f t="shared" ref="L203:L220" si="363">HEX2DEC(F203)</f>
        <v>51</v>
      </c>
      <c r="M203" s="15">
        <f t="shared" ref="M203:M220" si="364">HEX2DEC(G203)</f>
        <v>0</v>
      </c>
      <c r="N203" s="15">
        <f t="shared" ref="N203:N220" si="365">HEX2DEC(H203)</f>
        <v>1</v>
      </c>
      <c r="O203" s="15">
        <f t="shared" ref="O203:O220" si="366">SUM(J203:N203)</f>
        <v>278</v>
      </c>
      <c r="P203" s="15" t="str">
        <f t="shared" ref="P203:P220" si="367">REPT("0",2-LEN(RIGHT(DEC2HEX(O203), 2)))&amp;RIGHT(DEC2HEX(O203), 2)</f>
        <v>16</v>
      </c>
      <c r="Q203" s="15">
        <f t="shared" ref="Q203:Q220" si="368">SUM(K203:P203)</f>
        <v>554</v>
      </c>
      <c r="R203" s="15" t="str">
        <f t="shared" ref="R203:R220" si="369">REPT("0",2-LEN(RIGHT(DEC2HEX(Q203), 2)))&amp;RIGHT(DEC2HEX(Q203), 2)</f>
        <v>2A</v>
      </c>
      <c r="S203" s="131"/>
      <c r="T203" s="131"/>
      <c r="V203" s="72"/>
      <c r="W203" s="72"/>
    </row>
    <row r="204" spans="2:23" ht="16.5" customHeight="1">
      <c r="B204" s="14" t="s">
        <v>1843</v>
      </c>
      <c r="C204" s="14" t="str">
        <f t="shared" si="359"/>
        <v>FF02E033000217</v>
      </c>
      <c r="D204" s="67" t="s">
        <v>17</v>
      </c>
      <c r="E204" s="67" t="s">
        <v>15</v>
      </c>
      <c r="F204" s="67" t="s">
        <v>1871</v>
      </c>
      <c r="G204" s="67" t="s">
        <v>16</v>
      </c>
      <c r="H204" s="67" t="s">
        <v>17</v>
      </c>
      <c r="I204" s="14" t="str">
        <f t="shared" si="360"/>
        <v>17</v>
      </c>
      <c r="J204" s="15">
        <f t="shared" si="361"/>
        <v>2</v>
      </c>
      <c r="K204" s="15">
        <f t="shared" si="362"/>
        <v>224</v>
      </c>
      <c r="L204" s="15">
        <f t="shared" si="363"/>
        <v>51</v>
      </c>
      <c r="M204" s="15">
        <f t="shared" si="364"/>
        <v>0</v>
      </c>
      <c r="N204" s="15">
        <f t="shared" si="365"/>
        <v>2</v>
      </c>
      <c r="O204" s="15">
        <f t="shared" si="366"/>
        <v>279</v>
      </c>
      <c r="P204" s="15" t="str">
        <f t="shared" si="367"/>
        <v>17</v>
      </c>
      <c r="Q204" s="15">
        <f t="shared" si="368"/>
        <v>556</v>
      </c>
      <c r="R204" s="15" t="str">
        <f t="shared" si="369"/>
        <v>2C</v>
      </c>
      <c r="S204" s="131"/>
      <c r="T204" s="131"/>
      <c r="V204" s="72"/>
      <c r="W204" s="72"/>
    </row>
    <row r="205" spans="2:23" ht="16.5" customHeight="1">
      <c r="B205" s="14" t="s">
        <v>1844</v>
      </c>
      <c r="C205" s="14" t="str">
        <f t="shared" si="359"/>
        <v>FF02E034000016</v>
      </c>
      <c r="D205" s="67" t="s">
        <v>17</v>
      </c>
      <c r="E205" s="67" t="s">
        <v>15</v>
      </c>
      <c r="F205" s="67" t="s">
        <v>1872</v>
      </c>
      <c r="G205" s="67" t="s">
        <v>16</v>
      </c>
      <c r="H205" s="67" t="s">
        <v>16</v>
      </c>
      <c r="I205" s="14" t="str">
        <f t="shared" si="360"/>
        <v>16</v>
      </c>
      <c r="J205" s="15">
        <f t="shared" si="361"/>
        <v>2</v>
      </c>
      <c r="K205" s="15">
        <f t="shared" si="362"/>
        <v>224</v>
      </c>
      <c r="L205" s="15">
        <f t="shared" si="363"/>
        <v>52</v>
      </c>
      <c r="M205" s="15">
        <f t="shared" si="364"/>
        <v>0</v>
      </c>
      <c r="N205" s="15">
        <f t="shared" si="365"/>
        <v>0</v>
      </c>
      <c r="O205" s="15">
        <f t="shared" si="366"/>
        <v>278</v>
      </c>
      <c r="P205" s="15" t="str">
        <f t="shared" si="367"/>
        <v>16</v>
      </c>
      <c r="Q205" s="15">
        <f t="shared" si="368"/>
        <v>554</v>
      </c>
      <c r="R205" s="15" t="str">
        <f t="shared" si="369"/>
        <v>2A</v>
      </c>
      <c r="S205" s="131"/>
      <c r="T205" s="131"/>
      <c r="V205" s="72"/>
      <c r="W205" s="72"/>
    </row>
    <row r="206" spans="2:23" ht="16.5" customHeight="1">
      <c r="B206" s="14" t="s">
        <v>1845</v>
      </c>
      <c r="C206" s="14" t="str">
        <f t="shared" si="359"/>
        <v>FF02E034000117</v>
      </c>
      <c r="D206" s="67" t="s">
        <v>17</v>
      </c>
      <c r="E206" s="67" t="s">
        <v>15</v>
      </c>
      <c r="F206" s="67" t="s">
        <v>1872</v>
      </c>
      <c r="G206" s="67" t="s">
        <v>16</v>
      </c>
      <c r="H206" s="67" t="s">
        <v>24</v>
      </c>
      <c r="I206" s="14" t="str">
        <f t="shared" si="360"/>
        <v>17</v>
      </c>
      <c r="J206" s="15">
        <f t="shared" si="361"/>
        <v>2</v>
      </c>
      <c r="K206" s="15">
        <f t="shared" si="362"/>
        <v>224</v>
      </c>
      <c r="L206" s="15">
        <f t="shared" si="363"/>
        <v>52</v>
      </c>
      <c r="M206" s="15">
        <f t="shared" si="364"/>
        <v>0</v>
      </c>
      <c r="N206" s="15">
        <f t="shared" si="365"/>
        <v>1</v>
      </c>
      <c r="O206" s="15">
        <f t="shared" si="366"/>
        <v>279</v>
      </c>
      <c r="P206" s="15" t="str">
        <f t="shared" si="367"/>
        <v>17</v>
      </c>
      <c r="Q206" s="15">
        <f t="shared" si="368"/>
        <v>556</v>
      </c>
      <c r="R206" s="15" t="str">
        <f t="shared" si="369"/>
        <v>2C</v>
      </c>
      <c r="S206" s="131"/>
      <c r="T206" s="131"/>
      <c r="V206" s="72"/>
      <c r="W206" s="72"/>
    </row>
    <row r="207" spans="2:23" ht="16.5" customHeight="1">
      <c r="B207" s="14" t="s">
        <v>1846</v>
      </c>
      <c r="C207" s="14" t="str">
        <f t="shared" si="359"/>
        <v>FF02E035000017</v>
      </c>
      <c r="D207" s="67" t="s">
        <v>17</v>
      </c>
      <c r="E207" s="67" t="s">
        <v>15</v>
      </c>
      <c r="F207" s="67" t="s">
        <v>1873</v>
      </c>
      <c r="G207" s="67" t="s">
        <v>16</v>
      </c>
      <c r="H207" s="67" t="s">
        <v>16</v>
      </c>
      <c r="I207" s="14" t="str">
        <f t="shared" si="360"/>
        <v>17</v>
      </c>
      <c r="J207" s="15">
        <f t="shared" si="361"/>
        <v>2</v>
      </c>
      <c r="K207" s="15">
        <f t="shared" si="362"/>
        <v>224</v>
      </c>
      <c r="L207" s="15">
        <f t="shared" si="363"/>
        <v>53</v>
      </c>
      <c r="M207" s="15">
        <f t="shared" si="364"/>
        <v>0</v>
      </c>
      <c r="N207" s="15">
        <f t="shared" si="365"/>
        <v>0</v>
      </c>
      <c r="O207" s="15">
        <f t="shared" si="366"/>
        <v>279</v>
      </c>
      <c r="P207" s="15" t="str">
        <f t="shared" si="367"/>
        <v>17</v>
      </c>
      <c r="Q207" s="15">
        <f t="shared" si="368"/>
        <v>556</v>
      </c>
      <c r="R207" s="15" t="str">
        <f t="shared" si="369"/>
        <v>2C</v>
      </c>
      <c r="S207" s="131"/>
      <c r="T207" s="131"/>
      <c r="V207" s="72"/>
      <c r="W207" s="72"/>
    </row>
    <row r="208" spans="2:23" ht="16.5" customHeight="1">
      <c r="B208" s="14" t="s">
        <v>1847</v>
      </c>
      <c r="C208" s="14" t="str">
        <f t="shared" si="359"/>
        <v>FF02E035000118</v>
      </c>
      <c r="D208" s="67" t="s">
        <v>17</v>
      </c>
      <c r="E208" s="67" t="s">
        <v>15</v>
      </c>
      <c r="F208" s="67" t="s">
        <v>1873</v>
      </c>
      <c r="G208" s="67" t="s">
        <v>16</v>
      </c>
      <c r="H208" s="67" t="s">
        <v>24</v>
      </c>
      <c r="I208" s="14" t="str">
        <f t="shared" si="360"/>
        <v>18</v>
      </c>
      <c r="J208" s="15">
        <f t="shared" si="361"/>
        <v>2</v>
      </c>
      <c r="K208" s="15">
        <f t="shared" si="362"/>
        <v>224</v>
      </c>
      <c r="L208" s="15">
        <f t="shared" si="363"/>
        <v>53</v>
      </c>
      <c r="M208" s="15">
        <f t="shared" si="364"/>
        <v>0</v>
      </c>
      <c r="N208" s="15">
        <f t="shared" si="365"/>
        <v>1</v>
      </c>
      <c r="O208" s="15">
        <f t="shared" si="366"/>
        <v>280</v>
      </c>
      <c r="P208" s="15" t="str">
        <f t="shared" si="367"/>
        <v>18</v>
      </c>
      <c r="Q208" s="15">
        <f t="shared" si="368"/>
        <v>558</v>
      </c>
      <c r="R208" s="15" t="str">
        <f t="shared" si="369"/>
        <v>2E</v>
      </c>
      <c r="S208" s="131"/>
      <c r="T208" s="131"/>
      <c r="V208" s="72"/>
      <c r="W208" s="72"/>
    </row>
    <row r="209" spans="2:23" ht="16.5" customHeight="1">
      <c r="B209" s="14" t="s">
        <v>1848</v>
      </c>
      <c r="C209" s="14" t="str">
        <f t="shared" si="359"/>
        <v>FF02E035000219</v>
      </c>
      <c r="D209" s="67" t="s">
        <v>17</v>
      </c>
      <c r="E209" s="67" t="s">
        <v>15</v>
      </c>
      <c r="F209" s="67" t="s">
        <v>1873</v>
      </c>
      <c r="G209" s="67" t="s">
        <v>16</v>
      </c>
      <c r="H209" s="67" t="s">
        <v>17</v>
      </c>
      <c r="I209" s="14" t="str">
        <f t="shared" si="360"/>
        <v>19</v>
      </c>
      <c r="J209" s="15">
        <f t="shared" si="361"/>
        <v>2</v>
      </c>
      <c r="K209" s="15">
        <f t="shared" si="362"/>
        <v>224</v>
      </c>
      <c r="L209" s="15">
        <f t="shared" si="363"/>
        <v>53</v>
      </c>
      <c r="M209" s="15">
        <f t="shared" si="364"/>
        <v>0</v>
      </c>
      <c r="N209" s="15">
        <f t="shared" si="365"/>
        <v>2</v>
      </c>
      <c r="O209" s="15">
        <f t="shared" si="366"/>
        <v>281</v>
      </c>
      <c r="P209" s="15" t="str">
        <f t="shared" si="367"/>
        <v>19</v>
      </c>
      <c r="Q209" s="15">
        <f t="shared" si="368"/>
        <v>560</v>
      </c>
      <c r="R209" s="15" t="str">
        <f t="shared" si="369"/>
        <v>30</v>
      </c>
      <c r="S209" s="131"/>
      <c r="T209" s="131"/>
      <c r="V209" s="72"/>
      <c r="W209" s="72"/>
    </row>
    <row r="210" spans="2:23" ht="16.5" customHeight="1">
      <c r="B210" s="14" t="s">
        <v>1849</v>
      </c>
      <c r="C210" s="14" t="str">
        <f t="shared" si="359"/>
        <v>FF02E03500031A</v>
      </c>
      <c r="D210" s="67" t="s">
        <v>17</v>
      </c>
      <c r="E210" s="67" t="s">
        <v>15</v>
      </c>
      <c r="F210" s="67" t="s">
        <v>1873</v>
      </c>
      <c r="G210" s="67" t="s">
        <v>16</v>
      </c>
      <c r="H210" s="67" t="s">
        <v>91</v>
      </c>
      <c r="I210" s="14" t="str">
        <f t="shared" si="360"/>
        <v>1A</v>
      </c>
      <c r="J210" s="15">
        <f t="shared" si="361"/>
        <v>2</v>
      </c>
      <c r="K210" s="15">
        <f t="shared" si="362"/>
        <v>224</v>
      </c>
      <c r="L210" s="15">
        <f t="shared" si="363"/>
        <v>53</v>
      </c>
      <c r="M210" s="15">
        <f t="shared" si="364"/>
        <v>0</v>
      </c>
      <c r="N210" s="15">
        <f t="shared" si="365"/>
        <v>3</v>
      </c>
      <c r="O210" s="15">
        <f t="shared" si="366"/>
        <v>282</v>
      </c>
      <c r="P210" s="15" t="str">
        <f t="shared" si="367"/>
        <v>1A</v>
      </c>
      <c r="Q210" s="15">
        <f t="shared" si="368"/>
        <v>562</v>
      </c>
      <c r="R210" s="15" t="str">
        <f t="shared" si="369"/>
        <v>32</v>
      </c>
      <c r="S210" s="131"/>
      <c r="T210" s="131"/>
      <c r="V210" s="72"/>
      <c r="W210" s="72"/>
    </row>
    <row r="211" spans="2:23" ht="16.5" customHeight="1">
      <c r="B211" s="14" t="s">
        <v>1850</v>
      </c>
      <c r="C211" s="14" t="str">
        <f t="shared" si="359"/>
        <v>FF02E036000018</v>
      </c>
      <c r="D211" s="67" t="s">
        <v>17</v>
      </c>
      <c r="E211" s="67" t="s">
        <v>15</v>
      </c>
      <c r="F211" s="67" t="s">
        <v>1874</v>
      </c>
      <c r="G211" s="67" t="s">
        <v>16</v>
      </c>
      <c r="H211" s="67" t="s">
        <v>16</v>
      </c>
      <c r="I211" s="14" t="str">
        <f t="shared" si="360"/>
        <v>18</v>
      </c>
      <c r="J211" s="15">
        <f t="shared" si="361"/>
        <v>2</v>
      </c>
      <c r="K211" s="15">
        <f t="shared" si="362"/>
        <v>224</v>
      </c>
      <c r="L211" s="15">
        <f t="shared" si="363"/>
        <v>54</v>
      </c>
      <c r="M211" s="15">
        <f t="shared" si="364"/>
        <v>0</v>
      </c>
      <c r="N211" s="15">
        <f t="shared" si="365"/>
        <v>0</v>
      </c>
      <c r="O211" s="15">
        <f t="shared" si="366"/>
        <v>280</v>
      </c>
      <c r="P211" s="15" t="str">
        <f t="shared" si="367"/>
        <v>18</v>
      </c>
      <c r="Q211" s="15">
        <f t="shared" si="368"/>
        <v>558</v>
      </c>
      <c r="R211" s="15" t="str">
        <f t="shared" si="369"/>
        <v>2E</v>
      </c>
      <c r="S211" s="131"/>
      <c r="T211" s="131"/>
      <c r="V211" s="72"/>
      <c r="W211" s="72"/>
    </row>
    <row r="212" spans="2:23" ht="16.5" customHeight="1">
      <c r="B212" s="14" t="s">
        <v>1851</v>
      </c>
      <c r="C212" s="14" t="str">
        <f t="shared" si="359"/>
        <v>FF02E036002038</v>
      </c>
      <c r="D212" s="67" t="s">
        <v>17</v>
      </c>
      <c r="E212" s="67" t="s">
        <v>15</v>
      </c>
      <c r="F212" s="67" t="s">
        <v>1874</v>
      </c>
      <c r="G212" s="67" t="s">
        <v>16</v>
      </c>
      <c r="H212" s="67" t="s">
        <v>133</v>
      </c>
      <c r="I212" s="14" t="str">
        <f t="shared" si="360"/>
        <v>38</v>
      </c>
      <c r="J212" s="15">
        <f t="shared" si="361"/>
        <v>2</v>
      </c>
      <c r="K212" s="15">
        <f t="shared" si="362"/>
        <v>224</v>
      </c>
      <c r="L212" s="15">
        <f t="shared" si="363"/>
        <v>54</v>
      </c>
      <c r="M212" s="15">
        <f t="shared" si="364"/>
        <v>0</v>
      </c>
      <c r="N212" s="15">
        <f t="shared" si="365"/>
        <v>32</v>
      </c>
      <c r="O212" s="15">
        <f t="shared" si="366"/>
        <v>312</v>
      </c>
      <c r="P212" s="15" t="str">
        <f t="shared" si="367"/>
        <v>38</v>
      </c>
      <c r="Q212" s="15">
        <f t="shared" si="368"/>
        <v>622</v>
      </c>
      <c r="R212" s="15" t="str">
        <f t="shared" si="369"/>
        <v>6E</v>
      </c>
      <c r="S212" s="131"/>
      <c r="T212" s="131"/>
      <c r="V212" s="72"/>
      <c r="W212" s="72"/>
    </row>
    <row r="213" spans="2:23" ht="17.25">
      <c r="B213" s="14" t="s">
        <v>1852</v>
      </c>
      <c r="C213" s="14" t="str">
        <f t="shared" si="359"/>
        <v>FF02E03600647C</v>
      </c>
      <c r="D213" s="67" t="s">
        <v>17</v>
      </c>
      <c r="E213" s="67" t="s">
        <v>15</v>
      </c>
      <c r="F213" s="67" t="s">
        <v>1874</v>
      </c>
      <c r="G213" s="67" t="s">
        <v>16</v>
      </c>
      <c r="H213" s="67" t="s">
        <v>128</v>
      </c>
      <c r="I213" s="14" t="str">
        <f t="shared" si="360"/>
        <v>7C</v>
      </c>
      <c r="J213" s="15">
        <f t="shared" si="361"/>
        <v>2</v>
      </c>
      <c r="K213" s="15">
        <f t="shared" si="362"/>
        <v>224</v>
      </c>
      <c r="L213" s="15">
        <f t="shared" si="363"/>
        <v>54</v>
      </c>
      <c r="M213" s="15">
        <f t="shared" si="364"/>
        <v>0</v>
      </c>
      <c r="N213" s="15">
        <f t="shared" si="365"/>
        <v>100</v>
      </c>
      <c r="O213" s="15">
        <f t="shared" si="366"/>
        <v>380</v>
      </c>
      <c r="P213" s="15" t="str">
        <f t="shared" si="367"/>
        <v>7C</v>
      </c>
      <c r="Q213" s="15">
        <f t="shared" si="368"/>
        <v>758</v>
      </c>
      <c r="R213" s="15" t="str">
        <f t="shared" si="369"/>
        <v>F6</v>
      </c>
      <c r="S213" s="131"/>
      <c r="T213" s="131"/>
      <c r="V213" s="72"/>
      <c r="W213" s="72"/>
    </row>
    <row r="214" spans="2:23" ht="16.5" customHeight="1">
      <c r="B214" s="14" t="s">
        <v>1853</v>
      </c>
      <c r="C214" s="14" t="str">
        <f t="shared" si="359"/>
        <v>FF02E037000019</v>
      </c>
      <c r="D214" s="67" t="s">
        <v>17</v>
      </c>
      <c r="E214" s="67" t="s">
        <v>15</v>
      </c>
      <c r="F214" s="67" t="s">
        <v>1875</v>
      </c>
      <c r="G214" s="67" t="s">
        <v>16</v>
      </c>
      <c r="H214" s="67" t="s">
        <v>16</v>
      </c>
      <c r="I214" s="14" t="str">
        <f t="shared" si="360"/>
        <v>19</v>
      </c>
      <c r="J214" s="15">
        <f t="shared" si="361"/>
        <v>2</v>
      </c>
      <c r="K214" s="15">
        <f t="shared" si="362"/>
        <v>224</v>
      </c>
      <c r="L214" s="15">
        <f t="shared" si="363"/>
        <v>55</v>
      </c>
      <c r="M214" s="15">
        <f t="shared" si="364"/>
        <v>0</v>
      </c>
      <c r="N214" s="15">
        <f t="shared" si="365"/>
        <v>0</v>
      </c>
      <c r="O214" s="15">
        <f t="shared" si="366"/>
        <v>281</v>
      </c>
      <c r="P214" s="15" t="str">
        <f t="shared" si="367"/>
        <v>19</v>
      </c>
      <c r="Q214" s="15">
        <f t="shared" si="368"/>
        <v>560</v>
      </c>
      <c r="R214" s="15" t="str">
        <f t="shared" si="369"/>
        <v>30</v>
      </c>
      <c r="S214" s="131"/>
      <c r="T214" s="131"/>
      <c r="V214" s="72"/>
      <c r="W214" s="72"/>
    </row>
    <row r="215" spans="2:23" ht="16.5" customHeight="1">
      <c r="B215" s="14" t="s">
        <v>1854</v>
      </c>
      <c r="C215" s="14" t="str">
        <f t="shared" si="359"/>
        <v>FF02E03700011A</v>
      </c>
      <c r="D215" s="67" t="s">
        <v>17</v>
      </c>
      <c r="E215" s="67" t="s">
        <v>15</v>
      </c>
      <c r="F215" s="67" t="s">
        <v>1875</v>
      </c>
      <c r="G215" s="67" t="s">
        <v>16</v>
      </c>
      <c r="H215" s="67" t="s">
        <v>24</v>
      </c>
      <c r="I215" s="14" t="str">
        <f t="shared" si="360"/>
        <v>1A</v>
      </c>
      <c r="J215" s="15">
        <f t="shared" si="361"/>
        <v>2</v>
      </c>
      <c r="K215" s="15">
        <f t="shared" si="362"/>
        <v>224</v>
      </c>
      <c r="L215" s="15">
        <f t="shared" si="363"/>
        <v>55</v>
      </c>
      <c r="M215" s="15">
        <f t="shared" si="364"/>
        <v>0</v>
      </c>
      <c r="N215" s="15">
        <f t="shared" si="365"/>
        <v>1</v>
      </c>
      <c r="O215" s="15">
        <f t="shared" si="366"/>
        <v>282</v>
      </c>
      <c r="P215" s="15" t="str">
        <f t="shared" si="367"/>
        <v>1A</v>
      </c>
      <c r="Q215" s="15">
        <f t="shared" si="368"/>
        <v>562</v>
      </c>
      <c r="R215" s="15" t="str">
        <f t="shared" si="369"/>
        <v>32</v>
      </c>
      <c r="S215" s="131"/>
      <c r="T215" s="131"/>
      <c r="V215" s="72"/>
      <c r="W215" s="72"/>
    </row>
    <row r="216" spans="2:23" ht="16.5" customHeight="1">
      <c r="B216" s="14" t="s">
        <v>1855</v>
      </c>
      <c r="C216" s="14" t="str">
        <f t="shared" si="359"/>
        <v>FF02E03800001A</v>
      </c>
      <c r="D216" s="67" t="s">
        <v>17</v>
      </c>
      <c r="E216" s="67" t="s">
        <v>15</v>
      </c>
      <c r="F216" s="67" t="s">
        <v>1876</v>
      </c>
      <c r="G216" s="67" t="s">
        <v>16</v>
      </c>
      <c r="H216" s="67" t="s">
        <v>16</v>
      </c>
      <c r="I216" s="14" t="str">
        <f t="shared" si="360"/>
        <v>1A</v>
      </c>
      <c r="J216" s="15">
        <f t="shared" si="361"/>
        <v>2</v>
      </c>
      <c r="K216" s="15">
        <f t="shared" si="362"/>
        <v>224</v>
      </c>
      <c r="L216" s="15">
        <f t="shared" si="363"/>
        <v>56</v>
      </c>
      <c r="M216" s="15">
        <f t="shared" si="364"/>
        <v>0</v>
      </c>
      <c r="N216" s="15">
        <f t="shared" si="365"/>
        <v>0</v>
      </c>
      <c r="O216" s="15">
        <f t="shared" si="366"/>
        <v>282</v>
      </c>
      <c r="P216" s="15" t="str">
        <f t="shared" si="367"/>
        <v>1A</v>
      </c>
      <c r="Q216" s="15">
        <f t="shared" si="368"/>
        <v>562</v>
      </c>
      <c r="R216" s="15" t="str">
        <f t="shared" si="369"/>
        <v>32</v>
      </c>
      <c r="S216" s="131"/>
      <c r="T216" s="131"/>
      <c r="V216" s="72"/>
      <c r="W216" s="72"/>
    </row>
    <row r="217" spans="2:23" ht="16.5" customHeight="1">
      <c r="B217" s="14" t="s">
        <v>1856</v>
      </c>
      <c r="C217" s="14" t="str">
        <f t="shared" si="359"/>
        <v>FF02E03800011B</v>
      </c>
      <c r="D217" s="67" t="s">
        <v>17</v>
      </c>
      <c r="E217" s="67" t="s">
        <v>15</v>
      </c>
      <c r="F217" s="67" t="s">
        <v>1876</v>
      </c>
      <c r="G217" s="67" t="s">
        <v>16</v>
      </c>
      <c r="H217" s="67" t="s">
        <v>24</v>
      </c>
      <c r="I217" s="14" t="str">
        <f t="shared" si="360"/>
        <v>1B</v>
      </c>
      <c r="J217" s="15">
        <f t="shared" si="361"/>
        <v>2</v>
      </c>
      <c r="K217" s="15">
        <f t="shared" si="362"/>
        <v>224</v>
      </c>
      <c r="L217" s="15">
        <f t="shared" si="363"/>
        <v>56</v>
      </c>
      <c r="M217" s="15">
        <f t="shared" si="364"/>
        <v>0</v>
      </c>
      <c r="N217" s="15">
        <f t="shared" si="365"/>
        <v>1</v>
      </c>
      <c r="O217" s="15">
        <f t="shared" si="366"/>
        <v>283</v>
      </c>
      <c r="P217" s="15" t="str">
        <f t="shared" si="367"/>
        <v>1B</v>
      </c>
      <c r="Q217" s="15">
        <f t="shared" si="368"/>
        <v>564</v>
      </c>
      <c r="R217" s="15" t="str">
        <f t="shared" si="369"/>
        <v>34</v>
      </c>
      <c r="S217" s="131"/>
      <c r="T217" s="131"/>
      <c r="V217" s="72"/>
      <c r="W217" s="72"/>
    </row>
    <row r="218" spans="2:23" ht="16.5" customHeight="1">
      <c r="B218" s="14" t="s">
        <v>1857</v>
      </c>
      <c r="C218" s="14" t="str">
        <f t="shared" si="359"/>
        <v>FF02E03900001B</v>
      </c>
      <c r="D218" s="67" t="s">
        <v>17</v>
      </c>
      <c r="E218" s="67" t="s">
        <v>15</v>
      </c>
      <c r="F218" s="67" t="s">
        <v>1877</v>
      </c>
      <c r="G218" s="67" t="s">
        <v>16</v>
      </c>
      <c r="H218" s="67" t="s">
        <v>16</v>
      </c>
      <c r="I218" s="14" t="str">
        <f t="shared" si="360"/>
        <v>1B</v>
      </c>
      <c r="J218" s="15">
        <f t="shared" si="361"/>
        <v>2</v>
      </c>
      <c r="K218" s="15">
        <f t="shared" si="362"/>
        <v>224</v>
      </c>
      <c r="L218" s="15">
        <f t="shared" si="363"/>
        <v>57</v>
      </c>
      <c r="M218" s="15">
        <f t="shared" si="364"/>
        <v>0</v>
      </c>
      <c r="N218" s="15">
        <f t="shared" si="365"/>
        <v>0</v>
      </c>
      <c r="O218" s="15">
        <f t="shared" si="366"/>
        <v>283</v>
      </c>
      <c r="P218" s="15" t="str">
        <f t="shared" si="367"/>
        <v>1B</v>
      </c>
      <c r="Q218" s="15">
        <f t="shared" si="368"/>
        <v>564</v>
      </c>
      <c r="R218" s="15" t="str">
        <f t="shared" si="369"/>
        <v>34</v>
      </c>
      <c r="S218" s="131"/>
      <c r="T218" s="131"/>
      <c r="V218" s="72"/>
      <c r="W218" s="72"/>
    </row>
    <row r="219" spans="2:23" ht="16.5" customHeight="1">
      <c r="B219" s="14" t="s">
        <v>1858</v>
      </c>
      <c r="C219" s="14" t="str">
        <f t="shared" si="359"/>
        <v>FF02E03900011C</v>
      </c>
      <c r="D219" s="67" t="s">
        <v>17</v>
      </c>
      <c r="E219" s="67" t="s">
        <v>15</v>
      </c>
      <c r="F219" s="67" t="s">
        <v>1877</v>
      </c>
      <c r="G219" s="67" t="s">
        <v>16</v>
      </c>
      <c r="H219" s="67" t="s">
        <v>24</v>
      </c>
      <c r="I219" s="14" t="str">
        <f t="shared" si="360"/>
        <v>1C</v>
      </c>
      <c r="J219" s="15">
        <f t="shared" si="361"/>
        <v>2</v>
      </c>
      <c r="K219" s="15">
        <f t="shared" si="362"/>
        <v>224</v>
      </c>
      <c r="L219" s="15">
        <f t="shared" si="363"/>
        <v>57</v>
      </c>
      <c r="M219" s="15">
        <f t="shared" si="364"/>
        <v>0</v>
      </c>
      <c r="N219" s="15">
        <f t="shared" si="365"/>
        <v>1</v>
      </c>
      <c r="O219" s="15">
        <f t="shared" si="366"/>
        <v>284</v>
      </c>
      <c r="P219" s="15" t="str">
        <f t="shared" si="367"/>
        <v>1C</v>
      </c>
      <c r="Q219" s="15">
        <f t="shared" si="368"/>
        <v>566</v>
      </c>
      <c r="R219" s="15" t="str">
        <f t="shared" si="369"/>
        <v>36</v>
      </c>
      <c r="S219" s="131"/>
      <c r="T219" s="131"/>
      <c r="V219" s="72"/>
      <c r="W219" s="72"/>
    </row>
    <row r="220" spans="2:23" ht="16.5" customHeight="1">
      <c r="B220" s="14" t="s">
        <v>1859</v>
      </c>
      <c r="C220" s="14" t="str">
        <f t="shared" si="359"/>
        <v>FF02E03A00001C</v>
      </c>
      <c r="D220" s="67" t="s">
        <v>17</v>
      </c>
      <c r="E220" s="67" t="s">
        <v>15</v>
      </c>
      <c r="F220" s="67" t="s">
        <v>1878</v>
      </c>
      <c r="G220" s="67" t="s">
        <v>16</v>
      </c>
      <c r="H220" s="67" t="s">
        <v>16</v>
      </c>
      <c r="I220" s="14" t="str">
        <f t="shared" si="360"/>
        <v>1C</v>
      </c>
      <c r="J220" s="15">
        <f t="shared" si="361"/>
        <v>2</v>
      </c>
      <c r="K220" s="15">
        <f t="shared" si="362"/>
        <v>224</v>
      </c>
      <c r="L220" s="15">
        <f t="shared" si="363"/>
        <v>58</v>
      </c>
      <c r="M220" s="15">
        <f t="shared" si="364"/>
        <v>0</v>
      </c>
      <c r="N220" s="15">
        <f t="shared" si="365"/>
        <v>0</v>
      </c>
      <c r="O220" s="15">
        <f t="shared" si="366"/>
        <v>284</v>
      </c>
      <c r="P220" s="15" t="str">
        <f t="shared" si="367"/>
        <v>1C</v>
      </c>
      <c r="Q220" s="15">
        <f t="shared" si="368"/>
        <v>566</v>
      </c>
      <c r="R220" s="15" t="str">
        <f t="shared" si="369"/>
        <v>36</v>
      </c>
      <c r="S220" s="131"/>
      <c r="T220" s="131"/>
      <c r="V220" s="72"/>
      <c r="W220" s="72"/>
    </row>
    <row r="221" spans="2:23" ht="16.5" customHeight="1">
      <c r="B221" s="14" t="s">
        <v>1860</v>
      </c>
      <c r="C221" s="14" t="str">
        <f t="shared" ref="C221:C280" si="370">"FF"&amp;D221&amp;E221&amp;""&amp;F221&amp;G221&amp;H221&amp;I221</f>
        <v>FF02E03A00011D</v>
      </c>
      <c r="D221" s="67" t="s">
        <v>17</v>
      </c>
      <c r="E221" s="67" t="s">
        <v>15</v>
      </c>
      <c r="F221" s="67" t="s">
        <v>1878</v>
      </c>
      <c r="G221" s="67" t="s">
        <v>16</v>
      </c>
      <c r="H221" s="67" t="s">
        <v>24</v>
      </c>
      <c r="I221" s="14" t="str">
        <f t="shared" ref="I221:I280" si="371">P221</f>
        <v>1D</v>
      </c>
      <c r="J221" s="15">
        <f t="shared" ref="J221:J280" si="372">HEX2DEC(D221)</f>
        <v>2</v>
      </c>
      <c r="K221" s="15">
        <f t="shared" ref="K221:K280" si="373">HEX2DEC(E221)</f>
        <v>224</v>
      </c>
      <c r="L221" s="15">
        <f t="shared" ref="L221:L280" si="374">HEX2DEC(F221)</f>
        <v>58</v>
      </c>
      <c r="M221" s="15">
        <f t="shared" ref="M221:M280" si="375">HEX2DEC(G221)</f>
        <v>0</v>
      </c>
      <c r="N221" s="15">
        <f t="shared" ref="N221:N280" si="376">HEX2DEC(H221)</f>
        <v>1</v>
      </c>
      <c r="O221" s="15">
        <f t="shared" ref="O221:O280" si="377">SUM(J221:N221)</f>
        <v>285</v>
      </c>
      <c r="P221" s="15" t="str">
        <f t="shared" ref="P221:P280" si="378">REPT("0",2-LEN(RIGHT(DEC2HEX(O221), 2)))&amp;RIGHT(DEC2HEX(O221), 2)</f>
        <v>1D</v>
      </c>
      <c r="Q221" s="15">
        <f t="shared" ref="Q221:Q280" si="379">SUM(K221:P221)</f>
        <v>568</v>
      </c>
      <c r="R221" s="15" t="str">
        <f t="shared" ref="R221:R280" si="380">REPT("0",2-LEN(RIGHT(DEC2HEX(Q221), 2)))&amp;RIGHT(DEC2HEX(Q221), 2)</f>
        <v>38</v>
      </c>
      <c r="S221" s="131"/>
      <c r="T221" s="131"/>
      <c r="V221" s="72"/>
      <c r="W221" s="72"/>
    </row>
    <row r="222" spans="2:23" ht="16.5" customHeight="1">
      <c r="B222" s="14" t="s">
        <v>1861</v>
      </c>
      <c r="C222" s="14" t="str">
        <f t="shared" si="370"/>
        <v>FF02E03B00001D</v>
      </c>
      <c r="D222" s="67" t="s">
        <v>17</v>
      </c>
      <c r="E222" s="67" t="s">
        <v>15</v>
      </c>
      <c r="F222" s="67" t="s">
        <v>1879</v>
      </c>
      <c r="G222" s="67" t="s">
        <v>16</v>
      </c>
      <c r="H222" s="67" t="s">
        <v>16</v>
      </c>
      <c r="I222" s="14" t="str">
        <f t="shared" si="371"/>
        <v>1D</v>
      </c>
      <c r="J222" s="15">
        <f t="shared" si="372"/>
        <v>2</v>
      </c>
      <c r="K222" s="15">
        <f t="shared" si="373"/>
        <v>224</v>
      </c>
      <c r="L222" s="15">
        <f t="shared" si="374"/>
        <v>59</v>
      </c>
      <c r="M222" s="15">
        <f t="shared" si="375"/>
        <v>0</v>
      </c>
      <c r="N222" s="15">
        <f t="shared" si="376"/>
        <v>0</v>
      </c>
      <c r="O222" s="15">
        <f t="shared" si="377"/>
        <v>285</v>
      </c>
      <c r="P222" s="15" t="str">
        <f t="shared" si="378"/>
        <v>1D</v>
      </c>
      <c r="Q222" s="15">
        <f t="shared" si="379"/>
        <v>568</v>
      </c>
      <c r="R222" s="15" t="str">
        <f t="shared" si="380"/>
        <v>38</v>
      </c>
      <c r="S222" s="131"/>
      <c r="T222" s="131"/>
      <c r="V222" s="72"/>
      <c r="W222" s="72"/>
    </row>
    <row r="223" spans="2:23" ht="16.5" customHeight="1">
      <c r="B223" s="14" t="s">
        <v>1862</v>
      </c>
      <c r="C223" s="14" t="str">
        <f t="shared" si="370"/>
        <v>FF02E03B00011E</v>
      </c>
      <c r="D223" s="67" t="s">
        <v>17</v>
      </c>
      <c r="E223" s="67" t="s">
        <v>15</v>
      </c>
      <c r="F223" s="67" t="s">
        <v>1879</v>
      </c>
      <c r="G223" s="67" t="s">
        <v>16</v>
      </c>
      <c r="H223" s="67" t="s">
        <v>24</v>
      </c>
      <c r="I223" s="14" t="str">
        <f t="shared" si="371"/>
        <v>1E</v>
      </c>
      <c r="J223" s="15">
        <f t="shared" si="372"/>
        <v>2</v>
      </c>
      <c r="K223" s="15">
        <f t="shared" si="373"/>
        <v>224</v>
      </c>
      <c r="L223" s="15">
        <f t="shared" si="374"/>
        <v>59</v>
      </c>
      <c r="M223" s="15">
        <f t="shared" si="375"/>
        <v>0</v>
      </c>
      <c r="N223" s="15">
        <f t="shared" si="376"/>
        <v>1</v>
      </c>
      <c r="O223" s="15">
        <f t="shared" si="377"/>
        <v>286</v>
      </c>
      <c r="P223" s="15" t="str">
        <f t="shared" si="378"/>
        <v>1E</v>
      </c>
      <c r="Q223" s="15">
        <f t="shared" si="379"/>
        <v>570</v>
      </c>
      <c r="R223" s="15" t="str">
        <f t="shared" si="380"/>
        <v>3A</v>
      </c>
      <c r="S223" s="131"/>
      <c r="T223" s="131"/>
      <c r="V223" s="72"/>
      <c r="W223" s="72"/>
    </row>
    <row r="224" spans="2:23" ht="16.5" customHeight="1">
      <c r="B224" s="14" t="s">
        <v>1863</v>
      </c>
      <c r="C224" s="14" t="str">
        <f t="shared" si="370"/>
        <v>FF02E03B00021F</v>
      </c>
      <c r="D224" s="67" t="s">
        <v>17</v>
      </c>
      <c r="E224" s="67" t="s">
        <v>15</v>
      </c>
      <c r="F224" s="67" t="s">
        <v>1879</v>
      </c>
      <c r="G224" s="67" t="s">
        <v>16</v>
      </c>
      <c r="H224" s="67" t="s">
        <v>17</v>
      </c>
      <c r="I224" s="14" t="str">
        <f t="shared" si="371"/>
        <v>1F</v>
      </c>
      <c r="J224" s="15">
        <f t="shared" si="372"/>
        <v>2</v>
      </c>
      <c r="K224" s="15">
        <f t="shared" si="373"/>
        <v>224</v>
      </c>
      <c r="L224" s="15">
        <f t="shared" si="374"/>
        <v>59</v>
      </c>
      <c r="M224" s="15">
        <f t="shared" si="375"/>
        <v>0</v>
      </c>
      <c r="N224" s="15">
        <f t="shared" si="376"/>
        <v>2</v>
      </c>
      <c r="O224" s="15">
        <f t="shared" si="377"/>
        <v>287</v>
      </c>
      <c r="P224" s="15" t="str">
        <f t="shared" si="378"/>
        <v>1F</v>
      </c>
      <c r="Q224" s="15">
        <f t="shared" si="379"/>
        <v>572</v>
      </c>
      <c r="R224" s="15" t="str">
        <f t="shared" si="380"/>
        <v>3C</v>
      </c>
      <c r="S224" s="131"/>
      <c r="T224" s="131"/>
      <c r="V224" s="72"/>
      <c r="W224" s="72"/>
    </row>
    <row r="225" spans="2:23" ht="16.5" customHeight="1">
      <c r="B225" s="14" t="s">
        <v>1864</v>
      </c>
      <c r="C225" s="14" t="str">
        <f t="shared" si="370"/>
        <v>FF02E03B000320</v>
      </c>
      <c r="D225" s="67" t="s">
        <v>17</v>
      </c>
      <c r="E225" s="67" t="s">
        <v>15</v>
      </c>
      <c r="F225" s="67" t="s">
        <v>1879</v>
      </c>
      <c r="G225" s="67" t="s">
        <v>16</v>
      </c>
      <c r="H225" s="67" t="s">
        <v>91</v>
      </c>
      <c r="I225" s="14" t="str">
        <f t="shared" si="371"/>
        <v>20</v>
      </c>
      <c r="J225" s="15">
        <f t="shared" si="372"/>
        <v>2</v>
      </c>
      <c r="K225" s="15">
        <f t="shared" si="373"/>
        <v>224</v>
      </c>
      <c r="L225" s="15">
        <f t="shared" si="374"/>
        <v>59</v>
      </c>
      <c r="M225" s="15">
        <f t="shared" si="375"/>
        <v>0</v>
      </c>
      <c r="N225" s="15">
        <f t="shared" si="376"/>
        <v>3</v>
      </c>
      <c r="O225" s="15">
        <f t="shared" si="377"/>
        <v>288</v>
      </c>
      <c r="P225" s="15" t="str">
        <f t="shared" si="378"/>
        <v>20</v>
      </c>
      <c r="Q225" s="15">
        <f t="shared" si="379"/>
        <v>574</v>
      </c>
      <c r="R225" s="15" t="str">
        <f t="shared" si="380"/>
        <v>3E</v>
      </c>
      <c r="S225" s="131"/>
      <c r="T225" s="131"/>
      <c r="V225" s="72"/>
      <c r="W225" s="72"/>
    </row>
    <row r="226" spans="2:23" ht="16.5" customHeight="1">
      <c r="B226" s="14" t="s">
        <v>1865</v>
      </c>
      <c r="C226" s="14" t="str">
        <f t="shared" si="370"/>
        <v>FF02E03C00001E</v>
      </c>
      <c r="D226" s="67" t="s">
        <v>17</v>
      </c>
      <c r="E226" s="67" t="s">
        <v>15</v>
      </c>
      <c r="F226" s="67" t="s">
        <v>1331</v>
      </c>
      <c r="G226" s="67" t="s">
        <v>16</v>
      </c>
      <c r="H226" s="67" t="s">
        <v>16</v>
      </c>
      <c r="I226" s="14" t="str">
        <f t="shared" si="371"/>
        <v>1E</v>
      </c>
      <c r="J226" s="15">
        <f t="shared" si="372"/>
        <v>2</v>
      </c>
      <c r="K226" s="15">
        <f t="shared" si="373"/>
        <v>224</v>
      </c>
      <c r="L226" s="15">
        <f t="shared" si="374"/>
        <v>60</v>
      </c>
      <c r="M226" s="15">
        <f t="shared" si="375"/>
        <v>0</v>
      </c>
      <c r="N226" s="15">
        <f t="shared" si="376"/>
        <v>0</v>
      </c>
      <c r="O226" s="15">
        <f t="shared" si="377"/>
        <v>286</v>
      </c>
      <c r="P226" s="15" t="str">
        <f t="shared" si="378"/>
        <v>1E</v>
      </c>
      <c r="Q226" s="15">
        <f t="shared" si="379"/>
        <v>570</v>
      </c>
      <c r="R226" s="15" t="str">
        <f t="shared" si="380"/>
        <v>3A</v>
      </c>
      <c r="S226" s="131"/>
      <c r="T226" s="131"/>
      <c r="V226" s="72"/>
      <c r="W226" s="72"/>
    </row>
    <row r="227" spans="2:23" ht="16.5" customHeight="1">
      <c r="B227" s="14" t="s">
        <v>1866</v>
      </c>
      <c r="C227" s="14" t="str">
        <f t="shared" si="370"/>
        <v>FF02E03C00011F</v>
      </c>
      <c r="D227" s="67" t="s">
        <v>17</v>
      </c>
      <c r="E227" s="67" t="s">
        <v>15</v>
      </c>
      <c r="F227" s="67" t="s">
        <v>1331</v>
      </c>
      <c r="G227" s="67" t="s">
        <v>16</v>
      </c>
      <c r="H227" s="67" t="s">
        <v>24</v>
      </c>
      <c r="I227" s="14" t="str">
        <f t="shared" si="371"/>
        <v>1F</v>
      </c>
      <c r="J227" s="15">
        <f t="shared" si="372"/>
        <v>2</v>
      </c>
      <c r="K227" s="15">
        <f t="shared" si="373"/>
        <v>224</v>
      </c>
      <c r="L227" s="15">
        <f t="shared" si="374"/>
        <v>60</v>
      </c>
      <c r="M227" s="15">
        <f t="shared" si="375"/>
        <v>0</v>
      </c>
      <c r="N227" s="15">
        <f t="shared" si="376"/>
        <v>1</v>
      </c>
      <c r="O227" s="15">
        <f t="shared" si="377"/>
        <v>287</v>
      </c>
      <c r="P227" s="15" t="str">
        <f t="shared" si="378"/>
        <v>1F</v>
      </c>
      <c r="Q227" s="15">
        <f t="shared" si="379"/>
        <v>572</v>
      </c>
      <c r="R227" s="15" t="str">
        <f t="shared" si="380"/>
        <v>3C</v>
      </c>
      <c r="S227" s="131"/>
      <c r="T227" s="131"/>
      <c r="V227" s="72"/>
      <c r="W227" s="72"/>
    </row>
    <row r="228" spans="2:23" ht="16.5" customHeight="1">
      <c r="B228" s="14" t="s">
        <v>1867</v>
      </c>
      <c r="C228" s="14" t="str">
        <f t="shared" si="370"/>
        <v>FF02E03C000220</v>
      </c>
      <c r="D228" s="67" t="s">
        <v>17</v>
      </c>
      <c r="E228" s="67" t="s">
        <v>15</v>
      </c>
      <c r="F228" s="67" t="s">
        <v>1331</v>
      </c>
      <c r="G228" s="67" t="s">
        <v>16</v>
      </c>
      <c r="H228" s="67" t="s">
        <v>17</v>
      </c>
      <c r="I228" s="14" t="str">
        <f t="shared" si="371"/>
        <v>20</v>
      </c>
      <c r="J228" s="15">
        <f t="shared" si="372"/>
        <v>2</v>
      </c>
      <c r="K228" s="15">
        <f t="shared" si="373"/>
        <v>224</v>
      </c>
      <c r="L228" s="15">
        <f t="shared" si="374"/>
        <v>60</v>
      </c>
      <c r="M228" s="15">
        <f t="shared" si="375"/>
        <v>0</v>
      </c>
      <c r="N228" s="15">
        <f t="shared" si="376"/>
        <v>2</v>
      </c>
      <c r="O228" s="15">
        <f t="shared" si="377"/>
        <v>288</v>
      </c>
      <c r="P228" s="15" t="str">
        <f t="shared" si="378"/>
        <v>20</v>
      </c>
      <c r="Q228" s="15">
        <f t="shared" si="379"/>
        <v>574</v>
      </c>
      <c r="R228" s="15" t="str">
        <f t="shared" si="380"/>
        <v>3E</v>
      </c>
      <c r="S228" s="131"/>
      <c r="T228" s="131"/>
      <c r="V228" s="72"/>
      <c r="W228" s="72"/>
    </row>
    <row r="229" spans="2:23" ht="16.5" customHeight="1">
      <c r="B229" s="14" t="s">
        <v>1868</v>
      </c>
      <c r="C229" s="14" t="str">
        <f t="shared" si="370"/>
        <v>FF02E03C000321</v>
      </c>
      <c r="D229" s="67" t="s">
        <v>17</v>
      </c>
      <c r="E229" s="67" t="s">
        <v>15</v>
      </c>
      <c r="F229" s="67" t="s">
        <v>1331</v>
      </c>
      <c r="G229" s="67" t="s">
        <v>16</v>
      </c>
      <c r="H229" s="67" t="s">
        <v>91</v>
      </c>
      <c r="I229" s="14" t="str">
        <f t="shared" si="371"/>
        <v>21</v>
      </c>
      <c r="J229" s="15">
        <f t="shared" si="372"/>
        <v>2</v>
      </c>
      <c r="K229" s="15">
        <f t="shared" si="373"/>
        <v>224</v>
      </c>
      <c r="L229" s="15">
        <f t="shared" si="374"/>
        <v>60</v>
      </c>
      <c r="M229" s="15">
        <f t="shared" si="375"/>
        <v>0</v>
      </c>
      <c r="N229" s="15">
        <f t="shared" si="376"/>
        <v>3</v>
      </c>
      <c r="O229" s="15">
        <f t="shared" si="377"/>
        <v>289</v>
      </c>
      <c r="P229" s="15" t="str">
        <f t="shared" si="378"/>
        <v>21</v>
      </c>
      <c r="Q229" s="15">
        <f t="shared" si="379"/>
        <v>576</v>
      </c>
      <c r="R229" s="15" t="str">
        <f t="shared" si="380"/>
        <v>40</v>
      </c>
      <c r="S229" s="131"/>
      <c r="T229" s="131"/>
      <c r="V229" s="72"/>
      <c r="W229" s="72"/>
    </row>
    <row r="230" spans="2:23" ht="16.5" customHeight="1">
      <c r="B230" s="14" t="s">
        <v>1869</v>
      </c>
      <c r="C230" s="14" t="str">
        <f t="shared" si="370"/>
        <v>FF02E03E000020</v>
      </c>
      <c r="D230" s="67" t="s">
        <v>17</v>
      </c>
      <c r="E230" s="67" t="s">
        <v>15</v>
      </c>
      <c r="F230" s="67" t="s">
        <v>1880</v>
      </c>
      <c r="G230" s="67" t="s">
        <v>16</v>
      </c>
      <c r="H230" s="67" t="s">
        <v>16</v>
      </c>
      <c r="I230" s="14" t="str">
        <f t="shared" si="371"/>
        <v>20</v>
      </c>
      <c r="J230" s="15">
        <f t="shared" si="372"/>
        <v>2</v>
      </c>
      <c r="K230" s="15">
        <f t="shared" si="373"/>
        <v>224</v>
      </c>
      <c r="L230" s="15">
        <f t="shared" si="374"/>
        <v>62</v>
      </c>
      <c r="M230" s="15">
        <f t="shared" si="375"/>
        <v>0</v>
      </c>
      <c r="N230" s="15">
        <f t="shared" si="376"/>
        <v>0</v>
      </c>
      <c r="O230" s="15">
        <f t="shared" si="377"/>
        <v>288</v>
      </c>
      <c r="P230" s="15" t="str">
        <f t="shared" si="378"/>
        <v>20</v>
      </c>
      <c r="Q230" s="15">
        <f t="shared" si="379"/>
        <v>574</v>
      </c>
      <c r="R230" s="15" t="str">
        <f t="shared" si="380"/>
        <v>3E</v>
      </c>
      <c r="S230" s="131"/>
      <c r="T230" s="131"/>
      <c r="V230" s="72"/>
      <c r="W230" s="72"/>
    </row>
    <row r="231" spans="2:23" ht="16.5" customHeight="1">
      <c r="B231" s="14" t="s">
        <v>1870</v>
      </c>
      <c r="C231" s="14" t="str">
        <f t="shared" si="370"/>
        <v>FF02E03F000021</v>
      </c>
      <c r="D231" s="67" t="s">
        <v>17</v>
      </c>
      <c r="E231" s="67" t="s">
        <v>15</v>
      </c>
      <c r="F231" s="67" t="s">
        <v>1395</v>
      </c>
      <c r="G231" s="67" t="s">
        <v>16</v>
      </c>
      <c r="H231" s="67" t="s">
        <v>16</v>
      </c>
      <c r="I231" s="14" t="str">
        <f t="shared" si="371"/>
        <v>21</v>
      </c>
      <c r="J231" s="15">
        <f t="shared" si="372"/>
        <v>2</v>
      </c>
      <c r="K231" s="15">
        <f t="shared" si="373"/>
        <v>224</v>
      </c>
      <c r="L231" s="15">
        <f t="shared" si="374"/>
        <v>63</v>
      </c>
      <c r="M231" s="15">
        <f t="shared" si="375"/>
        <v>0</v>
      </c>
      <c r="N231" s="15">
        <f t="shared" si="376"/>
        <v>0</v>
      </c>
      <c r="O231" s="15">
        <f t="shared" si="377"/>
        <v>289</v>
      </c>
      <c r="P231" s="15" t="str">
        <f t="shared" si="378"/>
        <v>21</v>
      </c>
      <c r="Q231" s="15">
        <f t="shared" si="379"/>
        <v>576</v>
      </c>
      <c r="R231" s="15" t="str">
        <f t="shared" si="380"/>
        <v>40</v>
      </c>
      <c r="S231" s="131"/>
      <c r="T231" s="131"/>
      <c r="V231" s="72"/>
      <c r="W231" s="72"/>
    </row>
    <row r="232" spans="2:23" s="127" customFormat="1" ht="16.5" customHeight="1">
      <c r="B232" s="124" t="s">
        <v>1970</v>
      </c>
      <c r="C232" s="124" t="s">
        <v>1624</v>
      </c>
      <c r="D232" s="125" t="s">
        <v>17</v>
      </c>
      <c r="E232" s="125"/>
      <c r="F232" s="125"/>
      <c r="G232" s="125"/>
      <c r="H232" s="125"/>
      <c r="I232" s="124" t="str">
        <f t="shared" si="371"/>
        <v>02</v>
      </c>
      <c r="J232" s="126">
        <f t="shared" si="372"/>
        <v>2</v>
      </c>
      <c r="K232" s="126">
        <f t="shared" si="373"/>
        <v>0</v>
      </c>
      <c r="L232" s="126">
        <f t="shared" si="374"/>
        <v>0</v>
      </c>
      <c r="M232" s="126">
        <f t="shared" si="375"/>
        <v>0</v>
      </c>
      <c r="N232" s="126">
        <f t="shared" si="376"/>
        <v>0</v>
      </c>
      <c r="O232" s="126">
        <f t="shared" si="377"/>
        <v>2</v>
      </c>
      <c r="P232" s="126" t="str">
        <f t="shared" si="378"/>
        <v>02</v>
      </c>
      <c r="Q232" s="126">
        <f t="shared" si="379"/>
        <v>2</v>
      </c>
      <c r="R232" s="126" t="str">
        <f t="shared" si="380"/>
        <v>02</v>
      </c>
      <c r="S232" s="130"/>
      <c r="T232" s="130"/>
      <c r="V232" s="128"/>
      <c r="W232" s="128"/>
    </row>
    <row r="233" spans="2:23" s="138" customFormat="1" ht="16.5" customHeight="1">
      <c r="B233" s="134" t="s">
        <v>1926</v>
      </c>
      <c r="C233" s="134" t="str">
        <f t="shared" si="370"/>
        <v>FF02E1A0000083</v>
      </c>
      <c r="D233" s="135" t="s">
        <v>17</v>
      </c>
      <c r="E233" s="135" t="s">
        <v>161</v>
      </c>
      <c r="F233" s="135" t="s">
        <v>23</v>
      </c>
      <c r="G233" s="135" t="s">
        <v>16</v>
      </c>
      <c r="H233" s="135" t="s">
        <v>16</v>
      </c>
      <c r="I233" s="134" t="str">
        <f t="shared" si="371"/>
        <v>83</v>
      </c>
      <c r="J233" s="136">
        <f t="shared" si="372"/>
        <v>2</v>
      </c>
      <c r="K233" s="136">
        <f t="shared" si="373"/>
        <v>225</v>
      </c>
      <c r="L233" s="136">
        <f t="shared" si="374"/>
        <v>160</v>
      </c>
      <c r="M233" s="136">
        <f t="shared" si="375"/>
        <v>0</v>
      </c>
      <c r="N233" s="136">
        <f t="shared" si="376"/>
        <v>0</v>
      </c>
      <c r="O233" s="136">
        <f t="shared" si="377"/>
        <v>387</v>
      </c>
      <c r="P233" s="136" t="str">
        <f t="shared" si="378"/>
        <v>83</v>
      </c>
      <c r="Q233" s="136">
        <f t="shared" si="379"/>
        <v>772</v>
      </c>
      <c r="R233" s="136" t="str">
        <f t="shared" si="380"/>
        <v>04</v>
      </c>
      <c r="S233" s="137"/>
      <c r="T233" s="137"/>
      <c r="V233" s="139"/>
      <c r="W233" s="139"/>
    </row>
    <row r="234" spans="2:23" ht="25.5">
      <c r="B234" s="14" t="s">
        <v>1927</v>
      </c>
      <c r="C234" s="14" t="str">
        <f t="shared" si="370"/>
        <v>FF02E0A1000083</v>
      </c>
      <c r="D234" s="67" t="s">
        <v>17</v>
      </c>
      <c r="E234" s="67" t="s">
        <v>15</v>
      </c>
      <c r="F234" s="67" t="s">
        <v>80</v>
      </c>
      <c r="G234" s="67" t="s">
        <v>16</v>
      </c>
      <c r="H234" s="67" t="s">
        <v>16</v>
      </c>
      <c r="I234" s="14" t="str">
        <f t="shared" si="371"/>
        <v>83</v>
      </c>
      <c r="J234" s="15">
        <f t="shared" si="372"/>
        <v>2</v>
      </c>
      <c r="K234" s="15">
        <f t="shared" si="373"/>
        <v>224</v>
      </c>
      <c r="L234" s="15">
        <f t="shared" si="374"/>
        <v>161</v>
      </c>
      <c r="M234" s="15">
        <f t="shared" si="375"/>
        <v>0</v>
      </c>
      <c r="N234" s="15">
        <f t="shared" si="376"/>
        <v>0</v>
      </c>
      <c r="O234" s="15">
        <f t="shared" si="377"/>
        <v>387</v>
      </c>
      <c r="P234" s="15" t="str">
        <f t="shared" si="378"/>
        <v>83</v>
      </c>
      <c r="Q234" s="15">
        <f t="shared" si="379"/>
        <v>772</v>
      </c>
      <c r="R234" s="15" t="str">
        <f t="shared" si="380"/>
        <v>04</v>
      </c>
      <c r="S234" s="131"/>
      <c r="T234" s="131"/>
      <c r="V234" s="72"/>
      <c r="W234" s="72"/>
    </row>
    <row r="235" spans="2:23" ht="25.5">
      <c r="B235" s="14" t="s">
        <v>1928</v>
      </c>
      <c r="C235" s="14" t="str">
        <f t="shared" si="370"/>
        <v>FF02E0A1007F02</v>
      </c>
      <c r="D235" s="67" t="s">
        <v>17</v>
      </c>
      <c r="E235" s="67" t="s">
        <v>15</v>
      </c>
      <c r="F235" s="67" t="s">
        <v>80</v>
      </c>
      <c r="G235" s="67" t="s">
        <v>16</v>
      </c>
      <c r="H235" s="67" t="s">
        <v>1394</v>
      </c>
      <c r="I235" s="14" t="str">
        <f t="shared" si="371"/>
        <v>02</v>
      </c>
      <c r="J235" s="15">
        <f t="shared" si="372"/>
        <v>2</v>
      </c>
      <c r="K235" s="15">
        <f t="shared" si="373"/>
        <v>224</v>
      </c>
      <c r="L235" s="15">
        <f t="shared" si="374"/>
        <v>161</v>
      </c>
      <c r="M235" s="15">
        <f t="shared" si="375"/>
        <v>0</v>
      </c>
      <c r="N235" s="15">
        <f t="shared" si="376"/>
        <v>127</v>
      </c>
      <c r="O235" s="15">
        <f t="shared" si="377"/>
        <v>514</v>
      </c>
      <c r="P235" s="15" t="str">
        <f t="shared" si="378"/>
        <v>02</v>
      </c>
      <c r="Q235" s="15">
        <f t="shared" si="379"/>
        <v>1026</v>
      </c>
      <c r="R235" s="15" t="str">
        <f t="shared" si="380"/>
        <v>02</v>
      </c>
      <c r="S235" s="131"/>
      <c r="T235" s="131"/>
      <c r="V235" s="72"/>
      <c r="W235" s="72"/>
    </row>
    <row r="236" spans="2:23" ht="25.5">
      <c r="B236" s="14" t="s">
        <v>1929</v>
      </c>
      <c r="C236" s="14" t="str">
        <f t="shared" si="370"/>
        <v>FF02E0A100FF82</v>
      </c>
      <c r="D236" s="67" t="s">
        <v>17</v>
      </c>
      <c r="E236" s="67" t="s">
        <v>15</v>
      </c>
      <c r="F236" s="67" t="s">
        <v>80</v>
      </c>
      <c r="G236" s="67" t="s">
        <v>16</v>
      </c>
      <c r="H236" s="67" t="s">
        <v>9</v>
      </c>
      <c r="I236" s="14" t="str">
        <f t="shared" si="371"/>
        <v>82</v>
      </c>
      <c r="J236" s="15">
        <f t="shared" si="372"/>
        <v>2</v>
      </c>
      <c r="K236" s="15">
        <f t="shared" si="373"/>
        <v>224</v>
      </c>
      <c r="L236" s="15">
        <f t="shared" si="374"/>
        <v>161</v>
      </c>
      <c r="M236" s="15">
        <f t="shared" si="375"/>
        <v>0</v>
      </c>
      <c r="N236" s="15">
        <f t="shared" si="376"/>
        <v>255</v>
      </c>
      <c r="O236" s="15">
        <f t="shared" si="377"/>
        <v>642</v>
      </c>
      <c r="P236" s="15" t="str">
        <f t="shared" si="378"/>
        <v>82</v>
      </c>
      <c r="Q236" s="15">
        <f t="shared" si="379"/>
        <v>1282</v>
      </c>
      <c r="R236" s="15" t="str">
        <f t="shared" si="380"/>
        <v>02</v>
      </c>
      <c r="S236" s="131"/>
      <c r="T236" s="131"/>
      <c r="V236" s="72"/>
      <c r="W236" s="72"/>
    </row>
    <row r="237" spans="2:23" ht="16.5" customHeight="1">
      <c r="B237" s="14" t="s">
        <v>1930</v>
      </c>
      <c r="C237" s="14" t="str">
        <f t="shared" si="370"/>
        <v>FF02E0A2000084</v>
      </c>
      <c r="D237" s="67" t="s">
        <v>17</v>
      </c>
      <c r="E237" s="67" t="s">
        <v>15</v>
      </c>
      <c r="F237" s="67" t="s">
        <v>1971</v>
      </c>
      <c r="G237" s="67" t="s">
        <v>16</v>
      </c>
      <c r="H237" s="67" t="s">
        <v>16</v>
      </c>
      <c r="I237" s="14" t="str">
        <f t="shared" si="371"/>
        <v>84</v>
      </c>
      <c r="J237" s="15">
        <f t="shared" si="372"/>
        <v>2</v>
      </c>
      <c r="K237" s="15">
        <f t="shared" si="373"/>
        <v>224</v>
      </c>
      <c r="L237" s="15">
        <f t="shared" si="374"/>
        <v>162</v>
      </c>
      <c r="M237" s="15">
        <f t="shared" si="375"/>
        <v>0</v>
      </c>
      <c r="N237" s="15">
        <f t="shared" si="376"/>
        <v>0</v>
      </c>
      <c r="O237" s="15">
        <f t="shared" si="377"/>
        <v>388</v>
      </c>
      <c r="P237" s="15" t="str">
        <f t="shared" si="378"/>
        <v>84</v>
      </c>
      <c r="Q237" s="15">
        <f t="shared" si="379"/>
        <v>774</v>
      </c>
      <c r="R237" s="15" t="str">
        <f t="shared" si="380"/>
        <v>06</v>
      </c>
      <c r="S237" s="131"/>
      <c r="T237" s="131"/>
      <c r="V237" s="72"/>
      <c r="W237" s="72"/>
    </row>
    <row r="238" spans="2:23" ht="25.5">
      <c r="B238" s="14" t="s">
        <v>1931</v>
      </c>
      <c r="C238" s="14" t="str">
        <f t="shared" si="370"/>
        <v>FF02E0A2007F03</v>
      </c>
      <c r="D238" s="67" t="s">
        <v>17</v>
      </c>
      <c r="E238" s="67" t="s">
        <v>15</v>
      </c>
      <c r="F238" s="67" t="s">
        <v>1971</v>
      </c>
      <c r="G238" s="67" t="s">
        <v>16</v>
      </c>
      <c r="H238" s="67" t="s">
        <v>1394</v>
      </c>
      <c r="I238" s="14" t="str">
        <f t="shared" si="371"/>
        <v>03</v>
      </c>
      <c r="J238" s="15">
        <f t="shared" si="372"/>
        <v>2</v>
      </c>
      <c r="K238" s="15">
        <f t="shared" si="373"/>
        <v>224</v>
      </c>
      <c r="L238" s="15">
        <f t="shared" si="374"/>
        <v>162</v>
      </c>
      <c r="M238" s="15">
        <f t="shared" si="375"/>
        <v>0</v>
      </c>
      <c r="N238" s="15">
        <f t="shared" si="376"/>
        <v>127</v>
      </c>
      <c r="O238" s="15">
        <f t="shared" si="377"/>
        <v>515</v>
      </c>
      <c r="P238" s="15" t="str">
        <f t="shared" si="378"/>
        <v>03</v>
      </c>
      <c r="Q238" s="15">
        <f t="shared" si="379"/>
        <v>1028</v>
      </c>
      <c r="R238" s="15" t="str">
        <f t="shared" si="380"/>
        <v>04</v>
      </c>
      <c r="S238" s="131"/>
      <c r="T238" s="131"/>
      <c r="V238" s="72"/>
      <c r="W238" s="72"/>
    </row>
    <row r="239" spans="2:23" ht="25.5">
      <c r="B239" s="14" t="s">
        <v>1932</v>
      </c>
      <c r="C239" s="14" t="str">
        <f t="shared" si="370"/>
        <v>FF02E0A200FF83</v>
      </c>
      <c r="D239" s="67" t="s">
        <v>17</v>
      </c>
      <c r="E239" s="67" t="s">
        <v>15</v>
      </c>
      <c r="F239" s="67" t="s">
        <v>1971</v>
      </c>
      <c r="G239" s="67" t="s">
        <v>16</v>
      </c>
      <c r="H239" s="67" t="s">
        <v>9</v>
      </c>
      <c r="I239" s="14" t="str">
        <f t="shared" si="371"/>
        <v>83</v>
      </c>
      <c r="J239" s="15">
        <f t="shared" si="372"/>
        <v>2</v>
      </c>
      <c r="K239" s="15">
        <f t="shared" si="373"/>
        <v>224</v>
      </c>
      <c r="L239" s="15">
        <f t="shared" si="374"/>
        <v>162</v>
      </c>
      <c r="M239" s="15">
        <f t="shared" si="375"/>
        <v>0</v>
      </c>
      <c r="N239" s="15">
        <f t="shared" si="376"/>
        <v>255</v>
      </c>
      <c r="O239" s="15">
        <f t="shared" si="377"/>
        <v>643</v>
      </c>
      <c r="P239" s="15" t="str">
        <f t="shared" si="378"/>
        <v>83</v>
      </c>
      <c r="Q239" s="15">
        <f t="shared" si="379"/>
        <v>1284</v>
      </c>
      <c r="R239" s="15" t="str">
        <f t="shared" si="380"/>
        <v>04</v>
      </c>
      <c r="S239" s="131"/>
      <c r="T239" s="131"/>
      <c r="V239" s="72"/>
      <c r="W239" s="72"/>
    </row>
    <row r="240" spans="2:23" ht="16.5" customHeight="1">
      <c r="B240" s="14" t="s">
        <v>1933</v>
      </c>
      <c r="C240" s="14" t="str">
        <f t="shared" si="370"/>
        <v>FF02E0A3000085</v>
      </c>
      <c r="D240" s="67" t="s">
        <v>17</v>
      </c>
      <c r="E240" s="67" t="s">
        <v>15</v>
      </c>
      <c r="F240" s="67" t="s">
        <v>1972</v>
      </c>
      <c r="G240" s="67" t="s">
        <v>16</v>
      </c>
      <c r="H240" s="67" t="s">
        <v>16</v>
      </c>
      <c r="I240" s="14" t="str">
        <f t="shared" si="371"/>
        <v>85</v>
      </c>
      <c r="J240" s="15">
        <f t="shared" si="372"/>
        <v>2</v>
      </c>
      <c r="K240" s="15">
        <f t="shared" si="373"/>
        <v>224</v>
      </c>
      <c r="L240" s="15">
        <f t="shared" si="374"/>
        <v>163</v>
      </c>
      <c r="M240" s="15">
        <f t="shared" si="375"/>
        <v>0</v>
      </c>
      <c r="N240" s="15">
        <f t="shared" si="376"/>
        <v>0</v>
      </c>
      <c r="O240" s="15">
        <f t="shared" si="377"/>
        <v>389</v>
      </c>
      <c r="P240" s="15" t="str">
        <f t="shared" si="378"/>
        <v>85</v>
      </c>
      <c r="Q240" s="15">
        <f t="shared" si="379"/>
        <v>776</v>
      </c>
      <c r="R240" s="15" t="str">
        <f t="shared" si="380"/>
        <v>08</v>
      </c>
      <c r="S240" s="131"/>
      <c r="T240" s="131"/>
      <c r="V240" s="72"/>
      <c r="W240" s="72"/>
    </row>
    <row r="241" spans="2:23" ht="16.5" customHeight="1">
      <c r="B241" s="14" t="s">
        <v>1934</v>
      </c>
      <c r="C241" s="14" t="str">
        <f t="shared" si="370"/>
        <v>FF02E0A3007F04</v>
      </c>
      <c r="D241" s="67" t="s">
        <v>17</v>
      </c>
      <c r="E241" s="67" t="s">
        <v>15</v>
      </c>
      <c r="F241" s="67" t="s">
        <v>1972</v>
      </c>
      <c r="G241" s="67" t="s">
        <v>16</v>
      </c>
      <c r="H241" s="67" t="s">
        <v>1394</v>
      </c>
      <c r="I241" s="14" t="str">
        <f t="shared" si="371"/>
        <v>04</v>
      </c>
      <c r="J241" s="15">
        <f t="shared" si="372"/>
        <v>2</v>
      </c>
      <c r="K241" s="15">
        <f t="shared" si="373"/>
        <v>224</v>
      </c>
      <c r="L241" s="15">
        <f t="shared" si="374"/>
        <v>163</v>
      </c>
      <c r="M241" s="15">
        <f t="shared" si="375"/>
        <v>0</v>
      </c>
      <c r="N241" s="15">
        <f t="shared" si="376"/>
        <v>127</v>
      </c>
      <c r="O241" s="15">
        <f t="shared" si="377"/>
        <v>516</v>
      </c>
      <c r="P241" s="15" t="str">
        <f t="shared" si="378"/>
        <v>04</v>
      </c>
      <c r="Q241" s="15">
        <f t="shared" si="379"/>
        <v>1030</v>
      </c>
      <c r="R241" s="15" t="str">
        <f t="shared" si="380"/>
        <v>06</v>
      </c>
      <c r="S241" s="131"/>
      <c r="T241" s="131"/>
      <c r="V241" s="72"/>
      <c r="W241" s="72"/>
    </row>
    <row r="242" spans="2:23" ht="16.5" customHeight="1">
      <c r="B242" s="14" t="s">
        <v>1935</v>
      </c>
      <c r="C242" s="14" t="str">
        <f t="shared" si="370"/>
        <v>FF02E0A300FF84</v>
      </c>
      <c r="D242" s="67" t="s">
        <v>17</v>
      </c>
      <c r="E242" s="67" t="s">
        <v>15</v>
      </c>
      <c r="F242" s="67" t="s">
        <v>1972</v>
      </c>
      <c r="G242" s="67" t="s">
        <v>16</v>
      </c>
      <c r="H242" s="67" t="s">
        <v>9</v>
      </c>
      <c r="I242" s="14" t="str">
        <f t="shared" si="371"/>
        <v>84</v>
      </c>
      <c r="J242" s="15">
        <f t="shared" si="372"/>
        <v>2</v>
      </c>
      <c r="K242" s="15">
        <f t="shared" si="373"/>
        <v>224</v>
      </c>
      <c r="L242" s="15">
        <f t="shared" si="374"/>
        <v>163</v>
      </c>
      <c r="M242" s="15">
        <f t="shared" si="375"/>
        <v>0</v>
      </c>
      <c r="N242" s="15">
        <f t="shared" si="376"/>
        <v>255</v>
      </c>
      <c r="O242" s="15">
        <f t="shared" si="377"/>
        <v>644</v>
      </c>
      <c r="P242" s="15" t="str">
        <f t="shared" si="378"/>
        <v>84</v>
      </c>
      <c r="Q242" s="15">
        <f t="shared" si="379"/>
        <v>1286</v>
      </c>
      <c r="R242" s="15" t="str">
        <f t="shared" si="380"/>
        <v>06</v>
      </c>
      <c r="S242" s="131"/>
      <c r="T242" s="131"/>
      <c r="V242" s="72"/>
      <c r="W242" s="72"/>
    </row>
    <row r="243" spans="2:23" ht="16.5" customHeight="1">
      <c r="B243" s="14" t="s">
        <v>1936</v>
      </c>
      <c r="C243" s="14" t="str">
        <f t="shared" si="370"/>
        <v>FF02E0A4000086</v>
      </c>
      <c r="D243" s="67" t="s">
        <v>17</v>
      </c>
      <c r="E243" s="67" t="s">
        <v>15</v>
      </c>
      <c r="F243" s="67" t="s">
        <v>1973</v>
      </c>
      <c r="G243" s="67" t="s">
        <v>16</v>
      </c>
      <c r="H243" s="67" t="s">
        <v>16</v>
      </c>
      <c r="I243" s="14" t="str">
        <f t="shared" si="371"/>
        <v>86</v>
      </c>
      <c r="J243" s="15">
        <f t="shared" si="372"/>
        <v>2</v>
      </c>
      <c r="K243" s="15">
        <f t="shared" si="373"/>
        <v>224</v>
      </c>
      <c r="L243" s="15">
        <f t="shared" si="374"/>
        <v>164</v>
      </c>
      <c r="M243" s="15">
        <f t="shared" si="375"/>
        <v>0</v>
      </c>
      <c r="N243" s="15">
        <f t="shared" si="376"/>
        <v>0</v>
      </c>
      <c r="O243" s="15">
        <f t="shared" si="377"/>
        <v>390</v>
      </c>
      <c r="P243" s="15" t="str">
        <f t="shared" si="378"/>
        <v>86</v>
      </c>
      <c r="Q243" s="15">
        <f t="shared" si="379"/>
        <v>778</v>
      </c>
      <c r="R243" s="15" t="str">
        <f t="shared" si="380"/>
        <v>0A</v>
      </c>
      <c r="S243" s="131"/>
      <c r="T243" s="131"/>
      <c r="V243" s="72"/>
      <c r="W243" s="72"/>
    </row>
    <row r="244" spans="2:23" ht="16.5" customHeight="1">
      <c r="B244" s="14" t="s">
        <v>1937</v>
      </c>
      <c r="C244" s="14" t="str">
        <f t="shared" si="370"/>
        <v>FF02E0A4007F05</v>
      </c>
      <c r="D244" s="67" t="s">
        <v>17</v>
      </c>
      <c r="E244" s="67" t="s">
        <v>15</v>
      </c>
      <c r="F244" s="67" t="s">
        <v>1973</v>
      </c>
      <c r="G244" s="67" t="s">
        <v>16</v>
      </c>
      <c r="H244" s="67" t="s">
        <v>1394</v>
      </c>
      <c r="I244" s="14" t="str">
        <f t="shared" si="371"/>
        <v>05</v>
      </c>
      <c r="J244" s="15">
        <f t="shared" si="372"/>
        <v>2</v>
      </c>
      <c r="K244" s="15">
        <f t="shared" si="373"/>
        <v>224</v>
      </c>
      <c r="L244" s="15">
        <f t="shared" si="374"/>
        <v>164</v>
      </c>
      <c r="M244" s="15">
        <f t="shared" si="375"/>
        <v>0</v>
      </c>
      <c r="N244" s="15">
        <f t="shared" si="376"/>
        <v>127</v>
      </c>
      <c r="O244" s="15">
        <f t="shared" si="377"/>
        <v>517</v>
      </c>
      <c r="P244" s="15" t="str">
        <f t="shared" si="378"/>
        <v>05</v>
      </c>
      <c r="Q244" s="15">
        <f t="shared" si="379"/>
        <v>1032</v>
      </c>
      <c r="R244" s="15" t="str">
        <f t="shared" si="380"/>
        <v>08</v>
      </c>
      <c r="S244" s="131"/>
      <c r="T244" s="131"/>
      <c r="V244" s="72"/>
      <c r="W244" s="72"/>
    </row>
    <row r="245" spans="2:23" ht="16.5" customHeight="1">
      <c r="B245" s="14" t="s">
        <v>1938</v>
      </c>
      <c r="C245" s="14" t="str">
        <f t="shared" si="370"/>
        <v>FF02E0A400FF85</v>
      </c>
      <c r="D245" s="67" t="s">
        <v>17</v>
      </c>
      <c r="E245" s="67" t="s">
        <v>15</v>
      </c>
      <c r="F245" s="67" t="s">
        <v>1973</v>
      </c>
      <c r="G245" s="67" t="s">
        <v>16</v>
      </c>
      <c r="H245" s="67" t="s">
        <v>9</v>
      </c>
      <c r="I245" s="14" t="str">
        <f t="shared" si="371"/>
        <v>85</v>
      </c>
      <c r="J245" s="15">
        <f t="shared" si="372"/>
        <v>2</v>
      </c>
      <c r="K245" s="15">
        <f t="shared" si="373"/>
        <v>224</v>
      </c>
      <c r="L245" s="15">
        <f t="shared" si="374"/>
        <v>164</v>
      </c>
      <c r="M245" s="15">
        <f t="shared" si="375"/>
        <v>0</v>
      </c>
      <c r="N245" s="15">
        <f t="shared" si="376"/>
        <v>255</v>
      </c>
      <c r="O245" s="15">
        <f t="shared" si="377"/>
        <v>645</v>
      </c>
      <c r="P245" s="15" t="str">
        <f t="shared" si="378"/>
        <v>85</v>
      </c>
      <c r="Q245" s="15">
        <f t="shared" si="379"/>
        <v>1288</v>
      </c>
      <c r="R245" s="15" t="str">
        <f t="shared" si="380"/>
        <v>08</v>
      </c>
      <c r="S245" s="131"/>
      <c r="T245" s="131"/>
      <c r="V245" s="72"/>
      <c r="W245" s="72"/>
    </row>
    <row r="246" spans="2:23" ht="16.5" customHeight="1">
      <c r="B246" s="14" t="s">
        <v>1939</v>
      </c>
      <c r="C246" s="14" t="str">
        <f t="shared" si="370"/>
        <v>FF02E0A5000087</v>
      </c>
      <c r="D246" s="67" t="s">
        <v>17</v>
      </c>
      <c r="E246" s="67" t="s">
        <v>15</v>
      </c>
      <c r="F246" s="67" t="s">
        <v>1974</v>
      </c>
      <c r="G246" s="67" t="s">
        <v>16</v>
      </c>
      <c r="H246" s="67" t="s">
        <v>16</v>
      </c>
      <c r="I246" s="14" t="str">
        <f t="shared" si="371"/>
        <v>87</v>
      </c>
      <c r="J246" s="15">
        <f t="shared" si="372"/>
        <v>2</v>
      </c>
      <c r="K246" s="15">
        <f t="shared" si="373"/>
        <v>224</v>
      </c>
      <c r="L246" s="15">
        <f t="shared" si="374"/>
        <v>165</v>
      </c>
      <c r="M246" s="15">
        <f t="shared" si="375"/>
        <v>0</v>
      </c>
      <c r="N246" s="15">
        <f t="shared" si="376"/>
        <v>0</v>
      </c>
      <c r="O246" s="15">
        <f t="shared" si="377"/>
        <v>391</v>
      </c>
      <c r="P246" s="15" t="str">
        <f t="shared" si="378"/>
        <v>87</v>
      </c>
      <c r="Q246" s="15">
        <f t="shared" si="379"/>
        <v>780</v>
      </c>
      <c r="R246" s="15" t="str">
        <f t="shared" si="380"/>
        <v>0C</v>
      </c>
      <c r="S246" s="131"/>
      <c r="T246" s="131"/>
      <c r="V246" s="72"/>
      <c r="W246" s="72"/>
    </row>
    <row r="247" spans="2:23" ht="16.5" customHeight="1">
      <c r="B247" s="14" t="s">
        <v>1940</v>
      </c>
      <c r="C247" s="14" t="str">
        <f t="shared" ref="C247:C264" si="381">"FF"&amp;D247&amp;E247&amp;""&amp;F247&amp;G247&amp;H247&amp;I247</f>
        <v>FF02E0A50032B9</v>
      </c>
      <c r="D247" s="67" t="s">
        <v>17</v>
      </c>
      <c r="E247" s="67" t="s">
        <v>15</v>
      </c>
      <c r="F247" s="67" t="s">
        <v>1974</v>
      </c>
      <c r="G247" s="67" t="s">
        <v>16</v>
      </c>
      <c r="H247" s="67" t="s">
        <v>1336</v>
      </c>
      <c r="I247" s="14" t="str">
        <f t="shared" ref="I247:I264" si="382">P247</f>
        <v>B9</v>
      </c>
      <c r="J247" s="15">
        <f t="shared" ref="J247:J264" si="383">HEX2DEC(D247)</f>
        <v>2</v>
      </c>
      <c r="K247" s="15">
        <f t="shared" ref="K247:K264" si="384">HEX2DEC(E247)</f>
        <v>224</v>
      </c>
      <c r="L247" s="15">
        <f t="shared" ref="L247:L264" si="385">HEX2DEC(F247)</f>
        <v>165</v>
      </c>
      <c r="M247" s="15">
        <f t="shared" ref="M247:M264" si="386">HEX2DEC(G247)</f>
        <v>0</v>
      </c>
      <c r="N247" s="15">
        <f t="shared" ref="N247:N264" si="387">HEX2DEC(H247)</f>
        <v>50</v>
      </c>
      <c r="O247" s="15">
        <f t="shared" ref="O247:O264" si="388">SUM(J247:N247)</f>
        <v>441</v>
      </c>
      <c r="P247" s="15" t="str">
        <f t="shared" ref="P247:P264" si="389">REPT("0",2-LEN(RIGHT(DEC2HEX(O247), 2)))&amp;RIGHT(DEC2HEX(O247), 2)</f>
        <v>B9</v>
      </c>
      <c r="Q247" s="15">
        <f t="shared" ref="Q247:Q264" si="390">SUM(K247:P247)</f>
        <v>880</v>
      </c>
      <c r="R247" s="15" t="str">
        <f t="shared" ref="R247:R264" si="391">REPT("0",2-LEN(RIGHT(DEC2HEX(Q247), 2)))&amp;RIGHT(DEC2HEX(Q247), 2)</f>
        <v>70</v>
      </c>
      <c r="S247" s="131"/>
      <c r="T247" s="131"/>
      <c r="V247" s="72"/>
      <c r="W247" s="72"/>
    </row>
    <row r="248" spans="2:23" ht="25.5">
      <c r="B248" s="14" t="s">
        <v>1941</v>
      </c>
      <c r="C248" s="14" t="str">
        <f t="shared" si="381"/>
        <v>FF02E0A50064EB</v>
      </c>
      <c r="D248" s="67" t="s">
        <v>17</v>
      </c>
      <c r="E248" s="67" t="s">
        <v>15</v>
      </c>
      <c r="F248" s="67" t="s">
        <v>1974</v>
      </c>
      <c r="G248" s="67" t="s">
        <v>16</v>
      </c>
      <c r="H248" s="67" t="s">
        <v>128</v>
      </c>
      <c r="I248" s="14" t="str">
        <f t="shared" si="382"/>
        <v>EB</v>
      </c>
      <c r="J248" s="15">
        <f t="shared" si="383"/>
        <v>2</v>
      </c>
      <c r="K248" s="15">
        <f t="shared" si="384"/>
        <v>224</v>
      </c>
      <c r="L248" s="15">
        <f t="shared" si="385"/>
        <v>165</v>
      </c>
      <c r="M248" s="15">
        <f t="shared" si="386"/>
        <v>0</v>
      </c>
      <c r="N248" s="15">
        <f t="shared" si="387"/>
        <v>100</v>
      </c>
      <c r="O248" s="15">
        <f t="shared" si="388"/>
        <v>491</v>
      </c>
      <c r="P248" s="15" t="str">
        <f t="shared" si="389"/>
        <v>EB</v>
      </c>
      <c r="Q248" s="15">
        <f t="shared" si="390"/>
        <v>980</v>
      </c>
      <c r="R248" s="15" t="str">
        <f t="shared" si="391"/>
        <v>D4</v>
      </c>
      <c r="S248" s="131"/>
      <c r="T248" s="131"/>
      <c r="V248" s="72"/>
      <c r="W248" s="72"/>
    </row>
    <row r="249" spans="2:23" ht="16.5" customHeight="1">
      <c r="B249" s="14" t="s">
        <v>1942</v>
      </c>
      <c r="C249" s="14" t="str">
        <f t="shared" si="381"/>
        <v>FF02E0A6000088</v>
      </c>
      <c r="D249" s="67" t="s">
        <v>17</v>
      </c>
      <c r="E249" s="67" t="s">
        <v>15</v>
      </c>
      <c r="F249" s="67" t="s">
        <v>1975</v>
      </c>
      <c r="G249" s="67" t="s">
        <v>16</v>
      </c>
      <c r="H249" s="67" t="s">
        <v>16</v>
      </c>
      <c r="I249" s="14" t="str">
        <f t="shared" si="382"/>
        <v>88</v>
      </c>
      <c r="J249" s="15">
        <f t="shared" si="383"/>
        <v>2</v>
      </c>
      <c r="K249" s="15">
        <f t="shared" si="384"/>
        <v>224</v>
      </c>
      <c r="L249" s="15">
        <f t="shared" si="385"/>
        <v>166</v>
      </c>
      <c r="M249" s="15">
        <f t="shared" si="386"/>
        <v>0</v>
      </c>
      <c r="N249" s="15">
        <f t="shared" si="387"/>
        <v>0</v>
      </c>
      <c r="O249" s="15">
        <f t="shared" si="388"/>
        <v>392</v>
      </c>
      <c r="P249" s="15" t="str">
        <f t="shared" si="389"/>
        <v>88</v>
      </c>
      <c r="Q249" s="15">
        <f t="shared" si="390"/>
        <v>782</v>
      </c>
      <c r="R249" s="15" t="str">
        <f t="shared" si="391"/>
        <v>0E</v>
      </c>
      <c r="S249" s="131"/>
      <c r="T249" s="131"/>
      <c r="V249" s="72"/>
      <c r="W249" s="72"/>
    </row>
    <row r="250" spans="2:23" ht="16.5" customHeight="1">
      <c r="B250" s="14" t="s">
        <v>1943</v>
      </c>
      <c r="C250" s="14" t="str">
        <f t="shared" si="381"/>
        <v>FF02E0A60032BA</v>
      </c>
      <c r="D250" s="67" t="s">
        <v>17</v>
      </c>
      <c r="E250" s="67" t="s">
        <v>15</v>
      </c>
      <c r="F250" s="67" t="s">
        <v>1975</v>
      </c>
      <c r="G250" s="67" t="s">
        <v>16</v>
      </c>
      <c r="H250" s="67" t="s">
        <v>1336</v>
      </c>
      <c r="I250" s="14" t="str">
        <f t="shared" si="382"/>
        <v>BA</v>
      </c>
      <c r="J250" s="15">
        <f t="shared" si="383"/>
        <v>2</v>
      </c>
      <c r="K250" s="15">
        <f t="shared" si="384"/>
        <v>224</v>
      </c>
      <c r="L250" s="15">
        <f t="shared" si="385"/>
        <v>166</v>
      </c>
      <c r="M250" s="15">
        <f t="shared" si="386"/>
        <v>0</v>
      </c>
      <c r="N250" s="15">
        <f t="shared" si="387"/>
        <v>50</v>
      </c>
      <c r="O250" s="15">
        <f t="shared" si="388"/>
        <v>442</v>
      </c>
      <c r="P250" s="15" t="str">
        <f t="shared" si="389"/>
        <v>BA</v>
      </c>
      <c r="Q250" s="15">
        <f t="shared" si="390"/>
        <v>882</v>
      </c>
      <c r="R250" s="15" t="str">
        <f t="shared" si="391"/>
        <v>72</v>
      </c>
      <c r="S250" s="131"/>
      <c r="T250" s="131"/>
      <c r="V250" s="72"/>
      <c r="W250" s="72"/>
    </row>
    <row r="251" spans="2:23" ht="25.5">
      <c r="B251" s="14" t="s">
        <v>1944</v>
      </c>
      <c r="C251" s="14" t="str">
        <f t="shared" si="381"/>
        <v>FF02E0A60064EC</v>
      </c>
      <c r="D251" s="67" t="s">
        <v>17</v>
      </c>
      <c r="E251" s="67" t="s">
        <v>15</v>
      </c>
      <c r="F251" s="67" t="s">
        <v>1975</v>
      </c>
      <c r="G251" s="67" t="s">
        <v>16</v>
      </c>
      <c r="H251" s="67" t="s">
        <v>128</v>
      </c>
      <c r="I251" s="14" t="str">
        <f t="shared" si="382"/>
        <v>EC</v>
      </c>
      <c r="J251" s="15">
        <f t="shared" si="383"/>
        <v>2</v>
      </c>
      <c r="K251" s="15">
        <f t="shared" si="384"/>
        <v>224</v>
      </c>
      <c r="L251" s="15">
        <f t="shared" si="385"/>
        <v>166</v>
      </c>
      <c r="M251" s="15">
        <f t="shared" si="386"/>
        <v>0</v>
      </c>
      <c r="N251" s="15">
        <f t="shared" si="387"/>
        <v>100</v>
      </c>
      <c r="O251" s="15">
        <f t="shared" si="388"/>
        <v>492</v>
      </c>
      <c r="P251" s="15" t="str">
        <f t="shared" si="389"/>
        <v>EC</v>
      </c>
      <c r="Q251" s="15">
        <f t="shared" si="390"/>
        <v>982</v>
      </c>
      <c r="R251" s="15" t="str">
        <f t="shared" si="391"/>
        <v>D6</v>
      </c>
      <c r="S251" s="131"/>
      <c r="T251" s="131"/>
      <c r="V251" s="72"/>
      <c r="W251" s="72"/>
    </row>
    <row r="252" spans="2:23" ht="16.5" customHeight="1">
      <c r="B252" s="14" t="s">
        <v>1945</v>
      </c>
      <c r="C252" s="14" t="str">
        <f t="shared" si="381"/>
        <v>FF02E0A7000089</v>
      </c>
      <c r="D252" s="67" t="s">
        <v>17</v>
      </c>
      <c r="E252" s="67" t="s">
        <v>15</v>
      </c>
      <c r="F252" s="67" t="s">
        <v>1976</v>
      </c>
      <c r="G252" s="67" t="s">
        <v>16</v>
      </c>
      <c r="H252" s="67" t="s">
        <v>16</v>
      </c>
      <c r="I252" s="14" t="str">
        <f t="shared" si="382"/>
        <v>89</v>
      </c>
      <c r="J252" s="15">
        <f t="shared" si="383"/>
        <v>2</v>
      </c>
      <c r="K252" s="15">
        <f t="shared" si="384"/>
        <v>224</v>
      </c>
      <c r="L252" s="15">
        <f t="shared" si="385"/>
        <v>167</v>
      </c>
      <c r="M252" s="15">
        <f t="shared" si="386"/>
        <v>0</v>
      </c>
      <c r="N252" s="15">
        <f t="shared" si="387"/>
        <v>0</v>
      </c>
      <c r="O252" s="15">
        <f t="shared" si="388"/>
        <v>393</v>
      </c>
      <c r="P252" s="15" t="str">
        <f t="shared" si="389"/>
        <v>89</v>
      </c>
      <c r="Q252" s="15">
        <f t="shared" si="390"/>
        <v>784</v>
      </c>
      <c r="R252" s="15" t="str">
        <f t="shared" si="391"/>
        <v>10</v>
      </c>
      <c r="S252" s="131"/>
      <c r="T252" s="131"/>
      <c r="V252" s="72"/>
      <c r="W252" s="72"/>
    </row>
    <row r="253" spans="2:23" ht="25.5">
      <c r="B253" s="14" t="s">
        <v>1946</v>
      </c>
      <c r="C253" s="14" t="str">
        <f t="shared" si="381"/>
        <v>FF02E0A700018A</v>
      </c>
      <c r="D253" s="67" t="s">
        <v>17</v>
      </c>
      <c r="E253" s="67" t="s">
        <v>15</v>
      </c>
      <c r="F253" s="67" t="s">
        <v>1976</v>
      </c>
      <c r="G253" s="67" t="s">
        <v>16</v>
      </c>
      <c r="H253" s="67" t="s">
        <v>24</v>
      </c>
      <c r="I253" s="14" t="str">
        <f t="shared" si="382"/>
        <v>8A</v>
      </c>
      <c r="J253" s="15">
        <f t="shared" si="383"/>
        <v>2</v>
      </c>
      <c r="K253" s="15">
        <f t="shared" si="384"/>
        <v>224</v>
      </c>
      <c r="L253" s="15">
        <f t="shared" si="385"/>
        <v>167</v>
      </c>
      <c r="M253" s="15">
        <f t="shared" si="386"/>
        <v>0</v>
      </c>
      <c r="N253" s="15">
        <f t="shared" si="387"/>
        <v>1</v>
      </c>
      <c r="O253" s="15">
        <f t="shared" si="388"/>
        <v>394</v>
      </c>
      <c r="P253" s="15" t="str">
        <f t="shared" si="389"/>
        <v>8A</v>
      </c>
      <c r="Q253" s="15">
        <f t="shared" si="390"/>
        <v>786</v>
      </c>
      <c r="R253" s="15" t="str">
        <f t="shared" si="391"/>
        <v>12</v>
      </c>
      <c r="S253" s="131"/>
      <c r="T253" s="131"/>
      <c r="V253" s="72"/>
      <c r="W253" s="72"/>
    </row>
    <row r="254" spans="2:23" ht="25.5">
      <c r="B254" s="14" t="s">
        <v>1947</v>
      </c>
      <c r="C254" s="14" t="str">
        <f t="shared" si="381"/>
        <v>FF02E0A800008A</v>
      </c>
      <c r="D254" s="67" t="s">
        <v>17</v>
      </c>
      <c r="E254" s="67" t="s">
        <v>15</v>
      </c>
      <c r="F254" s="67" t="s">
        <v>1736</v>
      </c>
      <c r="G254" s="67" t="s">
        <v>16</v>
      </c>
      <c r="H254" s="67" t="s">
        <v>16</v>
      </c>
      <c r="I254" s="14" t="str">
        <f t="shared" si="382"/>
        <v>8A</v>
      </c>
      <c r="J254" s="15">
        <f t="shared" si="383"/>
        <v>2</v>
      </c>
      <c r="K254" s="15">
        <f t="shared" si="384"/>
        <v>224</v>
      </c>
      <c r="L254" s="15">
        <f t="shared" si="385"/>
        <v>168</v>
      </c>
      <c r="M254" s="15">
        <f t="shared" si="386"/>
        <v>0</v>
      </c>
      <c r="N254" s="15">
        <f t="shared" si="387"/>
        <v>0</v>
      </c>
      <c r="O254" s="15">
        <f t="shared" si="388"/>
        <v>394</v>
      </c>
      <c r="P254" s="15" t="str">
        <f t="shared" si="389"/>
        <v>8A</v>
      </c>
      <c r="Q254" s="15">
        <f t="shared" si="390"/>
        <v>786</v>
      </c>
      <c r="R254" s="15" t="str">
        <f t="shared" si="391"/>
        <v>12</v>
      </c>
      <c r="S254" s="131"/>
      <c r="T254" s="131"/>
      <c r="V254" s="72"/>
      <c r="W254" s="72"/>
    </row>
    <row r="255" spans="2:23" ht="25.5">
      <c r="B255" s="14" t="s">
        <v>1948</v>
      </c>
      <c r="C255" s="14" t="str">
        <f t="shared" si="381"/>
        <v>FF02E0A800018B</v>
      </c>
      <c r="D255" s="67" t="s">
        <v>17</v>
      </c>
      <c r="E255" s="67" t="s">
        <v>15</v>
      </c>
      <c r="F255" s="67" t="s">
        <v>1736</v>
      </c>
      <c r="G255" s="67" t="s">
        <v>16</v>
      </c>
      <c r="H255" s="67" t="s">
        <v>24</v>
      </c>
      <c r="I255" s="14" t="str">
        <f t="shared" si="382"/>
        <v>8B</v>
      </c>
      <c r="J255" s="15">
        <f t="shared" si="383"/>
        <v>2</v>
      </c>
      <c r="K255" s="15">
        <f t="shared" si="384"/>
        <v>224</v>
      </c>
      <c r="L255" s="15">
        <f t="shared" si="385"/>
        <v>168</v>
      </c>
      <c r="M255" s="15">
        <f t="shared" si="386"/>
        <v>0</v>
      </c>
      <c r="N255" s="15">
        <f t="shared" si="387"/>
        <v>1</v>
      </c>
      <c r="O255" s="15">
        <f t="shared" si="388"/>
        <v>395</v>
      </c>
      <c r="P255" s="15" t="str">
        <f t="shared" si="389"/>
        <v>8B</v>
      </c>
      <c r="Q255" s="15">
        <f t="shared" si="390"/>
        <v>788</v>
      </c>
      <c r="R255" s="15" t="str">
        <f t="shared" si="391"/>
        <v>14</v>
      </c>
      <c r="S255" s="131"/>
      <c r="T255" s="131"/>
      <c r="V255" s="72"/>
      <c r="W255" s="72"/>
    </row>
    <row r="256" spans="2:23" ht="25.5">
      <c r="B256" s="14" t="s">
        <v>1949</v>
      </c>
      <c r="C256" s="14" t="str">
        <f t="shared" si="381"/>
        <v>FF02E0A800028C</v>
      </c>
      <c r="D256" s="67" t="s">
        <v>17</v>
      </c>
      <c r="E256" s="67" t="s">
        <v>15</v>
      </c>
      <c r="F256" s="67" t="s">
        <v>1736</v>
      </c>
      <c r="G256" s="67" t="s">
        <v>16</v>
      </c>
      <c r="H256" s="67" t="s">
        <v>17</v>
      </c>
      <c r="I256" s="14" t="str">
        <f t="shared" si="382"/>
        <v>8C</v>
      </c>
      <c r="J256" s="15">
        <f t="shared" si="383"/>
        <v>2</v>
      </c>
      <c r="K256" s="15">
        <f t="shared" si="384"/>
        <v>224</v>
      </c>
      <c r="L256" s="15">
        <f t="shared" si="385"/>
        <v>168</v>
      </c>
      <c r="M256" s="15">
        <f t="shared" si="386"/>
        <v>0</v>
      </c>
      <c r="N256" s="15">
        <f t="shared" si="387"/>
        <v>2</v>
      </c>
      <c r="O256" s="15">
        <f t="shared" si="388"/>
        <v>396</v>
      </c>
      <c r="P256" s="15" t="str">
        <f t="shared" si="389"/>
        <v>8C</v>
      </c>
      <c r="Q256" s="15">
        <f t="shared" si="390"/>
        <v>790</v>
      </c>
      <c r="R256" s="15" t="str">
        <f t="shared" si="391"/>
        <v>16</v>
      </c>
      <c r="S256" s="131"/>
      <c r="T256" s="131"/>
      <c r="V256" s="72"/>
      <c r="W256" s="72"/>
    </row>
    <row r="257" spans="2:23" ht="25.5">
      <c r="B257" s="14" t="s">
        <v>1950</v>
      </c>
      <c r="C257" s="14" t="str">
        <f t="shared" si="381"/>
        <v>FF02E0A800038D</v>
      </c>
      <c r="D257" s="67" t="s">
        <v>17</v>
      </c>
      <c r="E257" s="67" t="s">
        <v>15</v>
      </c>
      <c r="F257" s="67" t="s">
        <v>1736</v>
      </c>
      <c r="G257" s="67" t="s">
        <v>16</v>
      </c>
      <c r="H257" s="67" t="s">
        <v>91</v>
      </c>
      <c r="I257" s="14" t="str">
        <f t="shared" si="382"/>
        <v>8D</v>
      </c>
      <c r="J257" s="15">
        <f t="shared" si="383"/>
        <v>2</v>
      </c>
      <c r="K257" s="15">
        <f t="shared" si="384"/>
        <v>224</v>
      </c>
      <c r="L257" s="15">
        <f t="shared" si="385"/>
        <v>168</v>
      </c>
      <c r="M257" s="15">
        <f t="shared" si="386"/>
        <v>0</v>
      </c>
      <c r="N257" s="15">
        <f t="shared" si="387"/>
        <v>3</v>
      </c>
      <c r="O257" s="15">
        <f t="shared" si="388"/>
        <v>397</v>
      </c>
      <c r="P257" s="15" t="str">
        <f t="shared" si="389"/>
        <v>8D</v>
      </c>
      <c r="Q257" s="15">
        <f t="shared" si="390"/>
        <v>792</v>
      </c>
      <c r="R257" s="15" t="str">
        <f t="shared" si="391"/>
        <v>18</v>
      </c>
      <c r="S257" s="131"/>
      <c r="T257" s="131"/>
      <c r="V257" s="72"/>
      <c r="W257" s="72"/>
    </row>
    <row r="258" spans="2:23" ht="25.5">
      <c r="B258" s="14" t="s">
        <v>1951</v>
      </c>
      <c r="C258" s="14" t="str">
        <f t="shared" si="381"/>
        <v>FF02E0A800048E</v>
      </c>
      <c r="D258" s="67" t="s">
        <v>17</v>
      </c>
      <c r="E258" s="67" t="s">
        <v>15</v>
      </c>
      <c r="F258" s="67" t="s">
        <v>1736</v>
      </c>
      <c r="G258" s="67" t="s">
        <v>16</v>
      </c>
      <c r="H258" s="67" t="s">
        <v>67</v>
      </c>
      <c r="I258" s="14" t="str">
        <f t="shared" si="382"/>
        <v>8E</v>
      </c>
      <c r="J258" s="15">
        <f t="shared" si="383"/>
        <v>2</v>
      </c>
      <c r="K258" s="15">
        <f t="shared" si="384"/>
        <v>224</v>
      </c>
      <c r="L258" s="15">
        <f t="shared" si="385"/>
        <v>168</v>
      </c>
      <c r="M258" s="15">
        <f t="shared" si="386"/>
        <v>0</v>
      </c>
      <c r="N258" s="15">
        <f t="shared" si="387"/>
        <v>4</v>
      </c>
      <c r="O258" s="15">
        <f t="shared" si="388"/>
        <v>398</v>
      </c>
      <c r="P258" s="15" t="str">
        <f t="shared" si="389"/>
        <v>8E</v>
      </c>
      <c r="Q258" s="15">
        <f t="shared" si="390"/>
        <v>794</v>
      </c>
      <c r="R258" s="15" t="str">
        <f t="shared" si="391"/>
        <v>1A</v>
      </c>
      <c r="S258" s="131"/>
      <c r="T258" s="131"/>
      <c r="V258" s="72"/>
      <c r="W258" s="72"/>
    </row>
    <row r="259" spans="2:23" ht="25.5">
      <c r="B259" s="14" t="s">
        <v>1952</v>
      </c>
      <c r="C259" s="14" t="str">
        <f t="shared" si="381"/>
        <v>FF02E0A800058F</v>
      </c>
      <c r="D259" s="67" t="s">
        <v>17</v>
      </c>
      <c r="E259" s="67" t="s">
        <v>15</v>
      </c>
      <c r="F259" s="67" t="s">
        <v>1736</v>
      </c>
      <c r="G259" s="67" t="s">
        <v>16</v>
      </c>
      <c r="H259" s="67" t="s">
        <v>92</v>
      </c>
      <c r="I259" s="14" t="str">
        <f t="shared" si="382"/>
        <v>8F</v>
      </c>
      <c r="J259" s="15">
        <f t="shared" si="383"/>
        <v>2</v>
      </c>
      <c r="K259" s="15">
        <f t="shared" si="384"/>
        <v>224</v>
      </c>
      <c r="L259" s="15">
        <f t="shared" si="385"/>
        <v>168</v>
      </c>
      <c r="M259" s="15">
        <f t="shared" si="386"/>
        <v>0</v>
      </c>
      <c r="N259" s="15">
        <f t="shared" si="387"/>
        <v>5</v>
      </c>
      <c r="O259" s="15">
        <f t="shared" si="388"/>
        <v>399</v>
      </c>
      <c r="P259" s="15" t="str">
        <f t="shared" si="389"/>
        <v>8F</v>
      </c>
      <c r="Q259" s="15">
        <f t="shared" si="390"/>
        <v>796</v>
      </c>
      <c r="R259" s="15" t="str">
        <f t="shared" si="391"/>
        <v>1C</v>
      </c>
      <c r="S259" s="131"/>
      <c r="T259" s="131"/>
      <c r="V259" s="72"/>
      <c r="W259" s="72"/>
    </row>
    <row r="260" spans="2:23" ht="25.5">
      <c r="B260" s="14" t="s">
        <v>1953</v>
      </c>
      <c r="C260" s="14" t="str">
        <f t="shared" si="381"/>
        <v>FF02E0A8000690</v>
      </c>
      <c r="D260" s="67" t="s">
        <v>17</v>
      </c>
      <c r="E260" s="67" t="s">
        <v>15</v>
      </c>
      <c r="F260" s="67" t="s">
        <v>1736</v>
      </c>
      <c r="G260" s="67" t="s">
        <v>16</v>
      </c>
      <c r="H260" s="67" t="s">
        <v>100</v>
      </c>
      <c r="I260" s="14" t="str">
        <f t="shared" si="382"/>
        <v>90</v>
      </c>
      <c r="J260" s="15">
        <f t="shared" si="383"/>
        <v>2</v>
      </c>
      <c r="K260" s="15">
        <f t="shared" si="384"/>
        <v>224</v>
      </c>
      <c r="L260" s="15">
        <f t="shared" si="385"/>
        <v>168</v>
      </c>
      <c r="M260" s="15">
        <f t="shared" si="386"/>
        <v>0</v>
      </c>
      <c r="N260" s="15">
        <f t="shared" si="387"/>
        <v>6</v>
      </c>
      <c r="O260" s="15">
        <f t="shared" si="388"/>
        <v>400</v>
      </c>
      <c r="P260" s="15" t="str">
        <f t="shared" si="389"/>
        <v>90</v>
      </c>
      <c r="Q260" s="15">
        <f t="shared" si="390"/>
        <v>798</v>
      </c>
      <c r="R260" s="15" t="str">
        <f t="shared" si="391"/>
        <v>1E</v>
      </c>
      <c r="S260" s="131"/>
      <c r="T260" s="131"/>
      <c r="V260" s="72"/>
      <c r="W260" s="72"/>
    </row>
    <row r="261" spans="2:23" ht="25.5">
      <c r="B261" s="14" t="s">
        <v>1954</v>
      </c>
      <c r="C261" s="14" t="str">
        <f t="shared" si="381"/>
        <v>FF02E0A8000791</v>
      </c>
      <c r="D261" s="67" t="s">
        <v>17</v>
      </c>
      <c r="E261" s="67" t="s">
        <v>15</v>
      </c>
      <c r="F261" s="67" t="s">
        <v>1736</v>
      </c>
      <c r="G261" s="67" t="s">
        <v>16</v>
      </c>
      <c r="H261" s="67" t="s">
        <v>101</v>
      </c>
      <c r="I261" s="14" t="str">
        <f t="shared" si="382"/>
        <v>91</v>
      </c>
      <c r="J261" s="15">
        <f t="shared" si="383"/>
        <v>2</v>
      </c>
      <c r="K261" s="15">
        <f t="shared" si="384"/>
        <v>224</v>
      </c>
      <c r="L261" s="15">
        <f t="shared" si="385"/>
        <v>168</v>
      </c>
      <c r="M261" s="15">
        <f t="shared" si="386"/>
        <v>0</v>
      </c>
      <c r="N261" s="15">
        <f t="shared" si="387"/>
        <v>7</v>
      </c>
      <c r="O261" s="15">
        <f t="shared" si="388"/>
        <v>401</v>
      </c>
      <c r="P261" s="15" t="str">
        <f t="shared" si="389"/>
        <v>91</v>
      </c>
      <c r="Q261" s="15">
        <f t="shared" si="390"/>
        <v>800</v>
      </c>
      <c r="R261" s="15" t="str">
        <f t="shared" si="391"/>
        <v>20</v>
      </c>
      <c r="S261" s="131"/>
      <c r="T261" s="131"/>
      <c r="V261" s="72"/>
      <c r="W261" s="72"/>
    </row>
    <row r="262" spans="2:23" ht="25.5">
      <c r="B262" s="14" t="s">
        <v>1955</v>
      </c>
      <c r="C262" s="14" t="str">
        <f t="shared" si="381"/>
        <v>FF02E0A8000892</v>
      </c>
      <c r="D262" s="67" t="s">
        <v>17</v>
      </c>
      <c r="E262" s="67" t="s">
        <v>15</v>
      </c>
      <c r="F262" s="67" t="s">
        <v>1736</v>
      </c>
      <c r="G262" s="67" t="s">
        <v>16</v>
      </c>
      <c r="H262" s="67" t="s">
        <v>1274</v>
      </c>
      <c r="I262" s="14" t="str">
        <f t="shared" si="382"/>
        <v>92</v>
      </c>
      <c r="J262" s="15">
        <f t="shared" si="383"/>
        <v>2</v>
      </c>
      <c r="K262" s="15">
        <f t="shared" si="384"/>
        <v>224</v>
      </c>
      <c r="L262" s="15">
        <f t="shared" si="385"/>
        <v>168</v>
      </c>
      <c r="M262" s="15">
        <f t="shared" si="386"/>
        <v>0</v>
      </c>
      <c r="N262" s="15">
        <f t="shared" si="387"/>
        <v>8</v>
      </c>
      <c r="O262" s="15">
        <f t="shared" si="388"/>
        <v>402</v>
      </c>
      <c r="P262" s="15" t="str">
        <f t="shared" si="389"/>
        <v>92</v>
      </c>
      <c r="Q262" s="15">
        <f t="shared" si="390"/>
        <v>802</v>
      </c>
      <c r="R262" s="15" t="str">
        <f t="shared" si="391"/>
        <v>22</v>
      </c>
      <c r="S262" s="131"/>
      <c r="T262" s="131"/>
      <c r="V262" s="72"/>
      <c r="W262" s="72"/>
    </row>
    <row r="263" spans="2:23" ht="25.5">
      <c r="B263" s="14" t="s">
        <v>1956</v>
      </c>
      <c r="C263" s="14" t="str">
        <f t="shared" si="381"/>
        <v>FF02E0A8000993</v>
      </c>
      <c r="D263" s="67" t="s">
        <v>17</v>
      </c>
      <c r="E263" s="67" t="s">
        <v>15</v>
      </c>
      <c r="F263" s="67" t="s">
        <v>1736</v>
      </c>
      <c r="G263" s="67" t="s">
        <v>16</v>
      </c>
      <c r="H263" s="67" t="s">
        <v>1526</v>
      </c>
      <c r="I263" s="14" t="str">
        <f t="shared" si="382"/>
        <v>93</v>
      </c>
      <c r="J263" s="15">
        <f t="shared" si="383"/>
        <v>2</v>
      </c>
      <c r="K263" s="15">
        <f t="shared" si="384"/>
        <v>224</v>
      </c>
      <c r="L263" s="15">
        <f t="shared" si="385"/>
        <v>168</v>
      </c>
      <c r="M263" s="15">
        <f t="shared" si="386"/>
        <v>0</v>
      </c>
      <c r="N263" s="15">
        <f t="shared" si="387"/>
        <v>9</v>
      </c>
      <c r="O263" s="15">
        <f t="shared" si="388"/>
        <v>403</v>
      </c>
      <c r="P263" s="15" t="str">
        <f t="shared" si="389"/>
        <v>93</v>
      </c>
      <c r="Q263" s="15">
        <f t="shared" si="390"/>
        <v>804</v>
      </c>
      <c r="R263" s="15" t="str">
        <f t="shared" si="391"/>
        <v>24</v>
      </c>
      <c r="S263" s="131"/>
      <c r="T263" s="131"/>
      <c r="V263" s="72"/>
      <c r="W263" s="72"/>
    </row>
    <row r="264" spans="2:23" ht="25.5">
      <c r="B264" s="14" t="s">
        <v>1957</v>
      </c>
      <c r="C264" s="14" t="str">
        <f t="shared" si="381"/>
        <v>FF02E0A8000A94</v>
      </c>
      <c r="D264" s="67" t="s">
        <v>17</v>
      </c>
      <c r="E264" s="67" t="s">
        <v>15</v>
      </c>
      <c r="F264" s="67" t="s">
        <v>1736</v>
      </c>
      <c r="G264" s="67" t="s">
        <v>16</v>
      </c>
      <c r="H264" s="67" t="s">
        <v>61</v>
      </c>
      <c r="I264" s="14" t="str">
        <f t="shared" si="382"/>
        <v>94</v>
      </c>
      <c r="J264" s="15">
        <f t="shared" si="383"/>
        <v>2</v>
      </c>
      <c r="K264" s="15">
        <f t="shared" si="384"/>
        <v>224</v>
      </c>
      <c r="L264" s="15">
        <f t="shared" si="385"/>
        <v>168</v>
      </c>
      <c r="M264" s="15">
        <f t="shared" si="386"/>
        <v>0</v>
      </c>
      <c r="N264" s="15">
        <f t="shared" si="387"/>
        <v>10</v>
      </c>
      <c r="O264" s="15">
        <f t="shared" si="388"/>
        <v>404</v>
      </c>
      <c r="P264" s="15" t="str">
        <f t="shared" si="389"/>
        <v>94</v>
      </c>
      <c r="Q264" s="15">
        <f t="shared" si="390"/>
        <v>806</v>
      </c>
      <c r="R264" s="15" t="str">
        <f t="shared" si="391"/>
        <v>26</v>
      </c>
      <c r="S264" s="131"/>
      <c r="T264" s="131"/>
      <c r="V264" s="72"/>
      <c r="W264" s="72"/>
    </row>
    <row r="265" spans="2:23" ht="25.5">
      <c r="B265" s="14" t="s">
        <v>1958</v>
      </c>
      <c r="C265" s="14" t="str">
        <f t="shared" ref="C265:C275" si="392">"FF"&amp;D265&amp;E265&amp;""&amp;F265&amp;G265&amp;H265&amp;I265</f>
        <v>FF02E0A8000B95</v>
      </c>
      <c r="D265" s="67" t="s">
        <v>17</v>
      </c>
      <c r="E265" s="67" t="s">
        <v>15</v>
      </c>
      <c r="F265" s="67" t="s">
        <v>1736</v>
      </c>
      <c r="G265" s="67" t="s">
        <v>16</v>
      </c>
      <c r="H265" s="67" t="s">
        <v>1724</v>
      </c>
      <c r="I265" s="14" t="str">
        <f t="shared" ref="I265:I275" si="393">P265</f>
        <v>95</v>
      </c>
      <c r="J265" s="15">
        <f t="shared" ref="J265:J275" si="394">HEX2DEC(D265)</f>
        <v>2</v>
      </c>
      <c r="K265" s="15">
        <f t="shared" ref="K265:K275" si="395">HEX2DEC(E265)</f>
        <v>224</v>
      </c>
      <c r="L265" s="15">
        <f t="shared" ref="L265:L275" si="396">HEX2DEC(F265)</f>
        <v>168</v>
      </c>
      <c r="M265" s="15">
        <f t="shared" ref="M265:M275" si="397">HEX2DEC(G265)</f>
        <v>0</v>
      </c>
      <c r="N265" s="15">
        <f t="shared" ref="N265:N275" si="398">HEX2DEC(H265)</f>
        <v>11</v>
      </c>
      <c r="O265" s="15">
        <f t="shared" ref="O265:O275" si="399">SUM(J265:N265)</f>
        <v>405</v>
      </c>
      <c r="P265" s="15" t="str">
        <f t="shared" ref="P265:P275" si="400">REPT("0",2-LEN(RIGHT(DEC2HEX(O265), 2)))&amp;RIGHT(DEC2HEX(O265), 2)</f>
        <v>95</v>
      </c>
      <c r="Q265" s="15">
        <f t="shared" ref="Q265:Q275" si="401">SUM(K265:P265)</f>
        <v>808</v>
      </c>
      <c r="R265" s="15" t="str">
        <f t="shared" ref="R265:R275" si="402">REPT("0",2-LEN(RIGHT(DEC2HEX(Q265), 2)))&amp;RIGHT(DEC2HEX(Q265), 2)</f>
        <v>28</v>
      </c>
      <c r="S265" s="131"/>
      <c r="T265" s="131"/>
      <c r="V265" s="72"/>
      <c r="W265" s="72"/>
    </row>
    <row r="266" spans="2:23" ht="25.5">
      <c r="B266" s="14" t="s">
        <v>1959</v>
      </c>
      <c r="C266" s="14" t="str">
        <f t="shared" si="392"/>
        <v>FF02E0A8000C96</v>
      </c>
      <c r="D266" s="67" t="s">
        <v>17</v>
      </c>
      <c r="E266" s="67" t="s">
        <v>15</v>
      </c>
      <c r="F266" s="67" t="s">
        <v>1736</v>
      </c>
      <c r="G266" s="67" t="s">
        <v>16</v>
      </c>
      <c r="H266" s="67" t="s">
        <v>1400</v>
      </c>
      <c r="I266" s="14" t="str">
        <f t="shared" si="393"/>
        <v>96</v>
      </c>
      <c r="J266" s="15">
        <f t="shared" si="394"/>
        <v>2</v>
      </c>
      <c r="K266" s="15">
        <f t="shared" si="395"/>
        <v>224</v>
      </c>
      <c r="L266" s="15">
        <f t="shared" si="396"/>
        <v>168</v>
      </c>
      <c r="M266" s="15">
        <f t="shared" si="397"/>
        <v>0</v>
      </c>
      <c r="N266" s="15">
        <f t="shared" si="398"/>
        <v>12</v>
      </c>
      <c r="O266" s="15">
        <f t="shared" si="399"/>
        <v>406</v>
      </c>
      <c r="P266" s="15" t="str">
        <f t="shared" si="400"/>
        <v>96</v>
      </c>
      <c r="Q266" s="15">
        <f t="shared" si="401"/>
        <v>810</v>
      </c>
      <c r="R266" s="15" t="str">
        <f t="shared" si="402"/>
        <v>2A</v>
      </c>
      <c r="S266" s="131"/>
      <c r="T266" s="131"/>
      <c r="V266" s="72"/>
      <c r="W266" s="72"/>
    </row>
    <row r="267" spans="2:23" ht="25.5">
      <c r="B267" s="14" t="s">
        <v>1960</v>
      </c>
      <c r="C267" s="14" t="str">
        <f t="shared" si="392"/>
        <v>FF02E0A8000D97</v>
      </c>
      <c r="D267" s="67" t="s">
        <v>17</v>
      </c>
      <c r="E267" s="67" t="s">
        <v>15</v>
      </c>
      <c r="F267" s="67" t="s">
        <v>1736</v>
      </c>
      <c r="G267" s="67" t="s">
        <v>16</v>
      </c>
      <c r="H267" s="67" t="s">
        <v>1977</v>
      </c>
      <c r="I267" s="14" t="str">
        <f t="shared" si="393"/>
        <v>97</v>
      </c>
      <c r="J267" s="15">
        <f t="shared" si="394"/>
        <v>2</v>
      </c>
      <c r="K267" s="15">
        <f t="shared" si="395"/>
        <v>224</v>
      </c>
      <c r="L267" s="15">
        <f t="shared" si="396"/>
        <v>168</v>
      </c>
      <c r="M267" s="15">
        <f t="shared" si="397"/>
        <v>0</v>
      </c>
      <c r="N267" s="15">
        <f t="shared" si="398"/>
        <v>13</v>
      </c>
      <c r="O267" s="15">
        <f t="shared" si="399"/>
        <v>407</v>
      </c>
      <c r="P267" s="15" t="str">
        <f t="shared" si="400"/>
        <v>97</v>
      </c>
      <c r="Q267" s="15">
        <f t="shared" si="401"/>
        <v>812</v>
      </c>
      <c r="R267" s="15" t="str">
        <f t="shared" si="402"/>
        <v>2C</v>
      </c>
      <c r="S267" s="131"/>
      <c r="T267" s="131"/>
      <c r="V267" s="72"/>
      <c r="W267" s="72"/>
    </row>
    <row r="268" spans="2:23" ht="25.5">
      <c r="B268" s="14" t="s">
        <v>1961</v>
      </c>
      <c r="C268" s="14" t="str">
        <f t="shared" si="392"/>
        <v>FF02E0A8000E98</v>
      </c>
      <c r="D268" s="67" t="s">
        <v>17</v>
      </c>
      <c r="E268" s="67" t="s">
        <v>15</v>
      </c>
      <c r="F268" s="67" t="s">
        <v>1736</v>
      </c>
      <c r="G268" s="67" t="s">
        <v>16</v>
      </c>
      <c r="H268" s="67" t="s">
        <v>1978</v>
      </c>
      <c r="I268" s="14" t="str">
        <f t="shared" si="393"/>
        <v>98</v>
      </c>
      <c r="J268" s="15">
        <f t="shared" si="394"/>
        <v>2</v>
      </c>
      <c r="K268" s="15">
        <f t="shared" si="395"/>
        <v>224</v>
      </c>
      <c r="L268" s="15">
        <f t="shared" si="396"/>
        <v>168</v>
      </c>
      <c r="M268" s="15">
        <f t="shared" si="397"/>
        <v>0</v>
      </c>
      <c r="N268" s="15">
        <f t="shared" si="398"/>
        <v>14</v>
      </c>
      <c r="O268" s="15">
        <f t="shared" si="399"/>
        <v>408</v>
      </c>
      <c r="P268" s="15" t="str">
        <f t="shared" si="400"/>
        <v>98</v>
      </c>
      <c r="Q268" s="15">
        <f t="shared" si="401"/>
        <v>814</v>
      </c>
      <c r="R268" s="15" t="str">
        <f t="shared" si="402"/>
        <v>2E</v>
      </c>
      <c r="S268" s="131"/>
      <c r="T268" s="131"/>
      <c r="V268" s="72"/>
      <c r="W268" s="72"/>
    </row>
    <row r="269" spans="2:23" ht="25.5">
      <c r="B269" s="14" t="s">
        <v>1962</v>
      </c>
      <c r="C269" s="14" t="str">
        <f t="shared" si="392"/>
        <v>FF02E0A8000F99</v>
      </c>
      <c r="D269" s="67" t="s">
        <v>17</v>
      </c>
      <c r="E269" s="67" t="s">
        <v>15</v>
      </c>
      <c r="F269" s="67" t="s">
        <v>1736</v>
      </c>
      <c r="G269" s="67" t="s">
        <v>16</v>
      </c>
      <c r="H269" s="67" t="s">
        <v>78</v>
      </c>
      <c r="I269" s="14" t="str">
        <f t="shared" si="393"/>
        <v>99</v>
      </c>
      <c r="J269" s="15">
        <f t="shared" si="394"/>
        <v>2</v>
      </c>
      <c r="K269" s="15">
        <f t="shared" si="395"/>
        <v>224</v>
      </c>
      <c r="L269" s="15">
        <f t="shared" si="396"/>
        <v>168</v>
      </c>
      <c r="M269" s="15">
        <f t="shared" si="397"/>
        <v>0</v>
      </c>
      <c r="N269" s="15">
        <f t="shared" si="398"/>
        <v>15</v>
      </c>
      <c r="O269" s="15">
        <f t="shared" si="399"/>
        <v>409</v>
      </c>
      <c r="P269" s="15" t="str">
        <f t="shared" si="400"/>
        <v>99</v>
      </c>
      <c r="Q269" s="15">
        <f t="shared" si="401"/>
        <v>816</v>
      </c>
      <c r="R269" s="15" t="str">
        <f t="shared" si="402"/>
        <v>30</v>
      </c>
      <c r="S269" s="131"/>
      <c r="T269" s="131"/>
      <c r="V269" s="72"/>
      <c r="W269" s="72"/>
    </row>
    <row r="270" spans="2:23" ht="25.5">
      <c r="B270" s="14" t="s">
        <v>1963</v>
      </c>
      <c r="C270" s="14" t="str">
        <f t="shared" si="392"/>
        <v>FF02E0A800109A</v>
      </c>
      <c r="D270" s="67" t="s">
        <v>17</v>
      </c>
      <c r="E270" s="67" t="s">
        <v>15</v>
      </c>
      <c r="F270" s="67" t="s">
        <v>1736</v>
      </c>
      <c r="G270" s="67" t="s">
        <v>16</v>
      </c>
      <c r="H270" s="67" t="s">
        <v>109</v>
      </c>
      <c r="I270" s="14" t="str">
        <f t="shared" si="393"/>
        <v>9A</v>
      </c>
      <c r="J270" s="15">
        <f t="shared" si="394"/>
        <v>2</v>
      </c>
      <c r="K270" s="15">
        <f t="shared" si="395"/>
        <v>224</v>
      </c>
      <c r="L270" s="15">
        <f t="shared" si="396"/>
        <v>168</v>
      </c>
      <c r="M270" s="15">
        <f t="shared" si="397"/>
        <v>0</v>
      </c>
      <c r="N270" s="15">
        <f t="shared" si="398"/>
        <v>16</v>
      </c>
      <c r="O270" s="15">
        <f t="shared" si="399"/>
        <v>410</v>
      </c>
      <c r="P270" s="15" t="str">
        <f t="shared" si="400"/>
        <v>9A</v>
      </c>
      <c r="Q270" s="15">
        <f t="shared" si="401"/>
        <v>818</v>
      </c>
      <c r="R270" s="15" t="str">
        <f t="shared" si="402"/>
        <v>32</v>
      </c>
      <c r="S270" s="131"/>
      <c r="T270" s="131"/>
      <c r="V270" s="72"/>
      <c r="W270" s="72"/>
    </row>
    <row r="271" spans="2:23" ht="25.5">
      <c r="B271" s="14" t="s">
        <v>1964</v>
      </c>
      <c r="C271" s="14" t="str">
        <f t="shared" si="392"/>
        <v>FF02E0A800119B</v>
      </c>
      <c r="D271" s="67" t="s">
        <v>17</v>
      </c>
      <c r="E271" s="67" t="s">
        <v>15</v>
      </c>
      <c r="F271" s="67" t="s">
        <v>1736</v>
      </c>
      <c r="G271" s="67" t="s">
        <v>16</v>
      </c>
      <c r="H271" s="67" t="s">
        <v>110</v>
      </c>
      <c r="I271" s="14" t="str">
        <f t="shared" si="393"/>
        <v>9B</v>
      </c>
      <c r="J271" s="15">
        <f t="shared" si="394"/>
        <v>2</v>
      </c>
      <c r="K271" s="15">
        <f t="shared" si="395"/>
        <v>224</v>
      </c>
      <c r="L271" s="15">
        <f t="shared" si="396"/>
        <v>168</v>
      </c>
      <c r="M271" s="15">
        <f t="shared" si="397"/>
        <v>0</v>
      </c>
      <c r="N271" s="15">
        <f t="shared" si="398"/>
        <v>17</v>
      </c>
      <c r="O271" s="15">
        <f t="shared" si="399"/>
        <v>411</v>
      </c>
      <c r="P271" s="15" t="str">
        <f t="shared" si="400"/>
        <v>9B</v>
      </c>
      <c r="Q271" s="15">
        <f t="shared" si="401"/>
        <v>820</v>
      </c>
      <c r="R271" s="15" t="str">
        <f t="shared" si="402"/>
        <v>34</v>
      </c>
      <c r="S271" s="131"/>
      <c r="T271" s="131"/>
      <c r="V271" s="72"/>
      <c r="W271" s="72"/>
    </row>
    <row r="272" spans="2:23" ht="25.5">
      <c r="B272" s="14" t="s">
        <v>1965</v>
      </c>
      <c r="C272" s="14" t="str">
        <f t="shared" si="392"/>
        <v>FF02E0A800129C</v>
      </c>
      <c r="D272" s="67" t="s">
        <v>17</v>
      </c>
      <c r="E272" s="67" t="s">
        <v>15</v>
      </c>
      <c r="F272" s="67" t="s">
        <v>1736</v>
      </c>
      <c r="G272" s="67" t="s">
        <v>16</v>
      </c>
      <c r="H272" s="67" t="s">
        <v>111</v>
      </c>
      <c r="I272" s="14" t="str">
        <f t="shared" si="393"/>
        <v>9C</v>
      </c>
      <c r="J272" s="15">
        <f t="shared" si="394"/>
        <v>2</v>
      </c>
      <c r="K272" s="15">
        <f t="shared" si="395"/>
        <v>224</v>
      </c>
      <c r="L272" s="15">
        <f t="shared" si="396"/>
        <v>168</v>
      </c>
      <c r="M272" s="15">
        <f t="shared" si="397"/>
        <v>0</v>
      </c>
      <c r="N272" s="15">
        <f t="shared" si="398"/>
        <v>18</v>
      </c>
      <c r="O272" s="15">
        <f t="shared" si="399"/>
        <v>412</v>
      </c>
      <c r="P272" s="15" t="str">
        <f t="shared" si="400"/>
        <v>9C</v>
      </c>
      <c r="Q272" s="15">
        <f t="shared" si="401"/>
        <v>822</v>
      </c>
      <c r="R272" s="15" t="str">
        <f t="shared" si="402"/>
        <v>36</v>
      </c>
      <c r="S272" s="131"/>
      <c r="T272" s="131"/>
      <c r="V272" s="72"/>
      <c r="W272" s="72"/>
    </row>
    <row r="273" spans="2:23" ht="25.5">
      <c r="B273" s="14" t="s">
        <v>1966</v>
      </c>
      <c r="C273" s="14" t="str">
        <f t="shared" si="392"/>
        <v>FF02E0A800139D</v>
      </c>
      <c r="D273" s="67" t="s">
        <v>17</v>
      </c>
      <c r="E273" s="67" t="s">
        <v>15</v>
      </c>
      <c r="F273" s="67" t="s">
        <v>1736</v>
      </c>
      <c r="G273" s="67" t="s">
        <v>16</v>
      </c>
      <c r="H273" s="67" t="s">
        <v>116</v>
      </c>
      <c r="I273" s="14" t="str">
        <f t="shared" si="393"/>
        <v>9D</v>
      </c>
      <c r="J273" s="15">
        <f t="shared" si="394"/>
        <v>2</v>
      </c>
      <c r="K273" s="15">
        <f t="shared" si="395"/>
        <v>224</v>
      </c>
      <c r="L273" s="15">
        <f t="shared" si="396"/>
        <v>168</v>
      </c>
      <c r="M273" s="15">
        <f t="shared" si="397"/>
        <v>0</v>
      </c>
      <c r="N273" s="15">
        <f t="shared" si="398"/>
        <v>19</v>
      </c>
      <c r="O273" s="15">
        <f t="shared" si="399"/>
        <v>413</v>
      </c>
      <c r="P273" s="15" t="str">
        <f t="shared" si="400"/>
        <v>9D</v>
      </c>
      <c r="Q273" s="15">
        <f t="shared" si="401"/>
        <v>824</v>
      </c>
      <c r="R273" s="15" t="str">
        <f t="shared" si="402"/>
        <v>38</v>
      </c>
      <c r="S273" s="131"/>
      <c r="T273" s="131"/>
      <c r="V273" s="72"/>
      <c r="W273" s="72"/>
    </row>
    <row r="274" spans="2:23" ht="25.5">
      <c r="B274" s="14" t="s">
        <v>1967</v>
      </c>
      <c r="C274" s="14" t="str">
        <f t="shared" si="392"/>
        <v>FF02E0A800149E</v>
      </c>
      <c r="D274" s="67" t="s">
        <v>17</v>
      </c>
      <c r="E274" s="67" t="s">
        <v>15</v>
      </c>
      <c r="F274" s="67" t="s">
        <v>1736</v>
      </c>
      <c r="G274" s="67" t="s">
        <v>16</v>
      </c>
      <c r="H274" s="67" t="s">
        <v>62</v>
      </c>
      <c r="I274" s="14" t="str">
        <f t="shared" si="393"/>
        <v>9E</v>
      </c>
      <c r="J274" s="15">
        <f t="shared" si="394"/>
        <v>2</v>
      </c>
      <c r="K274" s="15">
        <f t="shared" si="395"/>
        <v>224</v>
      </c>
      <c r="L274" s="15">
        <f t="shared" si="396"/>
        <v>168</v>
      </c>
      <c r="M274" s="15">
        <f t="shared" si="397"/>
        <v>0</v>
      </c>
      <c r="N274" s="15">
        <f t="shared" si="398"/>
        <v>20</v>
      </c>
      <c r="O274" s="15">
        <f t="shared" si="399"/>
        <v>414</v>
      </c>
      <c r="P274" s="15" t="str">
        <f t="shared" si="400"/>
        <v>9E</v>
      </c>
      <c r="Q274" s="15">
        <f t="shared" si="401"/>
        <v>826</v>
      </c>
      <c r="R274" s="15" t="str">
        <f t="shared" si="402"/>
        <v>3A</v>
      </c>
      <c r="S274" s="131"/>
      <c r="T274" s="131"/>
      <c r="V274" s="72"/>
      <c r="W274" s="72"/>
    </row>
    <row r="275" spans="2:23" ht="25.5">
      <c r="B275" s="14" t="s">
        <v>1968</v>
      </c>
      <c r="C275" s="14" t="str">
        <f t="shared" si="392"/>
        <v>FF02E0A800159F</v>
      </c>
      <c r="D275" s="67" t="s">
        <v>17</v>
      </c>
      <c r="E275" s="67" t="s">
        <v>15</v>
      </c>
      <c r="F275" s="67" t="s">
        <v>1736</v>
      </c>
      <c r="G275" s="67" t="s">
        <v>16</v>
      </c>
      <c r="H275" s="67" t="s">
        <v>123</v>
      </c>
      <c r="I275" s="14" t="str">
        <f t="shared" si="393"/>
        <v>9F</v>
      </c>
      <c r="J275" s="15">
        <f t="shared" si="394"/>
        <v>2</v>
      </c>
      <c r="K275" s="15">
        <f t="shared" si="395"/>
        <v>224</v>
      </c>
      <c r="L275" s="15">
        <f t="shared" si="396"/>
        <v>168</v>
      </c>
      <c r="M275" s="15">
        <f t="shared" si="397"/>
        <v>0</v>
      </c>
      <c r="N275" s="15">
        <f t="shared" si="398"/>
        <v>21</v>
      </c>
      <c r="O275" s="15">
        <f t="shared" si="399"/>
        <v>415</v>
      </c>
      <c r="P275" s="15" t="str">
        <f t="shared" si="400"/>
        <v>9F</v>
      </c>
      <c r="Q275" s="15">
        <f t="shared" si="401"/>
        <v>828</v>
      </c>
      <c r="R275" s="15" t="str">
        <f t="shared" si="402"/>
        <v>3C</v>
      </c>
      <c r="S275" s="131"/>
      <c r="T275" s="131"/>
      <c r="V275" s="72"/>
      <c r="W275" s="72"/>
    </row>
    <row r="276" spans="2:23" ht="25.5">
      <c r="B276" s="14" t="s">
        <v>1969</v>
      </c>
      <c r="C276" s="14" t="str">
        <f t="shared" ref="C276" si="403">"FF"&amp;D276&amp;E276&amp;""&amp;F276&amp;G276&amp;H276&amp;I276</f>
        <v>FF02E0A80016A0</v>
      </c>
      <c r="D276" s="67" t="s">
        <v>17</v>
      </c>
      <c r="E276" s="67" t="s">
        <v>15</v>
      </c>
      <c r="F276" s="67" t="s">
        <v>1736</v>
      </c>
      <c r="G276" s="67" t="s">
        <v>16</v>
      </c>
      <c r="H276" s="67" t="s">
        <v>127</v>
      </c>
      <c r="I276" s="14" t="str">
        <f t="shared" ref="I276" si="404">P276</f>
        <v>A0</v>
      </c>
      <c r="J276" s="15">
        <f t="shared" ref="J276" si="405">HEX2DEC(D276)</f>
        <v>2</v>
      </c>
      <c r="K276" s="15">
        <f t="shared" ref="K276" si="406">HEX2DEC(E276)</f>
        <v>224</v>
      </c>
      <c r="L276" s="15">
        <f t="shared" ref="L276" si="407">HEX2DEC(F276)</f>
        <v>168</v>
      </c>
      <c r="M276" s="15">
        <f t="shared" ref="M276" si="408">HEX2DEC(G276)</f>
        <v>0</v>
      </c>
      <c r="N276" s="15">
        <f t="shared" ref="N276" si="409">HEX2DEC(H276)</f>
        <v>22</v>
      </c>
      <c r="O276" s="15">
        <f t="shared" ref="O276" si="410">SUM(J276:N276)</f>
        <v>416</v>
      </c>
      <c r="P276" s="15" t="str">
        <f t="shared" ref="P276" si="411">REPT("0",2-LEN(RIGHT(DEC2HEX(O276), 2)))&amp;RIGHT(DEC2HEX(O276), 2)</f>
        <v>A0</v>
      </c>
      <c r="Q276" s="15">
        <f t="shared" ref="Q276" si="412">SUM(K276:P276)</f>
        <v>830</v>
      </c>
      <c r="R276" s="15" t="str">
        <f t="shared" ref="R276" si="413">REPT("0",2-LEN(RIGHT(DEC2HEX(Q276), 2)))&amp;RIGHT(DEC2HEX(Q276), 2)</f>
        <v>3E</v>
      </c>
      <c r="S276" s="131"/>
      <c r="T276" s="131"/>
      <c r="V276" s="72"/>
      <c r="W276" s="72"/>
    </row>
    <row r="277" spans="2:23" s="127" customFormat="1" ht="16.5" customHeight="1">
      <c r="B277" s="124" t="s">
        <v>1881</v>
      </c>
      <c r="C277" s="124" t="s">
        <v>1624</v>
      </c>
      <c r="D277" s="125" t="s">
        <v>91</v>
      </c>
      <c r="E277" s="125"/>
      <c r="F277" s="125"/>
      <c r="G277" s="125"/>
      <c r="H277" s="125"/>
      <c r="I277" s="124" t="str">
        <f t="shared" si="371"/>
        <v>03</v>
      </c>
      <c r="J277" s="126">
        <f t="shared" si="372"/>
        <v>3</v>
      </c>
      <c r="K277" s="126">
        <f t="shared" si="373"/>
        <v>0</v>
      </c>
      <c r="L277" s="126">
        <f t="shared" si="374"/>
        <v>0</v>
      </c>
      <c r="M277" s="126">
        <f t="shared" si="375"/>
        <v>0</v>
      </c>
      <c r="N277" s="126">
        <f t="shared" si="376"/>
        <v>0</v>
      </c>
      <c r="O277" s="126">
        <f t="shared" si="377"/>
        <v>3</v>
      </c>
      <c r="P277" s="126" t="str">
        <f t="shared" si="378"/>
        <v>03</v>
      </c>
      <c r="Q277" s="126">
        <f t="shared" si="379"/>
        <v>3</v>
      </c>
      <c r="R277" s="126" t="str">
        <f t="shared" si="380"/>
        <v>03</v>
      </c>
      <c r="S277" s="130"/>
      <c r="T277" s="130"/>
      <c r="V277" s="128"/>
      <c r="W277" s="128"/>
    </row>
    <row r="278" spans="2:23" ht="16.5" customHeight="1">
      <c r="B278" s="14" t="s">
        <v>1882</v>
      </c>
      <c r="C278" s="14" t="str">
        <f t="shared" si="370"/>
        <v>FF03E130000014</v>
      </c>
      <c r="D278" s="67" t="s">
        <v>91</v>
      </c>
      <c r="E278" s="67" t="s">
        <v>161</v>
      </c>
      <c r="F278" s="67" t="s">
        <v>172</v>
      </c>
      <c r="G278" s="67" t="s">
        <v>16</v>
      </c>
      <c r="H278" s="67" t="s">
        <v>16</v>
      </c>
      <c r="I278" s="14" t="str">
        <f t="shared" si="371"/>
        <v>14</v>
      </c>
      <c r="J278" s="15">
        <f t="shared" si="372"/>
        <v>3</v>
      </c>
      <c r="K278" s="15">
        <f t="shared" si="373"/>
        <v>225</v>
      </c>
      <c r="L278" s="15">
        <f t="shared" si="374"/>
        <v>48</v>
      </c>
      <c r="M278" s="15">
        <f t="shared" si="375"/>
        <v>0</v>
      </c>
      <c r="N278" s="15">
        <f t="shared" si="376"/>
        <v>0</v>
      </c>
      <c r="O278" s="15">
        <f t="shared" si="377"/>
        <v>276</v>
      </c>
      <c r="P278" s="15" t="str">
        <f t="shared" si="378"/>
        <v>14</v>
      </c>
      <c r="Q278" s="15">
        <f t="shared" si="379"/>
        <v>549</v>
      </c>
      <c r="R278" s="15" t="str">
        <f t="shared" si="380"/>
        <v>25</v>
      </c>
      <c r="S278" s="131"/>
      <c r="T278" s="131"/>
      <c r="V278" s="72"/>
      <c r="W278" s="72"/>
    </row>
    <row r="279" spans="2:23" ht="16.5" customHeight="1">
      <c r="B279" s="14" t="s">
        <v>1883</v>
      </c>
      <c r="C279" s="14" t="str">
        <f t="shared" si="370"/>
        <v>FF03E031000115</v>
      </c>
      <c r="D279" s="67" t="s">
        <v>91</v>
      </c>
      <c r="E279" s="67" t="s">
        <v>15</v>
      </c>
      <c r="F279" s="67" t="s">
        <v>1924</v>
      </c>
      <c r="G279" s="67" t="s">
        <v>16</v>
      </c>
      <c r="H279" s="67" t="s">
        <v>24</v>
      </c>
      <c r="I279" s="14" t="str">
        <f t="shared" si="371"/>
        <v>15</v>
      </c>
      <c r="J279" s="15">
        <f t="shared" si="372"/>
        <v>3</v>
      </c>
      <c r="K279" s="15">
        <f t="shared" si="373"/>
        <v>224</v>
      </c>
      <c r="L279" s="15">
        <f t="shared" si="374"/>
        <v>49</v>
      </c>
      <c r="M279" s="15">
        <f t="shared" si="375"/>
        <v>0</v>
      </c>
      <c r="N279" s="15">
        <f t="shared" si="376"/>
        <v>1</v>
      </c>
      <c r="O279" s="15">
        <f t="shared" si="377"/>
        <v>277</v>
      </c>
      <c r="P279" s="15" t="str">
        <f t="shared" si="378"/>
        <v>15</v>
      </c>
      <c r="Q279" s="15">
        <f t="shared" si="379"/>
        <v>551</v>
      </c>
      <c r="R279" s="15" t="str">
        <f t="shared" si="380"/>
        <v>27</v>
      </c>
      <c r="S279" s="131"/>
      <c r="T279" s="131"/>
      <c r="V279" s="72"/>
      <c r="W279" s="72"/>
    </row>
    <row r="280" spans="2:23" ht="16.5" customHeight="1">
      <c r="B280" s="14" t="s">
        <v>1885</v>
      </c>
      <c r="C280" s="14" t="str">
        <f t="shared" si="370"/>
        <v>FF03E031000216</v>
      </c>
      <c r="D280" s="67" t="s">
        <v>91</v>
      </c>
      <c r="E280" s="67" t="s">
        <v>15</v>
      </c>
      <c r="F280" s="67" t="s">
        <v>1924</v>
      </c>
      <c r="G280" s="67" t="s">
        <v>16</v>
      </c>
      <c r="H280" s="67" t="s">
        <v>17</v>
      </c>
      <c r="I280" s="14" t="str">
        <f t="shared" si="371"/>
        <v>16</v>
      </c>
      <c r="J280" s="15">
        <f t="shared" si="372"/>
        <v>3</v>
      </c>
      <c r="K280" s="15">
        <f t="shared" si="373"/>
        <v>224</v>
      </c>
      <c r="L280" s="15">
        <f t="shared" si="374"/>
        <v>49</v>
      </c>
      <c r="M280" s="15">
        <f t="shared" si="375"/>
        <v>0</v>
      </c>
      <c r="N280" s="15">
        <f t="shared" si="376"/>
        <v>2</v>
      </c>
      <c r="O280" s="15">
        <f t="shared" si="377"/>
        <v>278</v>
      </c>
      <c r="P280" s="15" t="str">
        <f t="shared" si="378"/>
        <v>16</v>
      </c>
      <c r="Q280" s="15">
        <f t="shared" si="379"/>
        <v>553</v>
      </c>
      <c r="R280" s="15" t="str">
        <f t="shared" si="380"/>
        <v>29</v>
      </c>
      <c r="S280" s="131"/>
      <c r="T280" s="131"/>
      <c r="V280" s="72"/>
      <c r="W280" s="72"/>
    </row>
    <row r="281" spans="2:23" ht="16.5" customHeight="1">
      <c r="B281" s="14" t="s">
        <v>1884</v>
      </c>
      <c r="C281" s="14" t="str">
        <f t="shared" ref="C281:C301" si="414">"FF"&amp;D281&amp;E281&amp;""&amp;F281&amp;G281&amp;H281&amp;I281</f>
        <v>FF03E031000317</v>
      </c>
      <c r="D281" s="67" t="s">
        <v>91</v>
      </c>
      <c r="E281" s="67" t="s">
        <v>15</v>
      </c>
      <c r="F281" s="67" t="s">
        <v>1924</v>
      </c>
      <c r="G281" s="67" t="s">
        <v>16</v>
      </c>
      <c r="H281" s="67" t="s">
        <v>91</v>
      </c>
      <c r="I281" s="14" t="str">
        <f t="shared" ref="I281:I301" si="415">P281</f>
        <v>17</v>
      </c>
      <c r="J281" s="15">
        <f t="shared" ref="J281:J301" si="416">HEX2DEC(D281)</f>
        <v>3</v>
      </c>
      <c r="K281" s="15">
        <f t="shared" ref="K281:K301" si="417">HEX2DEC(E281)</f>
        <v>224</v>
      </c>
      <c r="L281" s="15">
        <f t="shared" ref="L281:L301" si="418">HEX2DEC(F281)</f>
        <v>49</v>
      </c>
      <c r="M281" s="15">
        <f t="shared" ref="M281:M301" si="419">HEX2DEC(G281)</f>
        <v>0</v>
      </c>
      <c r="N281" s="15">
        <f t="shared" ref="N281:N301" si="420">HEX2DEC(H281)</f>
        <v>3</v>
      </c>
      <c r="O281" s="15">
        <f t="shared" ref="O281:O301" si="421">SUM(J281:N281)</f>
        <v>279</v>
      </c>
      <c r="P281" s="15" t="str">
        <f t="shared" ref="P281:P301" si="422">REPT("0",2-LEN(RIGHT(DEC2HEX(O281), 2)))&amp;RIGHT(DEC2HEX(O281), 2)</f>
        <v>17</v>
      </c>
      <c r="Q281" s="15">
        <f t="shared" ref="Q281:Q301" si="423">SUM(K281:P281)</f>
        <v>555</v>
      </c>
      <c r="R281" s="15" t="str">
        <f t="shared" ref="R281:R301" si="424">REPT("0",2-LEN(RIGHT(DEC2HEX(Q281), 2)))&amp;RIGHT(DEC2HEX(Q281), 2)</f>
        <v>2B</v>
      </c>
      <c r="S281" s="131"/>
      <c r="T281" s="131"/>
      <c r="V281" s="72"/>
      <c r="W281" s="72"/>
    </row>
    <row r="282" spans="2:23" ht="25.5">
      <c r="B282" s="14" t="s">
        <v>1886</v>
      </c>
      <c r="C282" s="14" t="str">
        <f t="shared" si="414"/>
        <v>FF03E03200051A</v>
      </c>
      <c r="D282" s="67" t="s">
        <v>91</v>
      </c>
      <c r="E282" s="67" t="s">
        <v>15</v>
      </c>
      <c r="F282" s="67" t="s">
        <v>1336</v>
      </c>
      <c r="G282" s="67" t="s">
        <v>16</v>
      </c>
      <c r="H282" s="67" t="s">
        <v>92</v>
      </c>
      <c r="I282" s="14" t="str">
        <f t="shared" si="415"/>
        <v>1A</v>
      </c>
      <c r="J282" s="15">
        <f t="shared" si="416"/>
        <v>3</v>
      </c>
      <c r="K282" s="15">
        <f t="shared" si="417"/>
        <v>224</v>
      </c>
      <c r="L282" s="15">
        <f t="shared" si="418"/>
        <v>50</v>
      </c>
      <c r="M282" s="15">
        <f t="shared" si="419"/>
        <v>0</v>
      </c>
      <c r="N282" s="15">
        <f t="shared" si="420"/>
        <v>5</v>
      </c>
      <c r="O282" s="15">
        <f t="shared" si="421"/>
        <v>282</v>
      </c>
      <c r="P282" s="15" t="str">
        <f t="shared" si="422"/>
        <v>1A</v>
      </c>
      <c r="Q282" s="15">
        <f t="shared" si="423"/>
        <v>561</v>
      </c>
      <c r="R282" s="15" t="str">
        <f t="shared" si="424"/>
        <v>31</v>
      </c>
      <c r="S282" s="131"/>
      <c r="T282" s="131"/>
      <c r="V282" s="72"/>
      <c r="W282" s="72"/>
    </row>
    <row r="283" spans="2:23" ht="25.5">
      <c r="B283" s="14" t="s">
        <v>1887</v>
      </c>
      <c r="C283" s="14" t="str">
        <f t="shared" si="414"/>
        <v>FF03E032003C51</v>
      </c>
      <c r="D283" s="67" t="s">
        <v>91</v>
      </c>
      <c r="E283" s="67" t="s">
        <v>15</v>
      </c>
      <c r="F283" s="67" t="s">
        <v>1336</v>
      </c>
      <c r="G283" s="67" t="s">
        <v>16</v>
      </c>
      <c r="H283" s="67" t="s">
        <v>1331</v>
      </c>
      <c r="I283" s="14" t="str">
        <f t="shared" si="415"/>
        <v>51</v>
      </c>
      <c r="J283" s="15">
        <f t="shared" si="416"/>
        <v>3</v>
      </c>
      <c r="K283" s="15">
        <f t="shared" si="417"/>
        <v>224</v>
      </c>
      <c r="L283" s="15">
        <f t="shared" si="418"/>
        <v>50</v>
      </c>
      <c r="M283" s="15">
        <f t="shared" si="419"/>
        <v>0</v>
      </c>
      <c r="N283" s="15">
        <f t="shared" si="420"/>
        <v>60</v>
      </c>
      <c r="O283" s="15">
        <f t="shared" si="421"/>
        <v>337</v>
      </c>
      <c r="P283" s="15" t="str">
        <f t="shared" si="422"/>
        <v>51</v>
      </c>
      <c r="Q283" s="15">
        <f t="shared" si="423"/>
        <v>671</v>
      </c>
      <c r="R283" s="15" t="str">
        <f t="shared" si="424"/>
        <v>9F</v>
      </c>
      <c r="S283" s="131"/>
      <c r="T283" s="131"/>
      <c r="V283" s="72"/>
      <c r="W283" s="72"/>
    </row>
    <row r="284" spans="2:23" ht="16.5" customHeight="1">
      <c r="B284" s="14" t="s">
        <v>1888</v>
      </c>
      <c r="C284" s="14" t="str">
        <f t="shared" si="414"/>
        <v>FF03E033000016</v>
      </c>
      <c r="D284" s="67" t="s">
        <v>91</v>
      </c>
      <c r="E284" s="67" t="s">
        <v>15</v>
      </c>
      <c r="F284" s="67" t="s">
        <v>1871</v>
      </c>
      <c r="G284" s="67" t="s">
        <v>16</v>
      </c>
      <c r="H284" s="67" t="s">
        <v>16</v>
      </c>
      <c r="I284" s="14" t="str">
        <f t="shared" si="415"/>
        <v>16</v>
      </c>
      <c r="J284" s="15">
        <f t="shared" si="416"/>
        <v>3</v>
      </c>
      <c r="K284" s="15">
        <f t="shared" si="417"/>
        <v>224</v>
      </c>
      <c r="L284" s="15">
        <f t="shared" si="418"/>
        <v>51</v>
      </c>
      <c r="M284" s="15">
        <f t="shared" si="419"/>
        <v>0</v>
      </c>
      <c r="N284" s="15">
        <f t="shared" si="420"/>
        <v>0</v>
      </c>
      <c r="O284" s="15">
        <f t="shared" si="421"/>
        <v>278</v>
      </c>
      <c r="P284" s="15" t="str">
        <f t="shared" si="422"/>
        <v>16</v>
      </c>
      <c r="Q284" s="15">
        <f t="shared" si="423"/>
        <v>553</v>
      </c>
      <c r="R284" s="15" t="str">
        <f t="shared" si="424"/>
        <v>29</v>
      </c>
      <c r="S284" s="131"/>
      <c r="T284" s="131"/>
      <c r="V284" s="72"/>
      <c r="W284" s="72"/>
    </row>
    <row r="285" spans="2:23" ht="16.5" customHeight="1">
      <c r="B285" s="14" t="s">
        <v>1889</v>
      </c>
      <c r="C285" s="14" t="str">
        <f t="shared" si="414"/>
        <v>FF03E033000117</v>
      </c>
      <c r="D285" s="67" t="s">
        <v>91</v>
      </c>
      <c r="E285" s="67" t="s">
        <v>15</v>
      </c>
      <c r="F285" s="67" t="s">
        <v>1871</v>
      </c>
      <c r="G285" s="67" t="s">
        <v>16</v>
      </c>
      <c r="H285" s="67" t="s">
        <v>24</v>
      </c>
      <c r="I285" s="14" t="str">
        <f t="shared" si="415"/>
        <v>17</v>
      </c>
      <c r="J285" s="15">
        <f t="shared" si="416"/>
        <v>3</v>
      </c>
      <c r="K285" s="15">
        <f t="shared" si="417"/>
        <v>224</v>
      </c>
      <c r="L285" s="15">
        <f t="shared" si="418"/>
        <v>51</v>
      </c>
      <c r="M285" s="15">
        <f t="shared" si="419"/>
        <v>0</v>
      </c>
      <c r="N285" s="15">
        <f t="shared" si="420"/>
        <v>1</v>
      </c>
      <c r="O285" s="15">
        <f t="shared" si="421"/>
        <v>279</v>
      </c>
      <c r="P285" s="15" t="str">
        <f t="shared" si="422"/>
        <v>17</v>
      </c>
      <c r="Q285" s="15">
        <f t="shared" si="423"/>
        <v>555</v>
      </c>
      <c r="R285" s="15" t="str">
        <f t="shared" si="424"/>
        <v>2B</v>
      </c>
      <c r="S285" s="131"/>
      <c r="T285" s="131"/>
      <c r="V285" s="72"/>
      <c r="W285" s="72"/>
    </row>
    <row r="286" spans="2:23" ht="16.5" customHeight="1">
      <c r="B286" s="14" t="s">
        <v>1890</v>
      </c>
      <c r="C286" s="14" t="str">
        <f t="shared" si="414"/>
        <v>FF03E033000218</v>
      </c>
      <c r="D286" s="67" t="s">
        <v>91</v>
      </c>
      <c r="E286" s="67" t="s">
        <v>15</v>
      </c>
      <c r="F286" s="67" t="s">
        <v>1871</v>
      </c>
      <c r="G286" s="67" t="s">
        <v>16</v>
      </c>
      <c r="H286" s="67" t="s">
        <v>17</v>
      </c>
      <c r="I286" s="14" t="str">
        <f t="shared" si="415"/>
        <v>18</v>
      </c>
      <c r="J286" s="15">
        <f t="shared" si="416"/>
        <v>3</v>
      </c>
      <c r="K286" s="15">
        <f t="shared" si="417"/>
        <v>224</v>
      </c>
      <c r="L286" s="15">
        <f t="shared" si="418"/>
        <v>51</v>
      </c>
      <c r="M286" s="15">
        <f t="shared" si="419"/>
        <v>0</v>
      </c>
      <c r="N286" s="15">
        <f t="shared" si="420"/>
        <v>2</v>
      </c>
      <c r="O286" s="15">
        <f t="shared" si="421"/>
        <v>280</v>
      </c>
      <c r="P286" s="15" t="str">
        <f t="shared" si="422"/>
        <v>18</v>
      </c>
      <c r="Q286" s="15">
        <f t="shared" si="423"/>
        <v>557</v>
      </c>
      <c r="R286" s="15" t="str">
        <f t="shared" si="424"/>
        <v>2D</v>
      </c>
      <c r="S286" s="131"/>
      <c r="T286" s="131"/>
      <c r="V286" s="72"/>
      <c r="W286" s="72"/>
    </row>
    <row r="287" spans="2:23" ht="17.25">
      <c r="B287" s="14" t="s">
        <v>1891</v>
      </c>
      <c r="C287" s="14" t="str">
        <f t="shared" si="414"/>
        <v>FF03E033000319</v>
      </c>
      <c r="D287" s="67" t="s">
        <v>91</v>
      </c>
      <c r="E287" s="67" t="s">
        <v>15</v>
      </c>
      <c r="F287" s="67" t="s">
        <v>1871</v>
      </c>
      <c r="G287" s="67" t="s">
        <v>16</v>
      </c>
      <c r="H287" s="67" t="s">
        <v>91</v>
      </c>
      <c r="I287" s="14" t="str">
        <f t="shared" si="415"/>
        <v>19</v>
      </c>
      <c r="J287" s="15">
        <f t="shared" si="416"/>
        <v>3</v>
      </c>
      <c r="K287" s="15">
        <f t="shared" si="417"/>
        <v>224</v>
      </c>
      <c r="L287" s="15">
        <f t="shared" si="418"/>
        <v>51</v>
      </c>
      <c r="M287" s="15">
        <f t="shared" si="419"/>
        <v>0</v>
      </c>
      <c r="N287" s="15">
        <f t="shared" si="420"/>
        <v>3</v>
      </c>
      <c r="O287" s="15">
        <f t="shared" si="421"/>
        <v>281</v>
      </c>
      <c r="P287" s="15" t="str">
        <f t="shared" si="422"/>
        <v>19</v>
      </c>
      <c r="Q287" s="15">
        <f t="shared" si="423"/>
        <v>559</v>
      </c>
      <c r="R287" s="15" t="str">
        <f t="shared" si="424"/>
        <v>2F</v>
      </c>
      <c r="S287" s="131"/>
      <c r="T287" s="131"/>
      <c r="V287" s="72"/>
      <c r="W287" s="72"/>
    </row>
    <row r="288" spans="2:23" ht="17.25">
      <c r="B288" s="14" t="s">
        <v>1892</v>
      </c>
      <c r="C288" s="14" t="str">
        <f t="shared" si="414"/>
        <v>FF03E03300041A</v>
      </c>
      <c r="D288" s="67" t="s">
        <v>91</v>
      </c>
      <c r="E288" s="67" t="s">
        <v>15</v>
      </c>
      <c r="F288" s="67" t="s">
        <v>1871</v>
      </c>
      <c r="G288" s="67" t="s">
        <v>16</v>
      </c>
      <c r="H288" s="67" t="s">
        <v>67</v>
      </c>
      <c r="I288" s="14" t="str">
        <f t="shared" si="415"/>
        <v>1A</v>
      </c>
      <c r="J288" s="15">
        <f t="shared" si="416"/>
        <v>3</v>
      </c>
      <c r="K288" s="15">
        <f t="shared" si="417"/>
        <v>224</v>
      </c>
      <c r="L288" s="15">
        <f t="shared" si="418"/>
        <v>51</v>
      </c>
      <c r="M288" s="15">
        <f t="shared" si="419"/>
        <v>0</v>
      </c>
      <c r="N288" s="15">
        <f t="shared" si="420"/>
        <v>4</v>
      </c>
      <c r="O288" s="15">
        <f t="shared" si="421"/>
        <v>282</v>
      </c>
      <c r="P288" s="15" t="str">
        <f t="shared" si="422"/>
        <v>1A</v>
      </c>
      <c r="Q288" s="15">
        <f t="shared" si="423"/>
        <v>561</v>
      </c>
      <c r="R288" s="15" t="str">
        <f t="shared" si="424"/>
        <v>31</v>
      </c>
      <c r="S288" s="131"/>
      <c r="T288" s="131"/>
      <c r="V288" s="72"/>
      <c r="W288" s="72"/>
    </row>
    <row r="289" spans="2:23" ht="17.25">
      <c r="B289" s="14" t="s">
        <v>1893</v>
      </c>
      <c r="C289" s="14" t="str">
        <f t="shared" si="414"/>
        <v>FF03E03300051B</v>
      </c>
      <c r="D289" s="67" t="s">
        <v>91</v>
      </c>
      <c r="E289" s="67" t="s">
        <v>15</v>
      </c>
      <c r="F289" s="67" t="s">
        <v>1871</v>
      </c>
      <c r="G289" s="67" t="s">
        <v>16</v>
      </c>
      <c r="H289" s="67" t="s">
        <v>92</v>
      </c>
      <c r="I289" s="14" t="str">
        <f t="shared" si="415"/>
        <v>1B</v>
      </c>
      <c r="J289" s="15">
        <f t="shared" si="416"/>
        <v>3</v>
      </c>
      <c r="K289" s="15">
        <f t="shared" si="417"/>
        <v>224</v>
      </c>
      <c r="L289" s="15">
        <f t="shared" si="418"/>
        <v>51</v>
      </c>
      <c r="M289" s="15">
        <f t="shared" si="419"/>
        <v>0</v>
      </c>
      <c r="N289" s="15">
        <f t="shared" si="420"/>
        <v>5</v>
      </c>
      <c r="O289" s="15">
        <f t="shared" si="421"/>
        <v>283</v>
      </c>
      <c r="P289" s="15" t="str">
        <f t="shared" si="422"/>
        <v>1B</v>
      </c>
      <c r="Q289" s="15">
        <f t="shared" si="423"/>
        <v>563</v>
      </c>
      <c r="R289" s="15" t="str">
        <f t="shared" si="424"/>
        <v>33</v>
      </c>
      <c r="S289" s="131"/>
      <c r="T289" s="131"/>
      <c r="V289" s="72"/>
      <c r="W289" s="72"/>
    </row>
    <row r="290" spans="2:23" ht="17.25">
      <c r="B290" s="14" t="s">
        <v>1894</v>
      </c>
      <c r="C290" s="14" t="str">
        <f t="shared" si="414"/>
        <v>FF03E03300061C</v>
      </c>
      <c r="D290" s="67" t="s">
        <v>91</v>
      </c>
      <c r="E290" s="67" t="s">
        <v>15</v>
      </c>
      <c r="F290" s="67" t="s">
        <v>1871</v>
      </c>
      <c r="G290" s="67" t="s">
        <v>16</v>
      </c>
      <c r="H290" s="67" t="s">
        <v>100</v>
      </c>
      <c r="I290" s="14" t="str">
        <f t="shared" si="415"/>
        <v>1C</v>
      </c>
      <c r="J290" s="15">
        <f t="shared" si="416"/>
        <v>3</v>
      </c>
      <c r="K290" s="15">
        <f t="shared" si="417"/>
        <v>224</v>
      </c>
      <c r="L290" s="15">
        <f t="shared" si="418"/>
        <v>51</v>
      </c>
      <c r="M290" s="15">
        <f t="shared" si="419"/>
        <v>0</v>
      </c>
      <c r="N290" s="15">
        <f t="shared" si="420"/>
        <v>6</v>
      </c>
      <c r="O290" s="15">
        <f t="shared" si="421"/>
        <v>284</v>
      </c>
      <c r="P290" s="15" t="str">
        <f t="shared" si="422"/>
        <v>1C</v>
      </c>
      <c r="Q290" s="15">
        <f t="shared" si="423"/>
        <v>565</v>
      </c>
      <c r="R290" s="15" t="str">
        <f t="shared" si="424"/>
        <v>35</v>
      </c>
      <c r="S290" s="131"/>
      <c r="T290" s="131"/>
      <c r="V290" s="72"/>
      <c r="W290" s="72"/>
    </row>
    <row r="291" spans="2:23" ht="17.25">
      <c r="B291" s="14" t="s">
        <v>1895</v>
      </c>
      <c r="C291" s="14" t="str">
        <f t="shared" si="414"/>
        <v>FF03E03300071D</v>
      </c>
      <c r="D291" s="67" t="s">
        <v>91</v>
      </c>
      <c r="E291" s="67" t="s">
        <v>15</v>
      </c>
      <c r="F291" s="67" t="s">
        <v>1871</v>
      </c>
      <c r="G291" s="67" t="s">
        <v>16</v>
      </c>
      <c r="H291" s="67" t="s">
        <v>101</v>
      </c>
      <c r="I291" s="14" t="str">
        <f t="shared" si="415"/>
        <v>1D</v>
      </c>
      <c r="J291" s="15">
        <f t="shared" si="416"/>
        <v>3</v>
      </c>
      <c r="K291" s="15">
        <f t="shared" si="417"/>
        <v>224</v>
      </c>
      <c r="L291" s="15">
        <f t="shared" si="418"/>
        <v>51</v>
      </c>
      <c r="M291" s="15">
        <f t="shared" si="419"/>
        <v>0</v>
      </c>
      <c r="N291" s="15">
        <f t="shared" si="420"/>
        <v>7</v>
      </c>
      <c r="O291" s="15">
        <f t="shared" si="421"/>
        <v>285</v>
      </c>
      <c r="P291" s="15" t="str">
        <f t="shared" si="422"/>
        <v>1D</v>
      </c>
      <c r="Q291" s="15">
        <f t="shared" si="423"/>
        <v>567</v>
      </c>
      <c r="R291" s="15" t="str">
        <f t="shared" si="424"/>
        <v>37</v>
      </c>
      <c r="S291" s="131"/>
      <c r="T291" s="131"/>
      <c r="V291" s="72"/>
      <c r="W291" s="72"/>
    </row>
    <row r="292" spans="2:23" ht="16.5" customHeight="1">
      <c r="B292" s="14" t="s">
        <v>1896</v>
      </c>
      <c r="C292" s="14" t="str">
        <f t="shared" si="414"/>
        <v>FF03E034000118</v>
      </c>
      <c r="D292" s="67" t="s">
        <v>91</v>
      </c>
      <c r="E292" s="67" t="s">
        <v>15</v>
      </c>
      <c r="F292" s="67" t="s">
        <v>1872</v>
      </c>
      <c r="G292" s="67" t="s">
        <v>16</v>
      </c>
      <c r="H292" s="67" t="s">
        <v>24</v>
      </c>
      <c r="I292" s="14" t="str">
        <f t="shared" si="415"/>
        <v>18</v>
      </c>
      <c r="J292" s="15">
        <f t="shared" si="416"/>
        <v>3</v>
      </c>
      <c r="K292" s="15">
        <f t="shared" si="417"/>
        <v>224</v>
      </c>
      <c r="L292" s="15">
        <f t="shared" si="418"/>
        <v>52</v>
      </c>
      <c r="M292" s="15">
        <f t="shared" si="419"/>
        <v>0</v>
      </c>
      <c r="N292" s="15">
        <f t="shared" si="420"/>
        <v>1</v>
      </c>
      <c r="O292" s="15">
        <f t="shared" si="421"/>
        <v>280</v>
      </c>
      <c r="P292" s="15" t="str">
        <f t="shared" si="422"/>
        <v>18</v>
      </c>
      <c r="Q292" s="15">
        <f t="shared" si="423"/>
        <v>557</v>
      </c>
      <c r="R292" s="15" t="str">
        <f t="shared" si="424"/>
        <v>2D</v>
      </c>
      <c r="S292" s="131"/>
      <c r="T292" s="131"/>
      <c r="V292" s="72"/>
      <c r="W292" s="72"/>
    </row>
    <row r="293" spans="2:23" ht="16.5" customHeight="1">
      <c r="B293" s="14" t="s">
        <v>1897</v>
      </c>
      <c r="C293" s="14" t="str">
        <f t="shared" si="414"/>
        <v>FF03E034000219</v>
      </c>
      <c r="D293" s="67" t="s">
        <v>91</v>
      </c>
      <c r="E293" s="67" t="s">
        <v>15</v>
      </c>
      <c r="F293" s="67" t="s">
        <v>1872</v>
      </c>
      <c r="G293" s="67" t="s">
        <v>16</v>
      </c>
      <c r="H293" s="67" t="s">
        <v>17</v>
      </c>
      <c r="I293" s="14" t="str">
        <f t="shared" si="415"/>
        <v>19</v>
      </c>
      <c r="J293" s="15">
        <f t="shared" si="416"/>
        <v>3</v>
      </c>
      <c r="K293" s="15">
        <f t="shared" si="417"/>
        <v>224</v>
      </c>
      <c r="L293" s="15">
        <f t="shared" si="418"/>
        <v>52</v>
      </c>
      <c r="M293" s="15">
        <f t="shared" si="419"/>
        <v>0</v>
      </c>
      <c r="N293" s="15">
        <f t="shared" si="420"/>
        <v>2</v>
      </c>
      <c r="O293" s="15">
        <f t="shared" si="421"/>
        <v>281</v>
      </c>
      <c r="P293" s="15" t="str">
        <f t="shared" si="422"/>
        <v>19</v>
      </c>
      <c r="Q293" s="15">
        <f t="shared" si="423"/>
        <v>559</v>
      </c>
      <c r="R293" s="15" t="str">
        <f t="shared" si="424"/>
        <v>2F</v>
      </c>
      <c r="S293" s="131"/>
      <c r="T293" s="131"/>
      <c r="V293" s="72"/>
      <c r="W293" s="72"/>
    </row>
    <row r="294" spans="2:23" ht="16.5" customHeight="1">
      <c r="B294" s="14" t="s">
        <v>1898</v>
      </c>
      <c r="C294" s="14" t="str">
        <f t="shared" si="414"/>
        <v>FF03E03400031A</v>
      </c>
      <c r="D294" s="67" t="s">
        <v>91</v>
      </c>
      <c r="E294" s="67" t="s">
        <v>15</v>
      </c>
      <c r="F294" s="67" t="s">
        <v>1872</v>
      </c>
      <c r="G294" s="67" t="s">
        <v>16</v>
      </c>
      <c r="H294" s="67" t="s">
        <v>91</v>
      </c>
      <c r="I294" s="14" t="str">
        <f t="shared" si="415"/>
        <v>1A</v>
      </c>
      <c r="J294" s="15">
        <f t="shared" si="416"/>
        <v>3</v>
      </c>
      <c r="K294" s="15">
        <f t="shared" si="417"/>
        <v>224</v>
      </c>
      <c r="L294" s="15">
        <f t="shared" si="418"/>
        <v>52</v>
      </c>
      <c r="M294" s="15">
        <f t="shared" si="419"/>
        <v>0</v>
      </c>
      <c r="N294" s="15">
        <f t="shared" si="420"/>
        <v>3</v>
      </c>
      <c r="O294" s="15">
        <f t="shared" si="421"/>
        <v>282</v>
      </c>
      <c r="P294" s="15" t="str">
        <f t="shared" si="422"/>
        <v>1A</v>
      </c>
      <c r="Q294" s="15">
        <f t="shared" si="423"/>
        <v>561</v>
      </c>
      <c r="R294" s="15" t="str">
        <f t="shared" si="424"/>
        <v>31</v>
      </c>
      <c r="S294" s="131"/>
      <c r="T294" s="131"/>
      <c r="V294" s="72"/>
      <c r="W294" s="72"/>
    </row>
    <row r="295" spans="2:23" ht="16.5" customHeight="1">
      <c r="B295" s="14" t="s">
        <v>1899</v>
      </c>
      <c r="C295" s="14" t="str">
        <f t="shared" si="414"/>
        <v>FF03E03400041B</v>
      </c>
      <c r="D295" s="67" t="s">
        <v>91</v>
      </c>
      <c r="E295" s="67" t="s">
        <v>15</v>
      </c>
      <c r="F295" s="67" t="s">
        <v>1872</v>
      </c>
      <c r="G295" s="67" t="s">
        <v>16</v>
      </c>
      <c r="H295" s="67" t="s">
        <v>67</v>
      </c>
      <c r="I295" s="14" t="str">
        <f t="shared" si="415"/>
        <v>1B</v>
      </c>
      <c r="J295" s="15">
        <f t="shared" si="416"/>
        <v>3</v>
      </c>
      <c r="K295" s="15">
        <f t="shared" si="417"/>
        <v>224</v>
      </c>
      <c r="L295" s="15">
        <f t="shared" si="418"/>
        <v>52</v>
      </c>
      <c r="M295" s="15">
        <f t="shared" si="419"/>
        <v>0</v>
      </c>
      <c r="N295" s="15">
        <f t="shared" si="420"/>
        <v>4</v>
      </c>
      <c r="O295" s="15">
        <f t="shared" si="421"/>
        <v>283</v>
      </c>
      <c r="P295" s="15" t="str">
        <f t="shared" si="422"/>
        <v>1B</v>
      </c>
      <c r="Q295" s="15">
        <f t="shared" si="423"/>
        <v>563</v>
      </c>
      <c r="R295" s="15" t="str">
        <f t="shared" si="424"/>
        <v>33</v>
      </c>
      <c r="S295" s="131"/>
      <c r="T295" s="131"/>
      <c r="V295" s="72"/>
      <c r="W295" s="72"/>
    </row>
    <row r="296" spans="2:23" ht="16.5" customHeight="1">
      <c r="B296" s="14" t="s">
        <v>1900</v>
      </c>
      <c r="C296" s="14" t="str">
        <f t="shared" si="414"/>
        <v>FF03E035FFCEE5</v>
      </c>
      <c r="D296" s="67" t="s">
        <v>91</v>
      </c>
      <c r="E296" s="67" t="s">
        <v>15</v>
      </c>
      <c r="F296" s="67" t="s">
        <v>1873</v>
      </c>
      <c r="G296" s="67" t="s">
        <v>9</v>
      </c>
      <c r="H296" s="67" t="s">
        <v>1980</v>
      </c>
      <c r="I296" s="14" t="str">
        <f t="shared" si="415"/>
        <v>E5</v>
      </c>
      <c r="J296" s="15">
        <f t="shared" si="416"/>
        <v>3</v>
      </c>
      <c r="K296" s="15">
        <f t="shared" si="417"/>
        <v>224</v>
      </c>
      <c r="L296" s="15">
        <f t="shared" si="418"/>
        <v>53</v>
      </c>
      <c r="M296" s="15">
        <f t="shared" si="419"/>
        <v>255</v>
      </c>
      <c r="N296" s="15">
        <f t="shared" si="420"/>
        <v>206</v>
      </c>
      <c r="O296" s="15">
        <f t="shared" si="421"/>
        <v>741</v>
      </c>
      <c r="P296" s="15" t="str">
        <f t="shared" si="422"/>
        <v>E5</v>
      </c>
      <c r="Q296" s="15">
        <f t="shared" si="423"/>
        <v>1479</v>
      </c>
      <c r="R296" s="15" t="str">
        <f t="shared" si="424"/>
        <v>C7</v>
      </c>
      <c r="S296" s="131">
        <v>-50</v>
      </c>
      <c r="T296" s="131"/>
      <c r="U296" s="131" t="str">
        <f>TEXT(DEC2HEX(65536 + S296), "0000")</f>
        <v>FFCE</v>
      </c>
      <c r="V296" s="72"/>
      <c r="W296" s="72"/>
    </row>
    <row r="297" spans="2:23" ht="16.5" customHeight="1">
      <c r="B297" s="14" t="s">
        <v>1901</v>
      </c>
      <c r="C297" s="14" t="str">
        <f t="shared" si="414"/>
        <v>FF03E03500324A</v>
      </c>
      <c r="D297" s="67" t="s">
        <v>91</v>
      </c>
      <c r="E297" s="67" t="s">
        <v>15</v>
      </c>
      <c r="F297" s="67" t="s">
        <v>1873</v>
      </c>
      <c r="G297" s="67" t="s">
        <v>16</v>
      </c>
      <c r="H297" s="67" t="s">
        <v>1336</v>
      </c>
      <c r="I297" s="14" t="str">
        <f t="shared" si="415"/>
        <v>4A</v>
      </c>
      <c r="J297" s="15">
        <f t="shared" si="416"/>
        <v>3</v>
      </c>
      <c r="K297" s="15">
        <f t="shared" si="417"/>
        <v>224</v>
      </c>
      <c r="L297" s="15">
        <f t="shared" si="418"/>
        <v>53</v>
      </c>
      <c r="M297" s="15">
        <f t="shared" si="419"/>
        <v>0</v>
      </c>
      <c r="N297" s="15">
        <f t="shared" si="420"/>
        <v>50</v>
      </c>
      <c r="O297" s="15">
        <f t="shared" si="421"/>
        <v>330</v>
      </c>
      <c r="P297" s="15" t="str">
        <f t="shared" si="422"/>
        <v>4A</v>
      </c>
      <c r="Q297" s="15">
        <f t="shared" si="423"/>
        <v>657</v>
      </c>
      <c r="R297" s="15" t="str">
        <f t="shared" si="424"/>
        <v>91</v>
      </c>
      <c r="S297" s="131">
        <v>50</v>
      </c>
      <c r="T297" s="131" t="str">
        <f>DEC2HEX(S297)</f>
        <v>32</v>
      </c>
      <c r="U297" s="131"/>
      <c r="V297" s="72"/>
      <c r="W297" s="72"/>
    </row>
    <row r="298" spans="2:23" ht="25.5">
      <c r="B298" s="14" t="s">
        <v>1982</v>
      </c>
      <c r="C298" s="14" t="str">
        <f t="shared" si="414"/>
        <v>FF03E036FFCEE6</v>
      </c>
      <c r="D298" s="67" t="s">
        <v>91</v>
      </c>
      <c r="E298" s="67" t="s">
        <v>15</v>
      </c>
      <c r="F298" s="67" t="s">
        <v>1874</v>
      </c>
      <c r="G298" s="67" t="s">
        <v>9</v>
      </c>
      <c r="H298" s="67" t="s">
        <v>1980</v>
      </c>
      <c r="I298" s="14" t="str">
        <f t="shared" si="415"/>
        <v>E6</v>
      </c>
      <c r="J298" s="15">
        <f t="shared" si="416"/>
        <v>3</v>
      </c>
      <c r="K298" s="15">
        <f t="shared" si="417"/>
        <v>224</v>
      </c>
      <c r="L298" s="15">
        <f t="shared" si="418"/>
        <v>54</v>
      </c>
      <c r="M298" s="15">
        <f t="shared" si="419"/>
        <v>255</v>
      </c>
      <c r="N298" s="15">
        <f t="shared" si="420"/>
        <v>206</v>
      </c>
      <c r="O298" s="15">
        <f t="shared" si="421"/>
        <v>742</v>
      </c>
      <c r="P298" s="15" t="str">
        <f t="shared" si="422"/>
        <v>E6</v>
      </c>
      <c r="Q298" s="15">
        <f t="shared" si="423"/>
        <v>1481</v>
      </c>
      <c r="R298" s="15" t="str">
        <f t="shared" si="424"/>
        <v>C9</v>
      </c>
      <c r="S298" s="131"/>
      <c r="T298" s="131"/>
      <c r="V298" s="72"/>
      <c r="W298" s="72"/>
    </row>
    <row r="299" spans="2:23" ht="25.5">
      <c r="B299" s="14" t="s">
        <v>1981</v>
      </c>
      <c r="C299" s="14" t="str">
        <f t="shared" si="414"/>
        <v>FF03E03600324B</v>
      </c>
      <c r="D299" s="67" t="s">
        <v>91</v>
      </c>
      <c r="E299" s="67" t="s">
        <v>15</v>
      </c>
      <c r="F299" s="67" t="s">
        <v>1874</v>
      </c>
      <c r="G299" s="67" t="s">
        <v>16</v>
      </c>
      <c r="H299" s="67" t="s">
        <v>1336</v>
      </c>
      <c r="I299" s="14" t="str">
        <f t="shared" si="415"/>
        <v>4B</v>
      </c>
      <c r="J299" s="15">
        <f t="shared" si="416"/>
        <v>3</v>
      </c>
      <c r="K299" s="15">
        <f t="shared" si="417"/>
        <v>224</v>
      </c>
      <c r="L299" s="15">
        <f t="shared" si="418"/>
        <v>54</v>
      </c>
      <c r="M299" s="15">
        <f t="shared" si="419"/>
        <v>0</v>
      </c>
      <c r="N299" s="15">
        <f t="shared" si="420"/>
        <v>50</v>
      </c>
      <c r="O299" s="15">
        <f t="shared" si="421"/>
        <v>331</v>
      </c>
      <c r="P299" s="15" t="str">
        <f t="shared" si="422"/>
        <v>4B</v>
      </c>
      <c r="Q299" s="15">
        <f t="shared" si="423"/>
        <v>659</v>
      </c>
      <c r="R299" s="15" t="str">
        <f t="shared" si="424"/>
        <v>93</v>
      </c>
      <c r="S299" s="131"/>
      <c r="T299" s="131"/>
      <c r="V299" s="72"/>
      <c r="W299" s="72"/>
    </row>
    <row r="300" spans="2:23" ht="16.5" customHeight="1">
      <c r="B300" s="14" t="s">
        <v>1902</v>
      </c>
      <c r="C300" s="14" t="str">
        <f t="shared" si="414"/>
        <v>FF03E03700001A</v>
      </c>
      <c r="D300" s="67" t="s">
        <v>91</v>
      </c>
      <c r="E300" s="67" t="s">
        <v>15</v>
      </c>
      <c r="F300" s="67" t="s">
        <v>1875</v>
      </c>
      <c r="G300" s="67" t="s">
        <v>16</v>
      </c>
      <c r="H300" s="67" t="s">
        <v>16</v>
      </c>
      <c r="I300" s="14" t="str">
        <f t="shared" si="415"/>
        <v>1A</v>
      </c>
      <c r="J300" s="15">
        <f t="shared" si="416"/>
        <v>3</v>
      </c>
      <c r="K300" s="15">
        <f t="shared" si="417"/>
        <v>224</v>
      </c>
      <c r="L300" s="15">
        <f t="shared" si="418"/>
        <v>55</v>
      </c>
      <c r="M300" s="15">
        <f t="shared" si="419"/>
        <v>0</v>
      </c>
      <c r="N300" s="15">
        <f t="shared" si="420"/>
        <v>0</v>
      </c>
      <c r="O300" s="15">
        <f t="shared" si="421"/>
        <v>282</v>
      </c>
      <c r="P300" s="15" t="str">
        <f t="shared" si="422"/>
        <v>1A</v>
      </c>
      <c r="Q300" s="15">
        <f t="shared" si="423"/>
        <v>561</v>
      </c>
      <c r="R300" s="15" t="str">
        <f t="shared" si="424"/>
        <v>31</v>
      </c>
      <c r="S300" s="131"/>
      <c r="T300" s="131"/>
      <c r="V300" s="72"/>
      <c r="W300" s="72"/>
    </row>
    <row r="301" spans="2:23" ht="16.5" customHeight="1">
      <c r="B301" s="14" t="s">
        <v>1903</v>
      </c>
      <c r="C301" s="14" t="str">
        <f t="shared" si="414"/>
        <v>FF03E037001E38</v>
      </c>
      <c r="D301" s="67" t="s">
        <v>91</v>
      </c>
      <c r="E301" s="67" t="s">
        <v>15</v>
      </c>
      <c r="F301" s="67" t="s">
        <v>1875</v>
      </c>
      <c r="G301" s="67" t="s">
        <v>16</v>
      </c>
      <c r="H301" s="67" t="s">
        <v>63</v>
      </c>
      <c r="I301" s="14" t="str">
        <f t="shared" si="415"/>
        <v>38</v>
      </c>
      <c r="J301" s="15">
        <f t="shared" si="416"/>
        <v>3</v>
      </c>
      <c r="K301" s="15">
        <f t="shared" si="417"/>
        <v>224</v>
      </c>
      <c r="L301" s="15">
        <f t="shared" si="418"/>
        <v>55</v>
      </c>
      <c r="M301" s="15">
        <f t="shared" si="419"/>
        <v>0</v>
      </c>
      <c r="N301" s="15">
        <f t="shared" si="420"/>
        <v>30</v>
      </c>
      <c r="O301" s="15">
        <f t="shared" si="421"/>
        <v>312</v>
      </c>
      <c r="P301" s="15" t="str">
        <f t="shared" si="422"/>
        <v>38</v>
      </c>
      <c r="Q301" s="15">
        <f t="shared" si="423"/>
        <v>621</v>
      </c>
      <c r="R301" s="15" t="str">
        <f t="shared" si="424"/>
        <v>6D</v>
      </c>
      <c r="S301" s="131">
        <v>30</v>
      </c>
      <c r="T301" s="131" t="str">
        <f>DEC2HEX(S301)</f>
        <v>1E</v>
      </c>
      <c r="V301" s="72"/>
      <c r="W301" s="72"/>
    </row>
    <row r="302" spans="2:23" ht="16.5" customHeight="1">
      <c r="B302" s="14" t="s">
        <v>1904</v>
      </c>
      <c r="C302" s="14" t="str">
        <f t="shared" ref="C302:C316" si="425">"FF"&amp;D302&amp;E302&amp;""&amp;F302&amp;G302&amp;H302&amp;I302</f>
        <v>FF03E03800001B</v>
      </c>
      <c r="D302" s="67" t="s">
        <v>91</v>
      </c>
      <c r="E302" s="67" t="s">
        <v>15</v>
      </c>
      <c r="F302" s="67" t="s">
        <v>1876</v>
      </c>
      <c r="G302" s="67" t="s">
        <v>16</v>
      </c>
      <c r="H302" s="67" t="s">
        <v>16</v>
      </c>
      <c r="I302" s="14" t="str">
        <f t="shared" ref="I302:I316" si="426">P302</f>
        <v>1B</v>
      </c>
      <c r="J302" s="15">
        <f t="shared" ref="J302:J316" si="427">HEX2DEC(D302)</f>
        <v>3</v>
      </c>
      <c r="K302" s="15">
        <f t="shared" ref="K302:K316" si="428">HEX2DEC(E302)</f>
        <v>224</v>
      </c>
      <c r="L302" s="15">
        <f t="shared" ref="L302:L316" si="429">HEX2DEC(F302)</f>
        <v>56</v>
      </c>
      <c r="M302" s="15">
        <f t="shared" ref="M302:M316" si="430">HEX2DEC(G302)</f>
        <v>0</v>
      </c>
      <c r="N302" s="15">
        <f t="shared" ref="N302:N316" si="431">HEX2DEC(H302)</f>
        <v>0</v>
      </c>
      <c r="O302" s="15">
        <f t="shared" ref="O302:O316" si="432">SUM(J302:N302)</f>
        <v>283</v>
      </c>
      <c r="P302" s="15" t="str">
        <f t="shared" ref="P302:P316" si="433">REPT("0",2-LEN(RIGHT(DEC2HEX(O302), 2)))&amp;RIGHT(DEC2HEX(O302), 2)</f>
        <v>1B</v>
      </c>
      <c r="Q302" s="15">
        <f t="shared" ref="Q302:Q316" si="434">SUM(K302:P302)</f>
        <v>563</v>
      </c>
      <c r="R302" s="15" t="str">
        <f t="shared" ref="R302:R316" si="435">REPT("0",2-LEN(RIGHT(DEC2HEX(Q302), 2)))&amp;RIGHT(DEC2HEX(Q302), 2)</f>
        <v>33</v>
      </c>
      <c r="S302" s="131"/>
      <c r="T302" s="131"/>
      <c r="V302" s="72"/>
      <c r="W302" s="72"/>
    </row>
    <row r="303" spans="2:23" ht="16.5" customHeight="1">
      <c r="B303" s="14" t="s">
        <v>1905</v>
      </c>
      <c r="C303" s="14" t="str">
        <f t="shared" si="425"/>
        <v>FF03E03800011C</v>
      </c>
      <c r="D303" s="67" t="s">
        <v>91</v>
      </c>
      <c r="E303" s="67" t="s">
        <v>15</v>
      </c>
      <c r="F303" s="67" t="s">
        <v>1876</v>
      </c>
      <c r="G303" s="67" t="s">
        <v>16</v>
      </c>
      <c r="H303" s="67" t="s">
        <v>24</v>
      </c>
      <c r="I303" s="14" t="str">
        <f t="shared" si="426"/>
        <v>1C</v>
      </c>
      <c r="J303" s="15">
        <f t="shared" si="427"/>
        <v>3</v>
      </c>
      <c r="K303" s="15">
        <f t="shared" si="428"/>
        <v>224</v>
      </c>
      <c r="L303" s="15">
        <f t="shared" si="429"/>
        <v>56</v>
      </c>
      <c r="M303" s="15">
        <f t="shared" si="430"/>
        <v>0</v>
      </c>
      <c r="N303" s="15">
        <f t="shared" si="431"/>
        <v>1</v>
      </c>
      <c r="O303" s="15">
        <f t="shared" si="432"/>
        <v>284</v>
      </c>
      <c r="P303" s="15" t="str">
        <f t="shared" si="433"/>
        <v>1C</v>
      </c>
      <c r="Q303" s="15">
        <f t="shared" si="434"/>
        <v>565</v>
      </c>
      <c r="R303" s="15" t="str">
        <f t="shared" si="435"/>
        <v>35</v>
      </c>
      <c r="S303" s="131"/>
      <c r="T303" s="131"/>
      <c r="V303" s="72"/>
      <c r="W303" s="72"/>
    </row>
    <row r="304" spans="2:23" ht="16.5" customHeight="1">
      <c r="B304" s="14" t="s">
        <v>1906</v>
      </c>
      <c r="C304" s="14" t="str">
        <f t="shared" si="425"/>
        <v>FF03E03800021D</v>
      </c>
      <c r="D304" s="67" t="s">
        <v>91</v>
      </c>
      <c r="E304" s="67" t="s">
        <v>15</v>
      </c>
      <c r="F304" s="67" t="s">
        <v>1876</v>
      </c>
      <c r="G304" s="67" t="s">
        <v>16</v>
      </c>
      <c r="H304" s="67" t="s">
        <v>17</v>
      </c>
      <c r="I304" s="14" t="str">
        <f t="shared" si="426"/>
        <v>1D</v>
      </c>
      <c r="J304" s="15">
        <f t="shared" si="427"/>
        <v>3</v>
      </c>
      <c r="K304" s="15">
        <f t="shared" si="428"/>
        <v>224</v>
      </c>
      <c r="L304" s="15">
        <f t="shared" si="429"/>
        <v>56</v>
      </c>
      <c r="M304" s="15">
        <f t="shared" si="430"/>
        <v>0</v>
      </c>
      <c r="N304" s="15">
        <f t="shared" si="431"/>
        <v>2</v>
      </c>
      <c r="O304" s="15">
        <f t="shared" si="432"/>
        <v>285</v>
      </c>
      <c r="P304" s="15" t="str">
        <f t="shared" si="433"/>
        <v>1D</v>
      </c>
      <c r="Q304" s="15">
        <f t="shared" si="434"/>
        <v>567</v>
      </c>
      <c r="R304" s="15" t="str">
        <f t="shared" si="435"/>
        <v>37</v>
      </c>
      <c r="S304" s="131"/>
      <c r="T304" s="131"/>
      <c r="V304" s="72"/>
      <c r="W304" s="72"/>
    </row>
    <row r="305" spans="2:23" ht="16.5" customHeight="1">
      <c r="B305" s="14" t="s">
        <v>1907</v>
      </c>
      <c r="C305" s="14" t="str">
        <f t="shared" si="425"/>
        <v>FF03E03800031E</v>
      </c>
      <c r="D305" s="67" t="s">
        <v>91</v>
      </c>
      <c r="E305" s="67" t="s">
        <v>15</v>
      </c>
      <c r="F305" s="67" t="s">
        <v>1876</v>
      </c>
      <c r="G305" s="67" t="s">
        <v>16</v>
      </c>
      <c r="H305" s="67" t="s">
        <v>91</v>
      </c>
      <c r="I305" s="14" t="str">
        <f t="shared" si="426"/>
        <v>1E</v>
      </c>
      <c r="J305" s="15">
        <f t="shared" si="427"/>
        <v>3</v>
      </c>
      <c r="K305" s="15">
        <f t="shared" si="428"/>
        <v>224</v>
      </c>
      <c r="L305" s="15">
        <f t="shared" si="429"/>
        <v>56</v>
      </c>
      <c r="M305" s="15">
        <f t="shared" si="430"/>
        <v>0</v>
      </c>
      <c r="N305" s="15">
        <f t="shared" si="431"/>
        <v>3</v>
      </c>
      <c r="O305" s="15">
        <f t="shared" si="432"/>
        <v>286</v>
      </c>
      <c r="P305" s="15" t="str">
        <f t="shared" si="433"/>
        <v>1E</v>
      </c>
      <c r="Q305" s="15">
        <f t="shared" si="434"/>
        <v>569</v>
      </c>
      <c r="R305" s="15" t="str">
        <f t="shared" si="435"/>
        <v>39</v>
      </c>
      <c r="S305" s="131"/>
      <c r="T305" s="131"/>
      <c r="V305" s="72"/>
      <c r="W305" s="72"/>
    </row>
    <row r="306" spans="2:23" ht="16.5" customHeight="1">
      <c r="B306" s="14" t="s">
        <v>1908</v>
      </c>
      <c r="C306" s="14" t="str">
        <f t="shared" si="425"/>
        <v>FF03E03800041F</v>
      </c>
      <c r="D306" s="67" t="s">
        <v>91</v>
      </c>
      <c r="E306" s="67" t="s">
        <v>15</v>
      </c>
      <c r="F306" s="67" t="s">
        <v>1876</v>
      </c>
      <c r="G306" s="67" t="s">
        <v>16</v>
      </c>
      <c r="H306" s="67" t="s">
        <v>67</v>
      </c>
      <c r="I306" s="14" t="str">
        <f t="shared" si="426"/>
        <v>1F</v>
      </c>
      <c r="J306" s="15">
        <f t="shared" si="427"/>
        <v>3</v>
      </c>
      <c r="K306" s="15">
        <f t="shared" si="428"/>
        <v>224</v>
      </c>
      <c r="L306" s="15">
        <f t="shared" si="429"/>
        <v>56</v>
      </c>
      <c r="M306" s="15">
        <f t="shared" si="430"/>
        <v>0</v>
      </c>
      <c r="N306" s="15">
        <f t="shared" si="431"/>
        <v>4</v>
      </c>
      <c r="O306" s="15">
        <f t="shared" si="432"/>
        <v>287</v>
      </c>
      <c r="P306" s="15" t="str">
        <f t="shared" si="433"/>
        <v>1F</v>
      </c>
      <c r="Q306" s="15">
        <f t="shared" si="434"/>
        <v>571</v>
      </c>
      <c r="R306" s="15" t="str">
        <f t="shared" si="435"/>
        <v>3B</v>
      </c>
      <c r="S306" s="131"/>
      <c r="T306" s="131"/>
      <c r="V306" s="72"/>
      <c r="W306" s="72"/>
    </row>
    <row r="307" spans="2:23" ht="16.5" customHeight="1">
      <c r="B307" s="14" t="s">
        <v>1909</v>
      </c>
      <c r="C307" s="14" t="str">
        <f t="shared" si="425"/>
        <v>FF03E038000520</v>
      </c>
      <c r="D307" s="67" t="s">
        <v>91</v>
      </c>
      <c r="E307" s="67" t="s">
        <v>15</v>
      </c>
      <c r="F307" s="67" t="s">
        <v>1876</v>
      </c>
      <c r="G307" s="67" t="s">
        <v>16</v>
      </c>
      <c r="H307" s="67" t="s">
        <v>92</v>
      </c>
      <c r="I307" s="14" t="str">
        <f t="shared" si="426"/>
        <v>20</v>
      </c>
      <c r="J307" s="15">
        <f t="shared" si="427"/>
        <v>3</v>
      </c>
      <c r="K307" s="15">
        <f t="shared" si="428"/>
        <v>224</v>
      </c>
      <c r="L307" s="15">
        <f t="shared" si="429"/>
        <v>56</v>
      </c>
      <c r="M307" s="15">
        <f t="shared" si="430"/>
        <v>0</v>
      </c>
      <c r="N307" s="15">
        <f t="shared" si="431"/>
        <v>5</v>
      </c>
      <c r="O307" s="15">
        <f t="shared" si="432"/>
        <v>288</v>
      </c>
      <c r="P307" s="15" t="str">
        <f t="shared" si="433"/>
        <v>20</v>
      </c>
      <c r="Q307" s="15">
        <f t="shared" si="434"/>
        <v>573</v>
      </c>
      <c r="R307" s="15" t="str">
        <f t="shared" si="435"/>
        <v>3D</v>
      </c>
      <c r="S307" s="131"/>
      <c r="T307" s="131"/>
      <c r="V307" s="72"/>
      <c r="W307" s="72"/>
    </row>
    <row r="308" spans="2:23" ht="16.5" customHeight="1">
      <c r="B308" s="14" t="s">
        <v>1910</v>
      </c>
      <c r="C308" s="14" t="str">
        <f t="shared" si="425"/>
        <v>FF03E038000621</v>
      </c>
      <c r="D308" s="67" t="s">
        <v>91</v>
      </c>
      <c r="E308" s="67" t="s">
        <v>15</v>
      </c>
      <c r="F308" s="67" t="s">
        <v>1876</v>
      </c>
      <c r="G308" s="67" t="s">
        <v>16</v>
      </c>
      <c r="H308" s="67" t="s">
        <v>100</v>
      </c>
      <c r="I308" s="14" t="str">
        <f t="shared" si="426"/>
        <v>21</v>
      </c>
      <c r="J308" s="15">
        <f t="shared" si="427"/>
        <v>3</v>
      </c>
      <c r="K308" s="15">
        <f t="shared" si="428"/>
        <v>224</v>
      </c>
      <c r="L308" s="15">
        <f t="shared" si="429"/>
        <v>56</v>
      </c>
      <c r="M308" s="15">
        <f t="shared" si="430"/>
        <v>0</v>
      </c>
      <c r="N308" s="15">
        <f t="shared" si="431"/>
        <v>6</v>
      </c>
      <c r="O308" s="15">
        <f t="shared" si="432"/>
        <v>289</v>
      </c>
      <c r="P308" s="15" t="str">
        <f t="shared" si="433"/>
        <v>21</v>
      </c>
      <c r="Q308" s="15">
        <f t="shared" si="434"/>
        <v>575</v>
      </c>
      <c r="R308" s="15" t="str">
        <f t="shared" si="435"/>
        <v>3F</v>
      </c>
      <c r="S308" s="131"/>
      <c r="T308" s="131"/>
      <c r="V308" s="72"/>
      <c r="W308" s="72"/>
    </row>
    <row r="309" spans="2:23" ht="16.5" customHeight="1">
      <c r="B309" s="14" t="s">
        <v>1911</v>
      </c>
      <c r="C309" s="14" t="str">
        <f t="shared" si="425"/>
        <v>FF03E038000722</v>
      </c>
      <c r="D309" s="67" t="s">
        <v>91</v>
      </c>
      <c r="E309" s="67" t="s">
        <v>15</v>
      </c>
      <c r="F309" s="67" t="s">
        <v>1876</v>
      </c>
      <c r="G309" s="67" t="s">
        <v>16</v>
      </c>
      <c r="H309" s="67" t="s">
        <v>101</v>
      </c>
      <c r="I309" s="14" t="str">
        <f t="shared" si="426"/>
        <v>22</v>
      </c>
      <c r="J309" s="15">
        <f t="shared" si="427"/>
        <v>3</v>
      </c>
      <c r="K309" s="15">
        <f t="shared" si="428"/>
        <v>224</v>
      </c>
      <c r="L309" s="15">
        <f t="shared" si="429"/>
        <v>56</v>
      </c>
      <c r="M309" s="15">
        <f t="shared" si="430"/>
        <v>0</v>
      </c>
      <c r="N309" s="15">
        <f t="shared" si="431"/>
        <v>7</v>
      </c>
      <c r="O309" s="15">
        <f t="shared" si="432"/>
        <v>290</v>
      </c>
      <c r="P309" s="15" t="str">
        <f t="shared" si="433"/>
        <v>22</v>
      </c>
      <c r="Q309" s="15">
        <f t="shared" si="434"/>
        <v>577</v>
      </c>
      <c r="R309" s="15" t="str">
        <f t="shared" si="435"/>
        <v>41</v>
      </c>
      <c r="S309" s="131"/>
      <c r="T309" s="131"/>
      <c r="V309" s="72"/>
      <c r="W309" s="72"/>
    </row>
    <row r="310" spans="2:23" ht="16.5" customHeight="1">
      <c r="B310" s="14" t="s">
        <v>1912</v>
      </c>
      <c r="C310" s="14" t="str">
        <f t="shared" si="425"/>
        <v>FF03E038000823</v>
      </c>
      <c r="D310" s="67" t="s">
        <v>91</v>
      </c>
      <c r="E310" s="67" t="s">
        <v>15</v>
      </c>
      <c r="F310" s="67" t="s">
        <v>1876</v>
      </c>
      <c r="G310" s="67" t="s">
        <v>16</v>
      </c>
      <c r="H310" s="67" t="s">
        <v>1274</v>
      </c>
      <c r="I310" s="14" t="str">
        <f t="shared" si="426"/>
        <v>23</v>
      </c>
      <c r="J310" s="15">
        <f t="shared" si="427"/>
        <v>3</v>
      </c>
      <c r="K310" s="15">
        <f t="shared" si="428"/>
        <v>224</v>
      </c>
      <c r="L310" s="15">
        <f t="shared" si="429"/>
        <v>56</v>
      </c>
      <c r="M310" s="15">
        <f t="shared" si="430"/>
        <v>0</v>
      </c>
      <c r="N310" s="15">
        <f t="shared" si="431"/>
        <v>8</v>
      </c>
      <c r="O310" s="15">
        <f t="shared" si="432"/>
        <v>291</v>
      </c>
      <c r="P310" s="15" t="str">
        <f t="shared" si="433"/>
        <v>23</v>
      </c>
      <c r="Q310" s="15">
        <f t="shared" si="434"/>
        <v>579</v>
      </c>
      <c r="R310" s="15" t="str">
        <f t="shared" si="435"/>
        <v>43</v>
      </c>
      <c r="S310" s="131"/>
      <c r="T310" s="131"/>
      <c r="V310" s="72"/>
      <c r="W310" s="72"/>
    </row>
    <row r="311" spans="2:23" ht="16.5" customHeight="1">
      <c r="B311" s="14" t="s">
        <v>1913</v>
      </c>
      <c r="C311" s="14" t="str">
        <f t="shared" si="425"/>
        <v>FF03E038000924</v>
      </c>
      <c r="D311" s="67" t="s">
        <v>91</v>
      </c>
      <c r="E311" s="67" t="s">
        <v>15</v>
      </c>
      <c r="F311" s="67" t="s">
        <v>1876</v>
      </c>
      <c r="G311" s="67" t="s">
        <v>16</v>
      </c>
      <c r="H311" s="67" t="s">
        <v>1526</v>
      </c>
      <c r="I311" s="14" t="str">
        <f t="shared" si="426"/>
        <v>24</v>
      </c>
      <c r="J311" s="15">
        <f t="shared" si="427"/>
        <v>3</v>
      </c>
      <c r="K311" s="15">
        <f t="shared" si="428"/>
        <v>224</v>
      </c>
      <c r="L311" s="15">
        <f t="shared" si="429"/>
        <v>56</v>
      </c>
      <c r="M311" s="15">
        <f t="shared" si="430"/>
        <v>0</v>
      </c>
      <c r="N311" s="15">
        <f t="shared" si="431"/>
        <v>9</v>
      </c>
      <c r="O311" s="15">
        <f t="shared" si="432"/>
        <v>292</v>
      </c>
      <c r="P311" s="15" t="str">
        <f t="shared" si="433"/>
        <v>24</v>
      </c>
      <c r="Q311" s="15">
        <f t="shared" si="434"/>
        <v>581</v>
      </c>
      <c r="R311" s="15" t="str">
        <f t="shared" si="435"/>
        <v>45</v>
      </c>
      <c r="S311" s="131"/>
      <c r="T311" s="131"/>
      <c r="V311" s="72"/>
      <c r="W311" s="72"/>
    </row>
    <row r="312" spans="2:23" ht="16.5" customHeight="1">
      <c r="B312" s="14" t="s">
        <v>1914</v>
      </c>
      <c r="C312" s="14" t="str">
        <f t="shared" si="425"/>
        <v>FF03E038000A25</v>
      </c>
      <c r="D312" s="67" t="s">
        <v>91</v>
      </c>
      <c r="E312" s="67" t="s">
        <v>15</v>
      </c>
      <c r="F312" s="67" t="s">
        <v>1876</v>
      </c>
      <c r="G312" s="67" t="s">
        <v>16</v>
      </c>
      <c r="H312" s="67" t="s">
        <v>61</v>
      </c>
      <c r="I312" s="14" t="str">
        <f t="shared" si="426"/>
        <v>25</v>
      </c>
      <c r="J312" s="15">
        <f t="shared" si="427"/>
        <v>3</v>
      </c>
      <c r="K312" s="15">
        <f t="shared" si="428"/>
        <v>224</v>
      </c>
      <c r="L312" s="15">
        <f t="shared" si="429"/>
        <v>56</v>
      </c>
      <c r="M312" s="15">
        <f t="shared" si="430"/>
        <v>0</v>
      </c>
      <c r="N312" s="15">
        <f t="shared" si="431"/>
        <v>10</v>
      </c>
      <c r="O312" s="15">
        <f t="shared" si="432"/>
        <v>293</v>
      </c>
      <c r="P312" s="15" t="str">
        <f t="shared" si="433"/>
        <v>25</v>
      </c>
      <c r="Q312" s="15">
        <f t="shared" si="434"/>
        <v>583</v>
      </c>
      <c r="R312" s="15" t="str">
        <f t="shared" si="435"/>
        <v>47</v>
      </c>
      <c r="S312" s="131"/>
      <c r="T312" s="131"/>
      <c r="V312" s="72"/>
      <c r="W312" s="72"/>
    </row>
    <row r="313" spans="2:23" ht="16.5" customHeight="1">
      <c r="B313" s="14" t="s">
        <v>1915</v>
      </c>
      <c r="C313" s="14" t="str">
        <f t="shared" si="425"/>
        <v>FF03E03900001C</v>
      </c>
      <c r="D313" s="67" t="s">
        <v>91</v>
      </c>
      <c r="E313" s="67" t="s">
        <v>15</v>
      </c>
      <c r="F313" s="67" t="s">
        <v>1877</v>
      </c>
      <c r="G313" s="67" t="s">
        <v>16</v>
      </c>
      <c r="H313" s="67" t="s">
        <v>16</v>
      </c>
      <c r="I313" s="14" t="str">
        <f t="shared" si="426"/>
        <v>1C</v>
      </c>
      <c r="J313" s="15">
        <f t="shared" si="427"/>
        <v>3</v>
      </c>
      <c r="K313" s="15">
        <f t="shared" si="428"/>
        <v>224</v>
      </c>
      <c r="L313" s="15">
        <f t="shared" si="429"/>
        <v>57</v>
      </c>
      <c r="M313" s="15">
        <f t="shared" si="430"/>
        <v>0</v>
      </c>
      <c r="N313" s="15">
        <f t="shared" si="431"/>
        <v>0</v>
      </c>
      <c r="O313" s="15">
        <f t="shared" si="432"/>
        <v>284</v>
      </c>
      <c r="P313" s="15" t="str">
        <f t="shared" si="433"/>
        <v>1C</v>
      </c>
      <c r="Q313" s="15">
        <f t="shared" si="434"/>
        <v>565</v>
      </c>
      <c r="R313" s="15" t="str">
        <f t="shared" si="435"/>
        <v>35</v>
      </c>
      <c r="S313" s="131"/>
      <c r="T313" s="131"/>
      <c r="V313" s="72"/>
      <c r="W313" s="72"/>
    </row>
    <row r="314" spans="2:23" ht="16.5" customHeight="1">
      <c r="B314" s="14" t="s">
        <v>1916</v>
      </c>
      <c r="C314" s="14" t="str">
        <f t="shared" si="425"/>
        <v>FF03E03900011D</v>
      </c>
      <c r="D314" s="67" t="s">
        <v>91</v>
      </c>
      <c r="E314" s="67" t="s">
        <v>15</v>
      </c>
      <c r="F314" s="67" t="s">
        <v>1877</v>
      </c>
      <c r="G314" s="67" t="s">
        <v>16</v>
      </c>
      <c r="H314" s="67" t="s">
        <v>24</v>
      </c>
      <c r="I314" s="14" t="str">
        <f t="shared" si="426"/>
        <v>1D</v>
      </c>
      <c r="J314" s="15">
        <f t="shared" si="427"/>
        <v>3</v>
      </c>
      <c r="K314" s="15">
        <f t="shared" si="428"/>
        <v>224</v>
      </c>
      <c r="L314" s="15">
        <f t="shared" si="429"/>
        <v>57</v>
      </c>
      <c r="M314" s="15">
        <f t="shared" si="430"/>
        <v>0</v>
      </c>
      <c r="N314" s="15">
        <f t="shared" si="431"/>
        <v>1</v>
      </c>
      <c r="O314" s="15">
        <f t="shared" si="432"/>
        <v>285</v>
      </c>
      <c r="P314" s="15" t="str">
        <f t="shared" si="433"/>
        <v>1D</v>
      </c>
      <c r="Q314" s="15">
        <f t="shared" si="434"/>
        <v>567</v>
      </c>
      <c r="R314" s="15" t="str">
        <f t="shared" si="435"/>
        <v>37</v>
      </c>
      <c r="S314" s="131"/>
      <c r="T314" s="131"/>
      <c r="V314" s="72"/>
      <c r="W314" s="72"/>
    </row>
    <row r="315" spans="2:23" ht="16.5" customHeight="1">
      <c r="B315" s="14" t="s">
        <v>1917</v>
      </c>
      <c r="C315" s="14" t="str">
        <f t="shared" si="425"/>
        <v>FF03E03A00001D</v>
      </c>
      <c r="D315" s="67" t="s">
        <v>91</v>
      </c>
      <c r="E315" s="67" t="s">
        <v>15</v>
      </c>
      <c r="F315" s="67" t="s">
        <v>1878</v>
      </c>
      <c r="G315" s="67" t="s">
        <v>16</v>
      </c>
      <c r="H315" s="67" t="s">
        <v>16</v>
      </c>
      <c r="I315" s="14" t="str">
        <f t="shared" si="426"/>
        <v>1D</v>
      </c>
      <c r="J315" s="15">
        <f t="shared" si="427"/>
        <v>3</v>
      </c>
      <c r="K315" s="15">
        <f t="shared" si="428"/>
        <v>224</v>
      </c>
      <c r="L315" s="15">
        <f t="shared" si="429"/>
        <v>58</v>
      </c>
      <c r="M315" s="15">
        <f t="shared" si="430"/>
        <v>0</v>
      </c>
      <c r="N315" s="15">
        <f t="shared" si="431"/>
        <v>0</v>
      </c>
      <c r="O315" s="15">
        <f t="shared" si="432"/>
        <v>285</v>
      </c>
      <c r="P315" s="15" t="str">
        <f t="shared" si="433"/>
        <v>1D</v>
      </c>
      <c r="Q315" s="15">
        <f t="shared" si="434"/>
        <v>567</v>
      </c>
      <c r="R315" s="15" t="str">
        <f t="shared" si="435"/>
        <v>37</v>
      </c>
      <c r="S315" s="131"/>
      <c r="T315" s="131"/>
      <c r="V315" s="72"/>
      <c r="W315" s="72"/>
    </row>
    <row r="316" spans="2:23" ht="16.5" customHeight="1">
      <c r="B316" s="14" t="s">
        <v>1918</v>
      </c>
      <c r="C316" s="14" t="str">
        <f t="shared" si="425"/>
        <v>FF03E03A00011E</v>
      </c>
      <c r="D316" s="67" t="s">
        <v>91</v>
      </c>
      <c r="E316" s="67" t="s">
        <v>15</v>
      </c>
      <c r="F316" s="67" t="s">
        <v>1878</v>
      </c>
      <c r="G316" s="67" t="s">
        <v>16</v>
      </c>
      <c r="H316" s="67" t="s">
        <v>24</v>
      </c>
      <c r="I316" s="14" t="str">
        <f t="shared" si="426"/>
        <v>1E</v>
      </c>
      <c r="J316" s="15">
        <f t="shared" si="427"/>
        <v>3</v>
      </c>
      <c r="K316" s="15">
        <f t="shared" si="428"/>
        <v>224</v>
      </c>
      <c r="L316" s="15">
        <f t="shared" si="429"/>
        <v>58</v>
      </c>
      <c r="M316" s="15">
        <f t="shared" si="430"/>
        <v>0</v>
      </c>
      <c r="N316" s="15">
        <f t="shared" si="431"/>
        <v>1</v>
      </c>
      <c r="O316" s="15">
        <f t="shared" si="432"/>
        <v>286</v>
      </c>
      <c r="P316" s="15" t="str">
        <f t="shared" si="433"/>
        <v>1E</v>
      </c>
      <c r="Q316" s="15">
        <f t="shared" si="434"/>
        <v>569</v>
      </c>
      <c r="R316" s="15" t="str">
        <f t="shared" si="435"/>
        <v>39</v>
      </c>
      <c r="S316" s="131"/>
      <c r="T316" s="131"/>
      <c r="V316" s="72"/>
      <c r="W316" s="72"/>
    </row>
    <row r="317" spans="2:23" ht="16.5" customHeight="1">
      <c r="B317" s="14" t="s">
        <v>1919</v>
      </c>
      <c r="C317" s="14" t="str">
        <f t="shared" ref="C317:C323" si="436">"FF"&amp;D317&amp;E317&amp;""&amp;F317&amp;G317&amp;H317&amp;I317</f>
        <v>FF03E03B00001E</v>
      </c>
      <c r="D317" s="67" t="s">
        <v>91</v>
      </c>
      <c r="E317" s="67" t="s">
        <v>15</v>
      </c>
      <c r="F317" s="67" t="s">
        <v>1879</v>
      </c>
      <c r="G317" s="67" t="s">
        <v>16</v>
      </c>
      <c r="H317" s="67" t="s">
        <v>16</v>
      </c>
      <c r="I317" s="14" t="str">
        <f t="shared" ref="I317:I323" si="437">P317</f>
        <v>1E</v>
      </c>
      <c r="J317" s="15">
        <f t="shared" ref="J317:J323" si="438">HEX2DEC(D317)</f>
        <v>3</v>
      </c>
      <c r="K317" s="15">
        <f t="shared" ref="K317:K323" si="439">HEX2DEC(E317)</f>
        <v>224</v>
      </c>
      <c r="L317" s="15">
        <f t="shared" ref="L317:L323" si="440">HEX2DEC(F317)</f>
        <v>59</v>
      </c>
      <c r="M317" s="15">
        <f t="shared" ref="M317:M323" si="441">HEX2DEC(G317)</f>
        <v>0</v>
      </c>
      <c r="N317" s="15">
        <f t="shared" ref="N317:N323" si="442">HEX2DEC(H317)</f>
        <v>0</v>
      </c>
      <c r="O317" s="15">
        <f t="shared" ref="O317:O323" si="443">SUM(J317:N317)</f>
        <v>286</v>
      </c>
      <c r="P317" s="15" t="str">
        <f t="shared" ref="P317:P323" si="444">REPT("0",2-LEN(RIGHT(DEC2HEX(O317), 2)))&amp;RIGHT(DEC2HEX(O317), 2)</f>
        <v>1E</v>
      </c>
      <c r="Q317" s="15">
        <f t="shared" ref="Q317:Q323" si="445">SUM(K317:P317)</f>
        <v>569</v>
      </c>
      <c r="R317" s="15" t="str">
        <f t="shared" ref="R317:R323" si="446">REPT("0",2-LEN(RIGHT(DEC2HEX(Q317), 2)))&amp;RIGHT(DEC2HEX(Q317), 2)</f>
        <v>39</v>
      </c>
      <c r="S317" s="131"/>
      <c r="T317" s="131"/>
      <c r="V317" s="72"/>
      <c r="W317" s="72"/>
    </row>
    <row r="318" spans="2:23" ht="16.5" customHeight="1">
      <c r="B318" s="14" t="s">
        <v>1920</v>
      </c>
      <c r="C318" s="14" t="str">
        <f t="shared" si="436"/>
        <v>FF03E03B00011F</v>
      </c>
      <c r="D318" s="67" t="s">
        <v>91</v>
      </c>
      <c r="E318" s="67" t="s">
        <v>15</v>
      </c>
      <c r="F318" s="67" t="s">
        <v>1879</v>
      </c>
      <c r="G318" s="67" t="s">
        <v>16</v>
      </c>
      <c r="H318" s="67" t="s">
        <v>24</v>
      </c>
      <c r="I318" s="14" t="str">
        <f t="shared" si="437"/>
        <v>1F</v>
      </c>
      <c r="J318" s="15">
        <f t="shared" si="438"/>
        <v>3</v>
      </c>
      <c r="K318" s="15">
        <f t="shared" si="439"/>
        <v>224</v>
      </c>
      <c r="L318" s="15">
        <f t="shared" si="440"/>
        <v>59</v>
      </c>
      <c r="M318" s="15">
        <f t="shared" si="441"/>
        <v>0</v>
      </c>
      <c r="N318" s="15">
        <f t="shared" si="442"/>
        <v>1</v>
      </c>
      <c r="O318" s="15">
        <f t="shared" si="443"/>
        <v>287</v>
      </c>
      <c r="P318" s="15" t="str">
        <f t="shared" si="444"/>
        <v>1F</v>
      </c>
      <c r="Q318" s="15">
        <f t="shared" si="445"/>
        <v>571</v>
      </c>
      <c r="R318" s="15" t="str">
        <f t="shared" si="446"/>
        <v>3B</v>
      </c>
      <c r="S318" s="131"/>
      <c r="T318" s="131"/>
      <c r="V318" s="72"/>
      <c r="W318" s="72"/>
    </row>
    <row r="319" spans="2:23" ht="16.5" customHeight="1">
      <c r="B319" s="14" t="s">
        <v>1921</v>
      </c>
      <c r="C319" s="14" t="str">
        <f t="shared" si="436"/>
        <v>FF03E03D000020</v>
      </c>
      <c r="D319" s="67" t="s">
        <v>91</v>
      </c>
      <c r="E319" s="67" t="s">
        <v>15</v>
      </c>
      <c r="F319" s="67" t="s">
        <v>1925</v>
      </c>
      <c r="G319" s="67" t="s">
        <v>16</v>
      </c>
      <c r="H319" s="67" t="s">
        <v>16</v>
      </c>
      <c r="I319" s="14" t="str">
        <f t="shared" si="437"/>
        <v>20</v>
      </c>
      <c r="J319" s="15">
        <f t="shared" si="438"/>
        <v>3</v>
      </c>
      <c r="K319" s="15">
        <f t="shared" si="439"/>
        <v>224</v>
      </c>
      <c r="L319" s="15">
        <f t="shared" si="440"/>
        <v>61</v>
      </c>
      <c r="M319" s="15">
        <f t="shared" si="441"/>
        <v>0</v>
      </c>
      <c r="N319" s="15">
        <f t="shared" si="442"/>
        <v>0</v>
      </c>
      <c r="O319" s="15">
        <f t="shared" si="443"/>
        <v>288</v>
      </c>
      <c r="P319" s="15" t="str">
        <f t="shared" si="444"/>
        <v>20</v>
      </c>
      <c r="Q319" s="15">
        <f t="shared" si="445"/>
        <v>573</v>
      </c>
      <c r="R319" s="15" t="str">
        <f t="shared" si="446"/>
        <v>3D</v>
      </c>
      <c r="S319" s="131"/>
      <c r="T319" s="131"/>
      <c r="V319" s="72"/>
      <c r="W319" s="72"/>
    </row>
    <row r="320" spans="2:23" ht="16.5" customHeight="1">
      <c r="B320" s="14" t="s">
        <v>1922</v>
      </c>
      <c r="C320" s="14" t="str">
        <f t="shared" si="436"/>
        <v>FF03E03E000021</v>
      </c>
      <c r="D320" s="67" t="s">
        <v>91</v>
      </c>
      <c r="E320" s="67" t="s">
        <v>15</v>
      </c>
      <c r="F320" s="67" t="s">
        <v>1880</v>
      </c>
      <c r="G320" s="67" t="s">
        <v>16</v>
      </c>
      <c r="H320" s="67" t="s">
        <v>16</v>
      </c>
      <c r="I320" s="14" t="str">
        <f t="shared" si="437"/>
        <v>21</v>
      </c>
      <c r="J320" s="15">
        <f t="shared" si="438"/>
        <v>3</v>
      </c>
      <c r="K320" s="15">
        <f t="shared" si="439"/>
        <v>224</v>
      </c>
      <c r="L320" s="15">
        <f t="shared" si="440"/>
        <v>62</v>
      </c>
      <c r="M320" s="15">
        <f t="shared" si="441"/>
        <v>0</v>
      </c>
      <c r="N320" s="15">
        <f t="shared" si="442"/>
        <v>0</v>
      </c>
      <c r="O320" s="15">
        <f t="shared" si="443"/>
        <v>289</v>
      </c>
      <c r="P320" s="15" t="str">
        <f t="shared" si="444"/>
        <v>21</v>
      </c>
      <c r="Q320" s="15">
        <f t="shared" si="445"/>
        <v>575</v>
      </c>
      <c r="R320" s="15" t="str">
        <f t="shared" si="446"/>
        <v>3F</v>
      </c>
      <c r="S320" s="131"/>
      <c r="T320" s="131"/>
      <c r="V320" s="72"/>
      <c r="W320" s="72"/>
    </row>
    <row r="321" spans="2:23" ht="16.5" customHeight="1">
      <c r="B321" s="14" t="s">
        <v>1923</v>
      </c>
      <c r="C321" s="14" t="str">
        <f t="shared" si="436"/>
        <v>FF03E03F000022</v>
      </c>
      <c r="D321" s="67" t="s">
        <v>91</v>
      </c>
      <c r="E321" s="67" t="s">
        <v>15</v>
      </c>
      <c r="F321" s="67" t="s">
        <v>1395</v>
      </c>
      <c r="G321" s="67" t="s">
        <v>16</v>
      </c>
      <c r="H321" s="67" t="s">
        <v>16</v>
      </c>
      <c r="I321" s="14" t="str">
        <f t="shared" si="437"/>
        <v>22</v>
      </c>
      <c r="J321" s="15">
        <f t="shared" si="438"/>
        <v>3</v>
      </c>
      <c r="K321" s="15">
        <f t="shared" si="439"/>
        <v>224</v>
      </c>
      <c r="L321" s="15">
        <f t="shared" si="440"/>
        <v>63</v>
      </c>
      <c r="M321" s="15">
        <f t="shared" si="441"/>
        <v>0</v>
      </c>
      <c r="N321" s="15">
        <f t="shared" si="442"/>
        <v>0</v>
      </c>
      <c r="O321" s="15">
        <f t="shared" si="443"/>
        <v>290</v>
      </c>
      <c r="P321" s="15" t="str">
        <f t="shared" si="444"/>
        <v>22</v>
      </c>
      <c r="Q321" s="15">
        <f t="shared" si="445"/>
        <v>577</v>
      </c>
      <c r="R321" s="15" t="str">
        <f t="shared" si="446"/>
        <v>41</v>
      </c>
      <c r="S321" s="131"/>
      <c r="T321" s="131"/>
      <c r="V321" s="72"/>
      <c r="W321" s="72"/>
    </row>
    <row r="322" spans="2:23" s="127" customFormat="1" ht="16.5" customHeight="1">
      <c r="B322" s="124" t="s">
        <v>1979</v>
      </c>
      <c r="C322" s="124" t="s">
        <v>1624</v>
      </c>
      <c r="D322" s="125" t="s">
        <v>91</v>
      </c>
      <c r="E322" s="125"/>
      <c r="F322" s="125"/>
      <c r="G322" s="125"/>
      <c r="H322" s="125"/>
      <c r="I322" s="124" t="str">
        <f t="shared" si="437"/>
        <v>03</v>
      </c>
      <c r="J322" s="126">
        <f t="shared" si="438"/>
        <v>3</v>
      </c>
      <c r="K322" s="126">
        <f t="shared" si="439"/>
        <v>0</v>
      </c>
      <c r="L322" s="126">
        <f t="shared" si="440"/>
        <v>0</v>
      </c>
      <c r="M322" s="126">
        <f t="shared" si="441"/>
        <v>0</v>
      </c>
      <c r="N322" s="126">
        <f t="shared" si="442"/>
        <v>0</v>
      </c>
      <c r="O322" s="126">
        <f t="shared" si="443"/>
        <v>3</v>
      </c>
      <c r="P322" s="126" t="str">
        <f t="shared" si="444"/>
        <v>03</v>
      </c>
      <c r="Q322" s="126">
        <f t="shared" si="445"/>
        <v>3</v>
      </c>
      <c r="R322" s="126" t="str">
        <f t="shared" si="446"/>
        <v>03</v>
      </c>
      <c r="S322" s="130"/>
      <c r="T322" s="130"/>
      <c r="V322" s="128"/>
      <c r="W322" s="128"/>
    </row>
    <row r="323" spans="2:23" ht="16.5" customHeight="1">
      <c r="B323" s="14" t="s">
        <v>171</v>
      </c>
      <c r="C323" s="14" t="str">
        <f t="shared" si="436"/>
        <v>FF01E140000022</v>
      </c>
      <c r="D323" s="67" t="s">
        <v>24</v>
      </c>
      <c r="E323" s="67" t="s">
        <v>161</v>
      </c>
      <c r="F323" s="67" t="s">
        <v>1509</v>
      </c>
      <c r="G323" s="67" t="s">
        <v>16</v>
      </c>
      <c r="H323" s="67" t="s">
        <v>16</v>
      </c>
      <c r="I323" s="14" t="str">
        <f t="shared" si="437"/>
        <v>22</v>
      </c>
      <c r="J323" s="15">
        <f t="shared" si="438"/>
        <v>1</v>
      </c>
      <c r="K323" s="15">
        <f t="shared" si="439"/>
        <v>225</v>
      </c>
      <c r="L323" s="15">
        <f t="shared" si="440"/>
        <v>64</v>
      </c>
      <c r="M323" s="15">
        <f t="shared" si="441"/>
        <v>0</v>
      </c>
      <c r="N323" s="15">
        <f t="shared" si="442"/>
        <v>0</v>
      </c>
      <c r="O323" s="15">
        <f t="shared" si="443"/>
        <v>290</v>
      </c>
      <c r="P323" s="15" t="str">
        <f t="shared" si="444"/>
        <v>22</v>
      </c>
      <c r="Q323" s="15">
        <f t="shared" si="445"/>
        <v>579</v>
      </c>
      <c r="R323" s="15" t="str">
        <f t="shared" si="446"/>
        <v>43</v>
      </c>
      <c r="S323" s="131"/>
      <c r="T323" s="131"/>
      <c r="V323" s="72"/>
      <c r="W323" s="72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ED2B-3029-46E4-B621-AF03513FA7DA}">
  <dimension ref="B1:U23"/>
  <sheetViews>
    <sheetView zoomScaleNormal="100" workbookViewId="0">
      <pane xSplit="3" ySplit="2" topLeftCell="D3" activePane="bottomRight" state="frozen"/>
      <selection pane="topRight" activeCell="I1" sqref="I1"/>
      <selection pane="bottomLeft" activeCell="A3" sqref="A3"/>
      <selection pane="bottomRight" activeCell="F18" sqref="F18"/>
    </sheetView>
  </sheetViews>
  <sheetFormatPr defaultColWidth="11.5546875" defaultRowHeight="16.5" customHeight="1"/>
  <cols>
    <col min="1" max="1" width="2.6640625" customWidth="1"/>
    <col min="2" max="2" width="14.5546875" customWidth="1"/>
    <col min="3" max="3" width="18.33203125" customWidth="1"/>
    <col min="4" max="4" width="11.5546875" customWidth="1"/>
    <col min="8" max="8" width="11.5546875" style="6"/>
    <col min="10" max="10" width="3.109375" style="9" bestFit="1" customWidth="1"/>
    <col min="11" max="11" width="3.109375" style="9" customWidth="1"/>
    <col min="12" max="12" width="3.6640625" style="10" bestFit="1" customWidth="1"/>
    <col min="13" max="14" width="3.109375" style="9" bestFit="1" customWidth="1"/>
    <col min="15" max="15" width="7.33203125" style="9" customWidth="1"/>
    <col min="16" max="16" width="8.44140625" style="9" customWidth="1"/>
    <col min="17" max="18" width="7" style="9" bestFit="1" customWidth="1"/>
    <col min="20" max="20" width="16.5546875" style="9" bestFit="1" customWidth="1"/>
  </cols>
  <sheetData>
    <row r="1" spans="2:21" ht="16.5" customHeight="1">
      <c r="C1" s="9"/>
    </row>
    <row r="2" spans="2:21" s="2" customFormat="1" ht="33.75" customHeight="1">
      <c r="B2" s="13" t="s">
        <v>0</v>
      </c>
      <c r="C2" s="13" t="s">
        <v>7</v>
      </c>
      <c r="D2" s="13" t="s">
        <v>29</v>
      </c>
      <c r="E2" s="13" t="s">
        <v>34</v>
      </c>
      <c r="F2" s="13" t="s">
        <v>35</v>
      </c>
      <c r="G2" s="13" t="s">
        <v>36</v>
      </c>
      <c r="H2" s="13" t="s">
        <v>37</v>
      </c>
      <c r="I2" s="13" t="s">
        <v>38</v>
      </c>
      <c r="J2" s="13" t="s">
        <v>29</v>
      </c>
      <c r="K2" s="13" t="s">
        <v>34</v>
      </c>
      <c r="L2" s="13" t="s">
        <v>35</v>
      </c>
      <c r="M2" s="13" t="s">
        <v>36</v>
      </c>
      <c r="N2" s="13" t="s">
        <v>37</v>
      </c>
      <c r="O2" s="13" t="s">
        <v>39</v>
      </c>
      <c r="P2" s="13" t="s">
        <v>40</v>
      </c>
      <c r="Q2" s="13" t="s">
        <v>39</v>
      </c>
      <c r="R2" s="13" t="s">
        <v>40</v>
      </c>
      <c r="T2" s="72" t="s">
        <v>705</v>
      </c>
      <c r="U2" s="2" t="s">
        <v>180</v>
      </c>
    </row>
    <row r="3" spans="2:21" ht="16.5" customHeight="1">
      <c r="B3" s="14" t="s">
        <v>1622</v>
      </c>
      <c r="C3" s="14" t="s">
        <v>1624</v>
      </c>
      <c r="D3" s="67"/>
      <c r="E3" s="67"/>
      <c r="F3" s="67"/>
      <c r="G3" s="67"/>
      <c r="H3" s="67"/>
      <c r="I3" s="14"/>
      <c r="J3" s="15"/>
      <c r="K3" s="15"/>
      <c r="L3" s="15"/>
      <c r="M3" s="15"/>
      <c r="N3" s="15"/>
      <c r="O3" s="15"/>
      <c r="P3" s="15"/>
      <c r="Q3" s="15"/>
      <c r="R3" s="15"/>
      <c r="T3" s="72"/>
    </row>
    <row r="4" spans="2:21" s="2" customFormat="1" ht="16.5" customHeight="1">
      <c r="B4" s="14" t="s">
        <v>1540</v>
      </c>
      <c r="C4" s="14" t="str">
        <f>"FF"&amp;D4&amp;E4&amp;""&amp;F4&amp;G4&amp;H4&amp;I4</f>
        <v>FF020000000002</v>
      </c>
      <c r="D4" s="67" t="s">
        <v>17</v>
      </c>
      <c r="E4" s="67" t="s">
        <v>16</v>
      </c>
      <c r="F4" s="67" t="s">
        <v>16</v>
      </c>
      <c r="G4" s="67" t="s">
        <v>16</v>
      </c>
      <c r="H4" s="67" t="s">
        <v>16</v>
      </c>
      <c r="I4" s="14" t="str">
        <f>P4</f>
        <v>02</v>
      </c>
      <c r="J4" s="15">
        <f>HEX2DEC(D4)</f>
        <v>2</v>
      </c>
      <c r="K4" s="15">
        <f>HEX2DEC(E4)</f>
        <v>0</v>
      </c>
      <c r="L4" s="15">
        <f>HEX2DEC(F4)</f>
        <v>0</v>
      </c>
      <c r="M4" s="15">
        <f>HEX2DEC(G4)</f>
        <v>0</v>
      </c>
      <c r="N4" s="15">
        <f t="shared" ref="N4:O4" si="0">SUM(J4:M4)</f>
        <v>2</v>
      </c>
      <c r="O4" s="15">
        <f t="shared" si="0"/>
        <v>2</v>
      </c>
      <c r="P4" s="15" t="str">
        <f>REPT("0",2-LEN(RIGHT(DEC2HEX(N4), 2)))&amp;RIGHT(DEC2HEX(N4), 2)</f>
        <v>02</v>
      </c>
      <c r="Q4" s="15">
        <f>SUM(K4:P4)</f>
        <v>4</v>
      </c>
      <c r="R4" s="15" t="str">
        <f>REPT("0",2-LEN(RIGHT(DEC2HEX(Q4), 2)))&amp;RIGHT(DEC2HEX(Q4), 2)</f>
        <v>04</v>
      </c>
      <c r="T4" s="72" t="s">
        <v>1539</v>
      </c>
      <c r="U4" s="2" t="s">
        <v>1549</v>
      </c>
    </row>
    <row r="5" spans="2:21" ht="16.5" customHeight="1">
      <c r="B5" s="14" t="s">
        <v>1510</v>
      </c>
      <c r="C5" s="14" t="str">
        <f t="shared" ref="C5:C23" si="1">"FF"&amp;D5&amp;E5&amp;""&amp;F5&amp;G5&amp;H5&amp;I5</f>
        <v>FF020020000022</v>
      </c>
      <c r="D5" s="67" t="s">
        <v>17</v>
      </c>
      <c r="E5" s="67" t="s">
        <v>16</v>
      </c>
      <c r="F5" s="67">
        <v>20</v>
      </c>
      <c r="G5" s="67" t="s">
        <v>16</v>
      </c>
      <c r="H5" s="67" t="s">
        <v>16</v>
      </c>
      <c r="I5" s="14" t="str">
        <f t="shared" ref="I5:I23" si="2">P5</f>
        <v>22</v>
      </c>
      <c r="J5" s="15">
        <f t="shared" ref="J5:N11" si="3">HEX2DEC(D5)</f>
        <v>2</v>
      </c>
      <c r="K5" s="15">
        <f t="shared" si="3"/>
        <v>0</v>
      </c>
      <c r="L5" s="15">
        <f t="shared" si="3"/>
        <v>32</v>
      </c>
      <c r="M5" s="15">
        <f t="shared" ref="M5:N10" si="4">HEX2DEC(G5)</f>
        <v>0</v>
      </c>
      <c r="N5" s="15">
        <f t="shared" si="4"/>
        <v>0</v>
      </c>
      <c r="O5" s="15">
        <f t="shared" ref="O5:O23" si="5">SUM(J5:N5)</f>
        <v>34</v>
      </c>
      <c r="P5" s="15" t="str">
        <f t="shared" ref="P5:P23" si="6">REPT("0",2-LEN(RIGHT(DEC2HEX(O5), 2)))&amp;RIGHT(DEC2HEX(O5), 2)</f>
        <v>22</v>
      </c>
      <c r="Q5" s="15">
        <f t="shared" ref="Q5:Q23" si="7">SUM(K5:P5)</f>
        <v>66</v>
      </c>
      <c r="R5" s="15" t="str">
        <f t="shared" ref="R5:R23" si="8">REPT("0",2-LEN(RIGHT(DEC2HEX(Q5), 2)))&amp;RIGHT(DEC2HEX(Q5), 2)</f>
        <v>42</v>
      </c>
      <c r="T5" s="72" t="s">
        <v>1592</v>
      </c>
      <c r="U5" t="s">
        <v>1550</v>
      </c>
    </row>
    <row r="6" spans="2:21" ht="16.5" customHeight="1">
      <c r="B6" s="14" t="s">
        <v>1511</v>
      </c>
      <c r="C6" s="14" t="str">
        <f t="shared" si="1"/>
        <v>FF020040000042</v>
      </c>
      <c r="D6" s="67" t="s">
        <v>17</v>
      </c>
      <c r="E6" s="67" t="s">
        <v>16</v>
      </c>
      <c r="F6" s="67" t="s">
        <v>1509</v>
      </c>
      <c r="G6" s="67" t="s">
        <v>16</v>
      </c>
      <c r="H6" s="67" t="s">
        <v>16</v>
      </c>
      <c r="I6" s="14" t="str">
        <f t="shared" si="2"/>
        <v>42</v>
      </c>
      <c r="J6" s="15">
        <f t="shared" si="3"/>
        <v>2</v>
      </c>
      <c r="K6" s="15">
        <f t="shared" si="3"/>
        <v>0</v>
      </c>
      <c r="L6" s="15">
        <f t="shared" si="3"/>
        <v>64</v>
      </c>
      <c r="M6" s="15">
        <f t="shared" si="4"/>
        <v>0</v>
      </c>
      <c r="N6" s="15">
        <f t="shared" si="4"/>
        <v>0</v>
      </c>
      <c r="O6" s="15">
        <f t="shared" si="5"/>
        <v>66</v>
      </c>
      <c r="P6" s="15" t="str">
        <f t="shared" si="6"/>
        <v>42</v>
      </c>
      <c r="Q6" s="15">
        <f t="shared" si="7"/>
        <v>130</v>
      </c>
      <c r="R6" s="15" t="str">
        <f t="shared" si="8"/>
        <v>82</v>
      </c>
      <c r="T6" s="72" t="s">
        <v>1593</v>
      </c>
      <c r="U6" t="s">
        <v>1551</v>
      </c>
    </row>
    <row r="7" spans="2:21" ht="16.5" customHeight="1">
      <c r="B7" s="14" t="s">
        <v>1512</v>
      </c>
      <c r="C7" s="14" t="str">
        <f t="shared" si="1"/>
        <v>FF020080000082</v>
      </c>
      <c r="D7" s="67" t="s">
        <v>17</v>
      </c>
      <c r="E7" s="67" t="s">
        <v>16</v>
      </c>
      <c r="F7" s="67" t="s">
        <v>43</v>
      </c>
      <c r="G7" s="67" t="s">
        <v>16</v>
      </c>
      <c r="H7" s="67" t="s">
        <v>16</v>
      </c>
      <c r="I7" s="14" t="str">
        <f t="shared" si="2"/>
        <v>82</v>
      </c>
      <c r="J7" s="15">
        <f t="shared" si="3"/>
        <v>2</v>
      </c>
      <c r="K7" s="15">
        <f t="shared" si="3"/>
        <v>0</v>
      </c>
      <c r="L7" s="15">
        <f t="shared" si="3"/>
        <v>128</v>
      </c>
      <c r="M7" s="15">
        <f t="shared" si="4"/>
        <v>0</v>
      </c>
      <c r="N7" s="15">
        <f t="shared" si="4"/>
        <v>0</v>
      </c>
      <c r="O7" s="15">
        <f t="shared" si="5"/>
        <v>130</v>
      </c>
      <c r="P7" s="15" t="str">
        <f t="shared" si="6"/>
        <v>82</v>
      </c>
      <c r="Q7" s="15">
        <f t="shared" si="7"/>
        <v>258</v>
      </c>
      <c r="R7" s="15" t="str">
        <f t="shared" si="8"/>
        <v>02</v>
      </c>
      <c r="T7" s="72" t="s">
        <v>1594</v>
      </c>
      <c r="U7" t="s">
        <v>1552</v>
      </c>
    </row>
    <row r="8" spans="2:21" ht="16.5" customHeight="1">
      <c r="B8" s="14" t="s">
        <v>1513</v>
      </c>
      <c r="C8" s="14" t="str">
        <f t="shared" si="1"/>
        <v>FF020100000003</v>
      </c>
      <c r="D8" s="67" t="s">
        <v>17</v>
      </c>
      <c r="E8" s="67" t="s">
        <v>24</v>
      </c>
      <c r="F8" s="67" t="s">
        <v>16</v>
      </c>
      <c r="G8" s="67" t="s">
        <v>16</v>
      </c>
      <c r="H8" s="67" t="s">
        <v>16</v>
      </c>
      <c r="I8" s="14" t="str">
        <f t="shared" si="2"/>
        <v>03</v>
      </c>
      <c r="J8" s="15">
        <f t="shared" si="3"/>
        <v>2</v>
      </c>
      <c r="K8" s="15">
        <f t="shared" si="3"/>
        <v>1</v>
      </c>
      <c r="L8" s="15">
        <f t="shared" si="3"/>
        <v>0</v>
      </c>
      <c r="M8" s="15">
        <f t="shared" si="4"/>
        <v>0</v>
      </c>
      <c r="N8" s="15">
        <f t="shared" si="4"/>
        <v>0</v>
      </c>
      <c r="O8" s="15">
        <f t="shared" si="5"/>
        <v>3</v>
      </c>
      <c r="P8" s="15" t="str">
        <f t="shared" si="6"/>
        <v>03</v>
      </c>
      <c r="Q8" s="15">
        <f t="shared" si="7"/>
        <v>4</v>
      </c>
      <c r="R8" s="15" t="str">
        <f t="shared" si="8"/>
        <v>04</v>
      </c>
      <c r="T8" s="72" t="s">
        <v>1595</v>
      </c>
      <c r="U8" t="s">
        <v>1553</v>
      </c>
    </row>
    <row r="9" spans="2:21" ht="16.5" customHeight="1">
      <c r="B9" s="14" t="s">
        <v>1514</v>
      </c>
      <c r="C9" s="14" t="str">
        <f t="shared" si="1"/>
        <v>FF02002500042B</v>
      </c>
      <c r="D9" s="67" t="s">
        <v>17</v>
      </c>
      <c r="E9" s="67" t="s">
        <v>16</v>
      </c>
      <c r="F9" s="67" t="s">
        <v>51</v>
      </c>
      <c r="G9" s="67" t="s">
        <v>16</v>
      </c>
      <c r="H9" s="67" t="s">
        <v>67</v>
      </c>
      <c r="I9" s="14" t="str">
        <f t="shared" si="2"/>
        <v>2B</v>
      </c>
      <c r="J9" s="15">
        <f t="shared" si="3"/>
        <v>2</v>
      </c>
      <c r="K9" s="15">
        <f t="shared" si="3"/>
        <v>0</v>
      </c>
      <c r="L9" s="15">
        <f t="shared" si="3"/>
        <v>37</v>
      </c>
      <c r="M9" s="15">
        <f t="shared" si="4"/>
        <v>0</v>
      </c>
      <c r="N9" s="15">
        <f t="shared" si="4"/>
        <v>4</v>
      </c>
      <c r="O9" s="15">
        <f t="shared" si="5"/>
        <v>43</v>
      </c>
      <c r="P9" s="15" t="str">
        <f t="shared" si="6"/>
        <v>2B</v>
      </c>
      <c r="Q9" s="15">
        <f t="shared" si="7"/>
        <v>84</v>
      </c>
      <c r="R9" s="15" t="str">
        <f t="shared" si="8"/>
        <v>54</v>
      </c>
      <c r="T9" s="72" t="s">
        <v>1596</v>
      </c>
      <c r="U9" t="s">
        <v>1554</v>
      </c>
    </row>
    <row r="10" spans="2:21" ht="16.5" customHeight="1">
      <c r="B10" s="14" t="s">
        <v>1515</v>
      </c>
      <c r="C10" s="14" t="str">
        <f t="shared" si="1"/>
        <v>FF02002700042D</v>
      </c>
      <c r="D10" s="67" t="s">
        <v>17</v>
      </c>
      <c r="E10" s="67" t="s">
        <v>16</v>
      </c>
      <c r="F10" s="67" t="s">
        <v>60</v>
      </c>
      <c r="G10" s="67" t="s">
        <v>16</v>
      </c>
      <c r="H10" s="67" t="s">
        <v>67</v>
      </c>
      <c r="I10" s="14" t="str">
        <f t="shared" si="2"/>
        <v>2D</v>
      </c>
      <c r="J10" s="15">
        <f t="shared" si="3"/>
        <v>2</v>
      </c>
      <c r="K10" s="15">
        <f t="shared" si="3"/>
        <v>0</v>
      </c>
      <c r="L10" s="15">
        <f t="shared" si="3"/>
        <v>39</v>
      </c>
      <c r="M10" s="15">
        <f t="shared" si="4"/>
        <v>0</v>
      </c>
      <c r="N10" s="15">
        <f t="shared" si="4"/>
        <v>4</v>
      </c>
      <c r="O10" s="15">
        <f t="shared" si="5"/>
        <v>45</v>
      </c>
      <c r="P10" s="15" t="str">
        <f t="shared" si="6"/>
        <v>2D</v>
      </c>
      <c r="Q10" s="15">
        <f t="shared" si="7"/>
        <v>88</v>
      </c>
      <c r="R10" s="15" t="str">
        <f t="shared" si="8"/>
        <v>58</v>
      </c>
      <c r="T10" s="72" t="s">
        <v>1597</v>
      </c>
      <c r="U10" t="s">
        <v>1555</v>
      </c>
    </row>
    <row r="11" spans="2:21" ht="16.5" customHeight="1">
      <c r="B11" s="14" t="s">
        <v>1626</v>
      </c>
      <c r="C11" s="14" t="str">
        <f t="shared" si="1"/>
        <v>FF02004F000051</v>
      </c>
      <c r="D11" s="67" t="s">
        <v>17</v>
      </c>
      <c r="E11" s="67" t="s">
        <v>16</v>
      </c>
      <c r="F11" s="67" t="s">
        <v>70</v>
      </c>
      <c r="G11" s="67" t="s">
        <v>16</v>
      </c>
      <c r="H11" s="67" t="s">
        <v>16</v>
      </c>
      <c r="I11" s="14" t="str">
        <f t="shared" si="2"/>
        <v>51</v>
      </c>
      <c r="J11" s="15">
        <f t="shared" si="3"/>
        <v>2</v>
      </c>
      <c r="K11" s="15">
        <f t="shared" si="3"/>
        <v>0</v>
      </c>
      <c r="L11" s="15">
        <f t="shared" si="3"/>
        <v>79</v>
      </c>
      <c r="M11" s="15">
        <f t="shared" si="3"/>
        <v>0</v>
      </c>
      <c r="N11" s="15">
        <f t="shared" si="3"/>
        <v>0</v>
      </c>
      <c r="O11" s="15">
        <f t="shared" si="5"/>
        <v>81</v>
      </c>
      <c r="P11" s="15" t="str">
        <f t="shared" si="6"/>
        <v>51</v>
      </c>
      <c r="Q11" s="15">
        <f t="shared" si="7"/>
        <v>160</v>
      </c>
      <c r="R11" s="15" t="str">
        <f t="shared" si="8"/>
        <v>A0</v>
      </c>
      <c r="T11" s="72" t="s">
        <v>1598</v>
      </c>
      <c r="U11" t="s">
        <v>1556</v>
      </c>
    </row>
    <row r="12" spans="2:21" ht="28.5" customHeight="1">
      <c r="B12" s="14" t="s">
        <v>1628</v>
      </c>
      <c r="C12" s="14" t="str">
        <f t="shared" si="1"/>
        <v>FF02004F400091</v>
      </c>
      <c r="D12" s="67" t="s">
        <v>17</v>
      </c>
      <c r="E12" s="67" t="s">
        <v>16</v>
      </c>
      <c r="F12" s="67" t="s">
        <v>70</v>
      </c>
      <c r="G12" s="67" t="s">
        <v>1509</v>
      </c>
      <c r="H12" s="67" t="s">
        <v>16</v>
      </c>
      <c r="I12" s="14" t="str">
        <f t="shared" si="2"/>
        <v>91</v>
      </c>
      <c r="J12" s="15">
        <f t="shared" ref="J12:N23" si="9">HEX2DEC(D12)</f>
        <v>2</v>
      </c>
      <c r="K12" s="15">
        <f t="shared" si="9"/>
        <v>0</v>
      </c>
      <c r="L12" s="15">
        <f t="shared" si="9"/>
        <v>79</v>
      </c>
      <c r="M12" s="15">
        <f t="shared" si="9"/>
        <v>64</v>
      </c>
      <c r="N12" s="15">
        <f t="shared" si="9"/>
        <v>0</v>
      </c>
      <c r="O12" s="15">
        <f t="shared" si="5"/>
        <v>145</v>
      </c>
      <c r="P12" s="15" t="str">
        <f t="shared" si="6"/>
        <v>91</v>
      </c>
      <c r="Q12" s="15">
        <f t="shared" si="7"/>
        <v>288</v>
      </c>
      <c r="R12" s="15" t="str">
        <f t="shared" si="8"/>
        <v>20</v>
      </c>
      <c r="T12" s="72" t="s">
        <v>1535</v>
      </c>
      <c r="U12" t="s">
        <v>1557</v>
      </c>
    </row>
    <row r="13" spans="2:21" ht="16.5" customHeight="1">
      <c r="B13" s="14" t="s">
        <v>1630</v>
      </c>
      <c r="C13" s="14" t="str">
        <f t="shared" si="1"/>
        <v>FF02004FFFFF4F</v>
      </c>
      <c r="D13" s="67" t="s">
        <v>17</v>
      </c>
      <c r="E13" s="67" t="s">
        <v>16</v>
      </c>
      <c r="F13" s="67" t="s">
        <v>70</v>
      </c>
      <c r="G13" s="67" t="s">
        <v>9</v>
      </c>
      <c r="H13" s="67" t="s">
        <v>9</v>
      </c>
      <c r="I13" s="14" t="str">
        <f t="shared" si="2"/>
        <v>4F</v>
      </c>
      <c r="J13" s="15">
        <f t="shared" si="9"/>
        <v>2</v>
      </c>
      <c r="K13" s="15">
        <f t="shared" si="9"/>
        <v>0</v>
      </c>
      <c r="L13" s="15">
        <f t="shared" si="9"/>
        <v>79</v>
      </c>
      <c r="M13" s="15">
        <f t="shared" si="9"/>
        <v>255</v>
      </c>
      <c r="N13" s="15">
        <f t="shared" si="9"/>
        <v>255</v>
      </c>
      <c r="O13" s="15">
        <f t="shared" si="5"/>
        <v>591</v>
      </c>
      <c r="P13" s="15" t="str">
        <f t="shared" si="6"/>
        <v>4F</v>
      </c>
      <c r="Q13" s="15">
        <f t="shared" si="7"/>
        <v>1180</v>
      </c>
      <c r="R13" s="15" t="str">
        <f t="shared" si="8"/>
        <v>9C</v>
      </c>
      <c r="T13" s="72" t="s">
        <v>1599</v>
      </c>
      <c r="U13" t="s">
        <v>1558</v>
      </c>
    </row>
    <row r="14" spans="2:21" ht="16.5" customHeight="1">
      <c r="B14" s="123" t="s">
        <v>1632</v>
      </c>
      <c r="C14" s="14" t="str">
        <f t="shared" si="1"/>
        <v>FF020055000057</v>
      </c>
      <c r="D14" s="67" t="s">
        <v>17</v>
      </c>
      <c r="E14" s="67" t="s">
        <v>16</v>
      </c>
      <c r="F14" s="67" t="s">
        <v>74</v>
      </c>
      <c r="G14" s="67" t="s">
        <v>16</v>
      </c>
      <c r="H14" s="67" t="s">
        <v>16</v>
      </c>
      <c r="I14" s="14" t="str">
        <f t="shared" si="2"/>
        <v>57</v>
      </c>
      <c r="J14" s="15">
        <f t="shared" si="9"/>
        <v>2</v>
      </c>
      <c r="K14" s="15">
        <f t="shared" si="9"/>
        <v>0</v>
      </c>
      <c r="L14" s="15">
        <f t="shared" si="9"/>
        <v>85</v>
      </c>
      <c r="M14" s="15">
        <f t="shared" si="9"/>
        <v>0</v>
      </c>
      <c r="N14" s="15">
        <f t="shared" si="9"/>
        <v>0</v>
      </c>
      <c r="O14" s="15">
        <f t="shared" si="5"/>
        <v>87</v>
      </c>
      <c r="P14" s="15" t="str">
        <f t="shared" si="6"/>
        <v>57</v>
      </c>
      <c r="Q14" s="15">
        <f t="shared" si="7"/>
        <v>172</v>
      </c>
      <c r="R14" s="15" t="str">
        <f>REPT("0",2-LEN(RIGHT(DEC2HEX(Q14), 2)))&amp;RIGHT(DEC2HEX(Q14), 2)</f>
        <v>AC</v>
      </c>
      <c r="T14" s="72" t="s">
        <v>1600</v>
      </c>
      <c r="U14" t="s">
        <v>1559</v>
      </c>
    </row>
    <row r="15" spans="2:21" ht="16.5" customHeight="1">
      <c r="B15" s="14" t="s">
        <v>1634</v>
      </c>
      <c r="C15" s="14" t="str">
        <f t="shared" si="1"/>
        <v>FF02014F000052</v>
      </c>
      <c r="D15" s="67" t="s">
        <v>17</v>
      </c>
      <c r="E15" s="67" t="s">
        <v>24</v>
      </c>
      <c r="F15" s="67" t="s">
        <v>70</v>
      </c>
      <c r="G15" s="67" t="s">
        <v>16</v>
      </c>
      <c r="H15" s="67" t="s">
        <v>16</v>
      </c>
      <c r="I15" s="14" t="str">
        <f t="shared" si="2"/>
        <v>52</v>
      </c>
      <c r="J15" s="15">
        <f t="shared" si="9"/>
        <v>2</v>
      </c>
      <c r="K15" s="15">
        <f t="shared" si="9"/>
        <v>1</v>
      </c>
      <c r="L15" s="15">
        <f t="shared" si="9"/>
        <v>79</v>
      </c>
      <c r="M15" s="15">
        <f t="shared" si="9"/>
        <v>0</v>
      </c>
      <c r="N15" s="15">
        <f t="shared" si="9"/>
        <v>0</v>
      </c>
      <c r="O15" s="15">
        <f t="shared" si="5"/>
        <v>82</v>
      </c>
      <c r="P15" s="15" t="str">
        <f t="shared" si="6"/>
        <v>52</v>
      </c>
      <c r="Q15" s="15">
        <f t="shared" si="7"/>
        <v>162</v>
      </c>
      <c r="R15" s="15" t="str">
        <f t="shared" si="8"/>
        <v>A2</v>
      </c>
      <c r="T15" s="72" t="s">
        <v>1533</v>
      </c>
      <c r="U15" t="s">
        <v>1560</v>
      </c>
    </row>
    <row r="16" spans="2:21" ht="32.25" customHeight="1">
      <c r="B16" s="14" t="s">
        <v>1636</v>
      </c>
      <c r="C16" s="14" t="str">
        <f t="shared" si="1"/>
        <v>FF02014F100062</v>
      </c>
      <c r="D16" s="67" t="s">
        <v>17</v>
      </c>
      <c r="E16" s="67" t="s">
        <v>24</v>
      </c>
      <c r="F16" s="67" t="s">
        <v>70</v>
      </c>
      <c r="G16" s="67" t="s">
        <v>109</v>
      </c>
      <c r="H16" s="67" t="s">
        <v>16</v>
      </c>
      <c r="I16" s="14" t="str">
        <f t="shared" si="2"/>
        <v>62</v>
      </c>
      <c r="J16" s="15">
        <f t="shared" si="9"/>
        <v>2</v>
      </c>
      <c r="K16" s="15">
        <f t="shared" si="9"/>
        <v>1</v>
      </c>
      <c r="L16" s="15">
        <f t="shared" si="9"/>
        <v>79</v>
      </c>
      <c r="M16" s="15">
        <f t="shared" si="9"/>
        <v>16</v>
      </c>
      <c r="N16" s="15">
        <f t="shared" si="9"/>
        <v>0</v>
      </c>
      <c r="O16" s="15">
        <f t="shared" si="5"/>
        <v>98</v>
      </c>
      <c r="P16" s="15" t="str">
        <f t="shared" si="6"/>
        <v>62</v>
      </c>
      <c r="Q16" s="15">
        <f t="shared" si="7"/>
        <v>194</v>
      </c>
      <c r="R16" s="15" t="str">
        <f t="shared" si="8"/>
        <v>C2</v>
      </c>
      <c r="T16" s="72" t="s">
        <v>1534</v>
      </c>
      <c r="U16" t="s">
        <v>1561</v>
      </c>
    </row>
    <row r="17" spans="2:21" ht="30" customHeight="1">
      <c r="B17" s="14" t="s">
        <v>1638</v>
      </c>
      <c r="C17" s="14" t="str">
        <f t="shared" si="1"/>
        <v>FF02014F8000D2</v>
      </c>
      <c r="D17" s="67" t="s">
        <v>17</v>
      </c>
      <c r="E17" s="67" t="s">
        <v>24</v>
      </c>
      <c r="F17" s="67" t="s">
        <v>70</v>
      </c>
      <c r="G17" s="67" t="s">
        <v>43</v>
      </c>
      <c r="H17" s="67" t="s">
        <v>16</v>
      </c>
      <c r="I17" s="14" t="str">
        <f t="shared" si="2"/>
        <v>D2</v>
      </c>
      <c r="J17" s="15">
        <f t="shared" si="9"/>
        <v>2</v>
      </c>
      <c r="K17" s="15">
        <f t="shared" si="9"/>
        <v>1</v>
      </c>
      <c r="L17" s="15">
        <f t="shared" si="9"/>
        <v>79</v>
      </c>
      <c r="M17" s="15">
        <f t="shared" si="9"/>
        <v>128</v>
      </c>
      <c r="N17" s="15">
        <f t="shared" si="9"/>
        <v>0</v>
      </c>
      <c r="O17" s="15">
        <f t="shared" si="5"/>
        <v>210</v>
      </c>
      <c r="P17" s="15" t="str">
        <f t="shared" si="6"/>
        <v>D2</v>
      </c>
      <c r="Q17" s="15">
        <f t="shared" si="7"/>
        <v>418</v>
      </c>
      <c r="R17" s="15" t="str">
        <f t="shared" si="8"/>
        <v>A2</v>
      </c>
      <c r="T17" s="72" t="s">
        <v>1536</v>
      </c>
      <c r="U17" t="s">
        <v>1562</v>
      </c>
    </row>
    <row r="18" spans="2:21" ht="16.5" customHeight="1">
      <c r="B18" s="14" t="s">
        <v>1640</v>
      </c>
      <c r="C18" s="14" t="str">
        <f t="shared" si="1"/>
        <v>FF02014FFFFF50</v>
      </c>
      <c r="D18" s="67" t="s">
        <v>17</v>
      </c>
      <c r="E18" s="67" t="s">
        <v>24</v>
      </c>
      <c r="F18" s="67" t="s">
        <v>70</v>
      </c>
      <c r="G18" s="67" t="s">
        <v>9</v>
      </c>
      <c r="H18" s="67" t="s">
        <v>9</v>
      </c>
      <c r="I18" s="14" t="str">
        <f t="shared" si="2"/>
        <v>50</v>
      </c>
      <c r="J18" s="15">
        <f t="shared" si="9"/>
        <v>2</v>
      </c>
      <c r="K18" s="15">
        <f t="shared" si="9"/>
        <v>1</v>
      </c>
      <c r="L18" s="15">
        <f t="shared" si="9"/>
        <v>79</v>
      </c>
      <c r="M18" s="15">
        <f t="shared" si="9"/>
        <v>255</v>
      </c>
      <c r="N18" s="15">
        <f t="shared" si="9"/>
        <v>255</v>
      </c>
      <c r="O18" s="15">
        <f t="shared" si="5"/>
        <v>592</v>
      </c>
      <c r="P18" s="15" t="str">
        <f t="shared" si="6"/>
        <v>50</v>
      </c>
      <c r="Q18" s="15">
        <f t="shared" si="7"/>
        <v>1182</v>
      </c>
      <c r="R18" s="15" t="str">
        <f t="shared" si="8"/>
        <v>9E</v>
      </c>
      <c r="T18" s="72" t="s">
        <v>1601</v>
      </c>
      <c r="U18" t="s">
        <v>1563</v>
      </c>
    </row>
    <row r="19" spans="2:21" ht="16.5" customHeight="1">
      <c r="B19" s="123" t="s">
        <v>1642</v>
      </c>
      <c r="C19" s="14" t="str">
        <f t="shared" si="1"/>
        <v>FF020155000058</v>
      </c>
      <c r="D19" s="67" t="s">
        <v>17</v>
      </c>
      <c r="E19" s="67" t="s">
        <v>24</v>
      </c>
      <c r="F19" s="67" t="s">
        <v>74</v>
      </c>
      <c r="G19" s="67" t="s">
        <v>16</v>
      </c>
      <c r="H19" s="67" t="s">
        <v>16</v>
      </c>
      <c r="I19" s="14" t="str">
        <f t="shared" si="2"/>
        <v>58</v>
      </c>
      <c r="J19" s="15">
        <f t="shared" si="9"/>
        <v>2</v>
      </c>
      <c r="K19" s="15">
        <f t="shared" si="9"/>
        <v>1</v>
      </c>
      <c r="L19" s="15">
        <f t="shared" si="9"/>
        <v>85</v>
      </c>
      <c r="M19" s="15">
        <f t="shared" si="9"/>
        <v>0</v>
      </c>
      <c r="N19" s="15">
        <f t="shared" si="9"/>
        <v>0</v>
      </c>
      <c r="O19" s="15">
        <f t="shared" si="5"/>
        <v>88</v>
      </c>
      <c r="P19" s="15" t="str">
        <f t="shared" si="6"/>
        <v>58</v>
      </c>
      <c r="Q19" s="15">
        <f t="shared" si="7"/>
        <v>174</v>
      </c>
      <c r="R19" s="15" t="str">
        <f t="shared" si="8"/>
        <v>AE</v>
      </c>
      <c r="T19" s="72" t="s">
        <v>1602</v>
      </c>
      <c r="U19" t="s">
        <v>1564</v>
      </c>
    </row>
    <row r="20" spans="2:21" ht="16.5" customHeight="1">
      <c r="B20" s="14" t="s">
        <v>1644</v>
      </c>
      <c r="C20" s="14" t="str">
        <f t="shared" si="1"/>
        <v>FF02002B00002D</v>
      </c>
      <c r="D20" s="67" t="s">
        <v>17</v>
      </c>
      <c r="E20" s="67" t="s">
        <v>16</v>
      </c>
      <c r="F20" s="67" t="s">
        <v>104</v>
      </c>
      <c r="G20" s="67" t="s">
        <v>16</v>
      </c>
      <c r="H20" s="67" t="s">
        <v>16</v>
      </c>
      <c r="I20" s="14" t="str">
        <f t="shared" si="2"/>
        <v>2D</v>
      </c>
      <c r="J20" s="15">
        <f t="shared" si="9"/>
        <v>2</v>
      </c>
      <c r="K20" s="15">
        <f t="shared" si="9"/>
        <v>0</v>
      </c>
      <c r="L20" s="15">
        <f t="shared" si="9"/>
        <v>43</v>
      </c>
      <c r="M20" s="15">
        <f t="shared" si="9"/>
        <v>0</v>
      </c>
      <c r="N20" s="15">
        <f t="shared" si="9"/>
        <v>0</v>
      </c>
      <c r="O20" s="15">
        <f t="shared" si="5"/>
        <v>45</v>
      </c>
      <c r="P20" s="15" t="str">
        <f t="shared" si="6"/>
        <v>2D</v>
      </c>
      <c r="Q20" s="15">
        <f t="shared" si="7"/>
        <v>88</v>
      </c>
      <c r="R20" s="15" t="str">
        <f t="shared" si="8"/>
        <v>58</v>
      </c>
      <c r="T20" s="72" t="s">
        <v>1603</v>
      </c>
      <c r="U20" t="s">
        <v>1565</v>
      </c>
    </row>
    <row r="21" spans="2:21" ht="16.5" customHeight="1">
      <c r="B21" s="14" t="s">
        <v>1646</v>
      </c>
      <c r="C21" s="14" t="str">
        <f t="shared" si="1"/>
        <v>FF02002B00012E</v>
      </c>
      <c r="D21" s="67" t="s">
        <v>17</v>
      </c>
      <c r="E21" s="67" t="s">
        <v>16</v>
      </c>
      <c r="F21" s="67" t="s">
        <v>104</v>
      </c>
      <c r="G21" s="67" t="s">
        <v>16</v>
      </c>
      <c r="H21" s="67" t="s">
        <v>24</v>
      </c>
      <c r="I21" s="14" t="str">
        <f t="shared" si="2"/>
        <v>2E</v>
      </c>
      <c r="J21" s="15">
        <f t="shared" si="9"/>
        <v>2</v>
      </c>
      <c r="K21" s="15">
        <f t="shared" si="9"/>
        <v>0</v>
      </c>
      <c r="L21" s="15">
        <f t="shared" si="9"/>
        <v>43</v>
      </c>
      <c r="M21" s="15">
        <f t="shared" si="9"/>
        <v>0</v>
      </c>
      <c r="N21" s="15">
        <f t="shared" si="9"/>
        <v>1</v>
      </c>
      <c r="O21" s="15">
        <f t="shared" si="5"/>
        <v>46</v>
      </c>
      <c r="P21" s="15" t="str">
        <f t="shared" si="6"/>
        <v>2E</v>
      </c>
      <c r="Q21" s="15">
        <f t="shared" si="7"/>
        <v>90</v>
      </c>
      <c r="R21" s="15" t="str">
        <f t="shared" si="8"/>
        <v>5A</v>
      </c>
      <c r="T21" s="72" t="s">
        <v>1604</v>
      </c>
      <c r="U21" t="s">
        <v>1566</v>
      </c>
    </row>
    <row r="22" spans="2:21" ht="16.5" customHeight="1">
      <c r="B22" s="14" t="s">
        <v>1648</v>
      </c>
      <c r="C22" s="14" t="str">
        <f t="shared" si="1"/>
        <v>FF02000F000011</v>
      </c>
      <c r="D22" s="67" t="s">
        <v>17</v>
      </c>
      <c r="E22" s="67" t="s">
        <v>16</v>
      </c>
      <c r="F22" s="67" t="s">
        <v>78</v>
      </c>
      <c r="G22" s="67" t="s">
        <v>16</v>
      </c>
      <c r="H22" s="67" t="s">
        <v>16</v>
      </c>
      <c r="I22" s="14" t="str">
        <f t="shared" si="2"/>
        <v>11</v>
      </c>
      <c r="J22" s="15">
        <f t="shared" si="9"/>
        <v>2</v>
      </c>
      <c r="K22" s="15">
        <f t="shared" si="9"/>
        <v>0</v>
      </c>
      <c r="L22" s="15">
        <f t="shared" si="9"/>
        <v>15</v>
      </c>
      <c r="M22" s="15">
        <f t="shared" si="9"/>
        <v>0</v>
      </c>
      <c r="N22" s="15">
        <f t="shared" si="9"/>
        <v>0</v>
      </c>
      <c r="O22" s="15">
        <f t="shared" si="5"/>
        <v>17</v>
      </c>
      <c r="P22" s="15" t="str">
        <f t="shared" si="6"/>
        <v>11</v>
      </c>
      <c r="Q22" s="15">
        <f t="shared" si="7"/>
        <v>32</v>
      </c>
      <c r="R22" s="15" t="str">
        <f t="shared" si="8"/>
        <v>20</v>
      </c>
      <c r="T22" s="72" t="s">
        <v>1605</v>
      </c>
      <c r="U22" t="s">
        <v>1567</v>
      </c>
    </row>
    <row r="23" spans="2:21" ht="16.5" customHeight="1">
      <c r="B23" s="14" t="s">
        <v>1650</v>
      </c>
      <c r="C23" s="14" t="str">
        <f t="shared" si="1"/>
        <v>FF02002900002B</v>
      </c>
      <c r="D23" s="67" t="s">
        <v>17</v>
      </c>
      <c r="E23" s="67" t="s">
        <v>16</v>
      </c>
      <c r="F23" s="67" t="s">
        <v>79</v>
      </c>
      <c r="G23" s="67" t="s">
        <v>16</v>
      </c>
      <c r="H23" s="67" t="s">
        <v>16</v>
      </c>
      <c r="I23" s="14" t="str">
        <f t="shared" si="2"/>
        <v>2B</v>
      </c>
      <c r="J23" s="15">
        <f t="shared" si="9"/>
        <v>2</v>
      </c>
      <c r="K23" s="15">
        <f t="shared" si="9"/>
        <v>0</v>
      </c>
      <c r="L23" s="15">
        <f t="shared" si="9"/>
        <v>41</v>
      </c>
      <c r="M23" s="15">
        <f t="shared" si="9"/>
        <v>0</v>
      </c>
      <c r="N23" s="15">
        <f t="shared" si="9"/>
        <v>0</v>
      </c>
      <c r="O23" s="15">
        <f t="shared" si="5"/>
        <v>43</v>
      </c>
      <c r="P23" s="15" t="str">
        <f t="shared" si="6"/>
        <v>2B</v>
      </c>
      <c r="Q23" s="15">
        <f t="shared" si="7"/>
        <v>84</v>
      </c>
      <c r="R23" s="15" t="str">
        <f t="shared" si="8"/>
        <v>54</v>
      </c>
      <c r="T23" s="72" t="s">
        <v>1606</v>
      </c>
      <c r="U23" t="s">
        <v>1568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216FE-61C8-B941-B13D-072D42E23E52}">
  <dimension ref="B1:H1"/>
  <sheetViews>
    <sheetView topLeftCell="A121" workbookViewId="0">
      <selection activeCell="H127" sqref="H127"/>
    </sheetView>
  </sheetViews>
  <sheetFormatPr defaultColWidth="10.6640625" defaultRowHeight="16.5"/>
  <cols>
    <col min="1" max="1" width="10.6640625" style="7"/>
    <col min="2" max="2" width="16.109375" style="8" bestFit="1" customWidth="1"/>
    <col min="3" max="3" width="7.5546875" style="8" bestFit="1" customWidth="1"/>
    <col min="4" max="4" width="12.5546875" style="8" bestFit="1" customWidth="1"/>
    <col min="5" max="5" width="4.44140625" style="8" bestFit="1" customWidth="1"/>
    <col min="6" max="6" width="22.109375" style="8" customWidth="1"/>
    <col min="7" max="7" width="6.5546875" style="8" bestFit="1" customWidth="1"/>
    <col min="8" max="8" width="15.33203125" style="8" bestFit="1" customWidth="1"/>
    <col min="9" max="16384" width="10.6640625" style="7"/>
  </cols>
  <sheetData/>
  <phoneticPr fontId="1" type="noConversion"/>
  <pageMargins left="0.7" right="0.7" top="0.75" bottom="0.75" header="0.3" footer="0.3"/>
  <pageSetup paperSize="9" orientation="portrait" horizontalDpi="0" verticalDpi="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A9FE0-2B56-4EB8-B96C-F19E41E24CE4}">
  <dimension ref="A1"/>
  <sheetViews>
    <sheetView workbookViewId="0">
      <selection activeCell="I15" sqref="I15"/>
    </sheetView>
  </sheetViews>
  <sheetFormatPr defaultColWidth="8.6640625" defaultRowHeight="17.25"/>
  <sheetData/>
  <phoneticPr fontId="1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BD130-7E94-4798-80EB-E2350D9BAC78}">
  <dimension ref="B1:X102"/>
  <sheetViews>
    <sheetView workbookViewId="0">
      <pane xSplit="8" ySplit="2" topLeftCell="J3" activePane="bottomRight" state="frozen"/>
      <selection pane="topRight" activeCell="I1" sqref="I1"/>
      <selection pane="bottomLeft" activeCell="A3" sqref="A3"/>
      <selection pane="bottomRight" activeCell="A16" sqref="A7:XFD16"/>
    </sheetView>
  </sheetViews>
  <sheetFormatPr defaultColWidth="11.5546875" defaultRowHeight="16.5" customHeight="1"/>
  <cols>
    <col min="1" max="1" width="2.6640625" customWidth="1"/>
    <col min="2" max="2" width="14.5546875" customWidth="1"/>
    <col min="3" max="3" width="6.88671875" hidden="1" customWidth="1"/>
    <col min="4" max="4" width="0" hidden="1" customWidth="1"/>
    <col min="5" max="5" width="4.109375" hidden="1" customWidth="1"/>
    <col min="6" max="6" width="9.33203125" hidden="1" customWidth="1"/>
    <col min="7" max="7" width="6.33203125" hidden="1" customWidth="1"/>
    <col min="8" max="8" width="7.44140625" hidden="1" customWidth="1"/>
    <col min="9" max="9" width="0" hidden="1" customWidth="1"/>
    <col min="13" max="13" width="11.5546875" style="6"/>
    <col min="15" max="15" width="14.44140625" customWidth="1"/>
    <col min="16" max="16" width="3.109375" style="9" bestFit="1" customWidth="1"/>
    <col min="17" max="17" width="3.109375" style="9" customWidth="1"/>
    <col min="18" max="18" width="3.6640625" style="10" bestFit="1" customWidth="1"/>
    <col min="19" max="21" width="3.109375" style="9" bestFit="1" customWidth="1"/>
    <col min="22" max="23" width="7" style="9" bestFit="1" customWidth="1"/>
    <col min="24" max="24" width="16.5546875" bestFit="1" customWidth="1"/>
  </cols>
  <sheetData>
    <row r="1" spans="2:24" ht="16.5" customHeight="1">
      <c r="O1" t="s">
        <v>8</v>
      </c>
      <c r="X1" t="s">
        <v>539</v>
      </c>
    </row>
    <row r="2" spans="2:24" s="2" customFormat="1" ht="16.5" customHeight="1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29</v>
      </c>
      <c r="J2" s="1" t="s">
        <v>34</v>
      </c>
      <c r="K2" s="1" t="s">
        <v>35</v>
      </c>
      <c r="L2" s="1" t="s">
        <v>36</v>
      </c>
      <c r="M2" s="1" t="s">
        <v>37</v>
      </c>
      <c r="N2" s="1" t="s">
        <v>38</v>
      </c>
      <c r="O2" s="11" t="s">
        <v>7</v>
      </c>
      <c r="P2" s="13" t="s">
        <v>32</v>
      </c>
      <c r="Q2" s="13" t="s">
        <v>33</v>
      </c>
      <c r="R2" s="13" t="s">
        <v>34</v>
      </c>
      <c r="S2" s="13" t="s">
        <v>35</v>
      </c>
      <c r="T2" s="13" t="s">
        <v>36</v>
      </c>
      <c r="U2" s="13" t="s">
        <v>37</v>
      </c>
      <c r="V2" s="13" t="s">
        <v>39</v>
      </c>
      <c r="W2" s="13" t="s">
        <v>40</v>
      </c>
      <c r="X2" s="2" t="s">
        <v>180</v>
      </c>
    </row>
    <row r="3" spans="2:24" s="2" customFormat="1" ht="16.5" customHeight="1">
      <c r="B3" s="3" t="s">
        <v>76</v>
      </c>
      <c r="C3" s="3"/>
      <c r="D3" s="3"/>
      <c r="E3" s="3"/>
      <c r="F3" s="3"/>
      <c r="G3" s="4"/>
      <c r="H3" s="3"/>
      <c r="I3" s="5" t="s">
        <v>24</v>
      </c>
      <c r="J3" s="5" t="s">
        <v>16</v>
      </c>
      <c r="K3" s="5" t="s">
        <v>78</v>
      </c>
      <c r="L3" s="5" t="s">
        <v>16</v>
      </c>
      <c r="M3" s="5" t="s">
        <v>16</v>
      </c>
      <c r="N3" s="3" t="str">
        <f>W3</f>
        <v>10</v>
      </c>
      <c r="O3" s="12" t="str">
        <f t="shared" ref="O3:O11" si="0">"FF01"&amp;J3&amp;""&amp;K3&amp;L3&amp;M3&amp;N3</f>
        <v>FF01000F000010</v>
      </c>
      <c r="P3" s="14" t="s">
        <v>9</v>
      </c>
      <c r="Q3" s="15">
        <f t="shared" ref="Q3:U18" si="1">HEX2DEC(I3)</f>
        <v>1</v>
      </c>
      <c r="R3" s="15">
        <f t="shared" si="1"/>
        <v>0</v>
      </c>
      <c r="S3" s="15">
        <f t="shared" si="1"/>
        <v>15</v>
      </c>
      <c r="T3" s="15">
        <f t="shared" si="1"/>
        <v>0</v>
      </c>
      <c r="U3" s="15">
        <f t="shared" si="1"/>
        <v>0</v>
      </c>
      <c r="V3" s="15">
        <f t="shared" ref="V3:V66" si="2">SUM(Q3:U3)</f>
        <v>16</v>
      </c>
      <c r="W3" s="15" t="str">
        <f>REPT("0",2-LEN(RIGHT(DEC2HEX(V3), 2)))&amp;RIGHT(DEC2HEX(V3), 2)</f>
        <v>10</v>
      </c>
      <c r="X3" s="2" t="s">
        <v>181</v>
      </c>
    </row>
    <row r="4" spans="2:24" s="2" customFormat="1" ht="16.5" customHeight="1">
      <c r="B4" s="3" t="s">
        <v>77</v>
      </c>
      <c r="C4" s="3"/>
      <c r="D4" s="3"/>
      <c r="E4" s="3"/>
      <c r="F4" s="3"/>
      <c r="G4" s="4"/>
      <c r="H4" s="3"/>
      <c r="I4" s="5" t="s">
        <v>24</v>
      </c>
      <c r="J4" s="5" t="s">
        <v>16</v>
      </c>
      <c r="K4" s="5" t="s">
        <v>79</v>
      </c>
      <c r="L4" s="5" t="s">
        <v>16</v>
      </c>
      <c r="M4" s="5" t="s">
        <v>16</v>
      </c>
      <c r="N4" s="3" t="str">
        <f>W4</f>
        <v>2A</v>
      </c>
      <c r="O4" s="12" t="str">
        <f t="shared" si="0"/>
        <v>FF01002900002A</v>
      </c>
      <c r="P4" s="14" t="s">
        <v>9</v>
      </c>
      <c r="Q4" s="15">
        <f t="shared" si="1"/>
        <v>1</v>
      </c>
      <c r="R4" s="15">
        <f t="shared" si="1"/>
        <v>0</v>
      </c>
      <c r="S4" s="15">
        <f t="shared" si="1"/>
        <v>41</v>
      </c>
      <c r="T4" s="15">
        <f t="shared" si="1"/>
        <v>0</v>
      </c>
      <c r="U4" s="15">
        <f t="shared" si="1"/>
        <v>0</v>
      </c>
      <c r="V4" s="15">
        <f t="shared" si="2"/>
        <v>42</v>
      </c>
      <c r="W4" s="15" t="str">
        <f>REPT("0",2-LEN(RIGHT(DEC2HEX(V4), 2)))&amp;RIGHT(DEC2HEX(V4), 2)</f>
        <v>2A</v>
      </c>
      <c r="X4" s="2" t="s">
        <v>182</v>
      </c>
    </row>
    <row r="5" spans="2:24" s="2" customFormat="1" ht="16.5" customHeight="1">
      <c r="B5" s="3" t="s">
        <v>64</v>
      </c>
      <c r="C5" s="3"/>
      <c r="D5" s="3"/>
      <c r="E5" s="3"/>
      <c r="F5" s="3"/>
      <c r="G5" s="4"/>
      <c r="H5" s="3"/>
      <c r="I5" s="5" t="s">
        <v>16</v>
      </c>
      <c r="J5" s="5" t="s">
        <v>16</v>
      </c>
      <c r="K5" s="5" t="s">
        <v>16</v>
      </c>
      <c r="L5" s="5" t="s">
        <v>16</v>
      </c>
      <c r="M5" s="5" t="s">
        <v>16</v>
      </c>
      <c r="N5" s="5" t="s">
        <v>16</v>
      </c>
      <c r="O5" s="12" t="str">
        <f t="shared" si="0"/>
        <v>FF010000000000</v>
      </c>
      <c r="P5" s="14" t="s">
        <v>9</v>
      </c>
      <c r="Q5" s="15">
        <f t="shared" si="1"/>
        <v>0</v>
      </c>
      <c r="R5" s="15">
        <f t="shared" si="1"/>
        <v>0</v>
      </c>
      <c r="S5" s="15">
        <f t="shared" si="1"/>
        <v>0</v>
      </c>
      <c r="T5" s="15">
        <f t="shared" si="1"/>
        <v>0</v>
      </c>
      <c r="U5" s="15">
        <f t="shared" si="1"/>
        <v>0</v>
      </c>
      <c r="V5" s="15">
        <f t="shared" si="2"/>
        <v>0</v>
      </c>
      <c r="W5" s="15" t="str">
        <f>REPT("0",2-LEN(RIGHT(DEC2HEX(V5), 2)))&amp;RIGHT(DEC2HEX(V5), 2)</f>
        <v>00</v>
      </c>
      <c r="X5" s="2" t="s">
        <v>183</v>
      </c>
    </row>
    <row r="6" spans="2:24" s="2" customFormat="1" ht="16.5" customHeight="1">
      <c r="B6" s="41" t="s">
        <v>10</v>
      </c>
      <c r="C6" s="41"/>
      <c r="D6" s="41"/>
      <c r="E6" s="41"/>
      <c r="F6" s="41"/>
      <c r="G6" s="42"/>
      <c r="H6" s="41"/>
      <c r="I6" s="43" t="s">
        <v>24</v>
      </c>
      <c r="J6" s="41" t="s">
        <v>15</v>
      </c>
      <c r="K6" s="43" t="s">
        <v>18</v>
      </c>
      <c r="L6" s="43" t="s">
        <v>16</v>
      </c>
      <c r="M6" s="43" t="s">
        <v>16</v>
      </c>
      <c r="N6" s="41" t="str">
        <f>W6</f>
        <v>02</v>
      </c>
      <c r="O6" s="44" t="str">
        <f t="shared" si="0"/>
        <v>FF01E021000002</v>
      </c>
      <c r="P6" s="45" t="s">
        <v>9</v>
      </c>
      <c r="Q6" s="46">
        <f t="shared" si="1"/>
        <v>1</v>
      </c>
      <c r="R6" s="46">
        <f t="shared" si="1"/>
        <v>224</v>
      </c>
      <c r="S6" s="46">
        <f t="shared" si="1"/>
        <v>33</v>
      </c>
      <c r="T6" s="46">
        <f t="shared" si="1"/>
        <v>0</v>
      </c>
      <c r="U6" s="46">
        <f t="shared" si="1"/>
        <v>0</v>
      </c>
      <c r="V6" s="46">
        <f t="shared" si="2"/>
        <v>258</v>
      </c>
      <c r="W6" s="46" t="str">
        <f>REPT("0",2-LEN(RIGHT(DEC2HEX(V6), 2)))&amp;RIGHT(DEC2HEX(V6), 2)</f>
        <v>02</v>
      </c>
      <c r="X6" s="2" t="s">
        <v>540</v>
      </c>
    </row>
    <row r="7" spans="2:24" s="2" customFormat="1" ht="16.5" customHeight="1">
      <c r="B7" s="41" t="s">
        <v>11</v>
      </c>
      <c r="C7" s="41"/>
      <c r="D7" s="41"/>
      <c r="E7" s="41"/>
      <c r="F7" s="41"/>
      <c r="G7" s="42"/>
      <c r="H7" s="41"/>
      <c r="I7" s="43" t="s">
        <v>24</v>
      </c>
      <c r="J7" s="41" t="s">
        <v>15</v>
      </c>
      <c r="K7" s="43">
        <v>22</v>
      </c>
      <c r="L7" s="43" t="s">
        <v>16</v>
      </c>
      <c r="M7" s="43" t="s">
        <v>16</v>
      </c>
      <c r="N7" s="41" t="str">
        <f t="shared" ref="N7:N62" si="3">W7</f>
        <v>03</v>
      </c>
      <c r="O7" s="44" t="str">
        <f t="shared" si="0"/>
        <v>FF01E022000003</v>
      </c>
      <c r="P7" s="45" t="s">
        <v>9</v>
      </c>
      <c r="Q7" s="46">
        <f t="shared" si="1"/>
        <v>1</v>
      </c>
      <c r="R7" s="46">
        <f>HEX2DEC(J7)</f>
        <v>224</v>
      </c>
      <c r="S7" s="46">
        <f t="shared" si="1"/>
        <v>34</v>
      </c>
      <c r="T7" s="46">
        <f t="shared" si="1"/>
        <v>0</v>
      </c>
      <c r="U7" s="46">
        <f t="shared" si="1"/>
        <v>0</v>
      </c>
      <c r="V7" s="46">
        <f t="shared" si="2"/>
        <v>259</v>
      </c>
      <c r="W7" s="46" t="str">
        <f t="shared" ref="W7:W79" si="4">REPT("0",2-LEN(RIGHT(DEC2HEX(V7), 2)))&amp;RIGHT(DEC2HEX(V7), 2)</f>
        <v>03</v>
      </c>
      <c r="X7" s="2" t="s">
        <v>541</v>
      </c>
    </row>
    <row r="8" spans="2:24" s="2" customFormat="1" ht="16.5" customHeight="1">
      <c r="B8" s="41" t="s">
        <v>12</v>
      </c>
      <c r="C8" s="41"/>
      <c r="D8" s="41"/>
      <c r="E8" s="41"/>
      <c r="F8" s="41"/>
      <c r="G8" s="42"/>
      <c r="H8" s="41"/>
      <c r="I8" s="43" t="s">
        <v>24</v>
      </c>
      <c r="J8" s="41" t="s">
        <v>15</v>
      </c>
      <c r="K8" s="41">
        <v>23</v>
      </c>
      <c r="L8" s="43" t="s">
        <v>16</v>
      </c>
      <c r="M8" s="43" t="s">
        <v>16</v>
      </c>
      <c r="N8" s="41" t="str">
        <f t="shared" si="3"/>
        <v>04</v>
      </c>
      <c r="O8" s="44" t="str">
        <f t="shared" si="0"/>
        <v>FF01E023000004</v>
      </c>
      <c r="P8" s="45" t="s">
        <v>9</v>
      </c>
      <c r="Q8" s="46">
        <f t="shared" si="1"/>
        <v>1</v>
      </c>
      <c r="R8" s="46">
        <f t="shared" si="1"/>
        <v>224</v>
      </c>
      <c r="S8" s="46">
        <f t="shared" si="1"/>
        <v>35</v>
      </c>
      <c r="T8" s="46">
        <f t="shared" si="1"/>
        <v>0</v>
      </c>
      <c r="U8" s="46">
        <f t="shared" si="1"/>
        <v>0</v>
      </c>
      <c r="V8" s="46">
        <f t="shared" si="2"/>
        <v>260</v>
      </c>
      <c r="W8" s="46" t="str">
        <f t="shared" si="4"/>
        <v>04</v>
      </c>
      <c r="X8" s="2" t="s">
        <v>542</v>
      </c>
    </row>
    <row r="9" spans="2:24" s="2" customFormat="1" ht="16.5" customHeight="1">
      <c r="B9" s="41" t="s">
        <v>13</v>
      </c>
      <c r="C9" s="41"/>
      <c r="D9" s="41"/>
      <c r="E9" s="41"/>
      <c r="F9" s="41"/>
      <c r="G9" s="42"/>
      <c r="H9" s="41"/>
      <c r="I9" s="43" t="s">
        <v>24</v>
      </c>
      <c r="J9" s="41" t="s">
        <v>15</v>
      </c>
      <c r="K9" s="41">
        <v>24</v>
      </c>
      <c r="L9" s="43" t="s">
        <v>16</v>
      </c>
      <c r="M9" s="43" t="s">
        <v>16</v>
      </c>
      <c r="N9" s="41" t="str">
        <f t="shared" si="3"/>
        <v>05</v>
      </c>
      <c r="O9" s="44" t="str">
        <f t="shared" si="0"/>
        <v>FF01E024000005</v>
      </c>
      <c r="P9" s="45" t="s">
        <v>9</v>
      </c>
      <c r="Q9" s="46">
        <f t="shared" si="1"/>
        <v>1</v>
      </c>
      <c r="R9" s="46">
        <f t="shared" si="1"/>
        <v>224</v>
      </c>
      <c r="S9" s="46">
        <f t="shared" si="1"/>
        <v>36</v>
      </c>
      <c r="T9" s="46">
        <f t="shared" si="1"/>
        <v>0</v>
      </c>
      <c r="U9" s="46">
        <f t="shared" si="1"/>
        <v>0</v>
      </c>
      <c r="V9" s="46">
        <f t="shared" si="2"/>
        <v>261</v>
      </c>
      <c r="W9" s="46" t="str">
        <f t="shared" si="4"/>
        <v>05</v>
      </c>
      <c r="X9" s="2" t="s">
        <v>543</v>
      </c>
    </row>
    <row r="10" spans="2:24" s="2" customFormat="1" ht="16.5" customHeight="1" thickBot="1">
      <c r="B10" s="41" t="s">
        <v>14</v>
      </c>
      <c r="C10" s="41"/>
      <c r="D10" s="41"/>
      <c r="E10" s="41"/>
      <c r="F10" s="41"/>
      <c r="G10" s="42"/>
      <c r="H10" s="41"/>
      <c r="I10" s="43" t="s">
        <v>24</v>
      </c>
      <c r="J10" s="41" t="s">
        <v>15</v>
      </c>
      <c r="K10" s="41">
        <v>25</v>
      </c>
      <c r="L10" s="43" t="s">
        <v>16</v>
      </c>
      <c r="M10" s="43" t="s">
        <v>16</v>
      </c>
      <c r="N10" s="41" t="str">
        <f t="shared" si="3"/>
        <v>06</v>
      </c>
      <c r="O10" s="44" t="str">
        <f t="shared" si="0"/>
        <v>FF01E025000006</v>
      </c>
      <c r="P10" s="45" t="s">
        <v>9</v>
      </c>
      <c r="Q10" s="46">
        <f t="shared" si="1"/>
        <v>1</v>
      </c>
      <c r="R10" s="46">
        <f t="shared" si="1"/>
        <v>224</v>
      </c>
      <c r="S10" s="46">
        <f t="shared" si="1"/>
        <v>37</v>
      </c>
      <c r="T10" s="46">
        <f t="shared" si="1"/>
        <v>0</v>
      </c>
      <c r="U10" s="46">
        <f t="shared" si="1"/>
        <v>0</v>
      </c>
      <c r="V10" s="46">
        <f t="shared" si="2"/>
        <v>262</v>
      </c>
      <c r="W10" s="46" t="str">
        <f t="shared" si="4"/>
        <v>06</v>
      </c>
      <c r="X10" s="2" t="s">
        <v>544</v>
      </c>
    </row>
    <row r="11" spans="2:24" s="2" customFormat="1" ht="16.5" customHeight="1">
      <c r="B11" s="47" t="s">
        <v>41</v>
      </c>
      <c r="C11" s="48"/>
      <c r="D11" s="48"/>
      <c r="E11" s="48"/>
      <c r="F11" s="48"/>
      <c r="G11" s="49"/>
      <c r="H11" s="48"/>
      <c r="I11" s="50" t="s">
        <v>24</v>
      </c>
      <c r="J11" s="50" t="s">
        <v>16</v>
      </c>
      <c r="K11" s="50" t="s">
        <v>16</v>
      </c>
      <c r="L11" s="50" t="s">
        <v>16</v>
      </c>
      <c r="M11" s="50" t="s">
        <v>16</v>
      </c>
      <c r="N11" s="48" t="str">
        <f t="shared" si="3"/>
        <v>01</v>
      </c>
      <c r="O11" s="51" t="str">
        <f t="shared" si="0"/>
        <v>FF010000000001</v>
      </c>
      <c r="P11" s="52" t="s">
        <v>9</v>
      </c>
      <c r="Q11" s="53">
        <f t="shared" si="1"/>
        <v>1</v>
      </c>
      <c r="R11" s="53">
        <f t="shared" si="1"/>
        <v>0</v>
      </c>
      <c r="S11" s="53">
        <f t="shared" si="1"/>
        <v>0</v>
      </c>
      <c r="T11" s="53">
        <f t="shared" si="1"/>
        <v>0</v>
      </c>
      <c r="U11" s="53">
        <f t="shared" si="1"/>
        <v>0</v>
      </c>
      <c r="V11" s="53">
        <f>SUM(Q11:U11)</f>
        <v>1</v>
      </c>
      <c r="W11" s="54" t="str">
        <f>REPT("0",2-LEN(RIGHT(DEC2HEX(V11), 2)))&amp;RIGHT(DEC2HEX(V11), 2)</f>
        <v>01</v>
      </c>
      <c r="X11" s="2" t="s">
        <v>545</v>
      </c>
    </row>
    <row r="12" spans="2:24" s="2" customFormat="1" ht="16.5" customHeight="1">
      <c r="B12" s="55" t="s">
        <v>31</v>
      </c>
      <c r="C12" s="41"/>
      <c r="D12" s="41"/>
      <c r="E12" s="41"/>
      <c r="F12" s="41"/>
      <c r="G12" s="42"/>
      <c r="H12" s="41"/>
      <c r="I12" s="43" t="s">
        <v>24</v>
      </c>
      <c r="J12" s="43" t="s">
        <v>16</v>
      </c>
      <c r="K12" s="41">
        <v>40</v>
      </c>
      <c r="L12" s="43" t="s">
        <v>16</v>
      </c>
      <c r="M12" s="43" t="s">
        <v>16</v>
      </c>
      <c r="N12" s="41" t="str">
        <f>W12</f>
        <v>41</v>
      </c>
      <c r="O12" s="44" t="str">
        <f>"FF01"&amp;J12&amp;""&amp;K12&amp;L12&amp;M12&amp;N12</f>
        <v>FF010040000041</v>
      </c>
      <c r="P12" s="45" t="s">
        <v>9</v>
      </c>
      <c r="Q12" s="46">
        <f>HEX2DEC(I12)</f>
        <v>1</v>
      </c>
      <c r="R12" s="46">
        <f>HEX2DEC(J12)</f>
        <v>0</v>
      </c>
      <c r="S12" s="46">
        <f>HEX2DEC(K12)</f>
        <v>64</v>
      </c>
      <c r="T12" s="46">
        <f>HEX2DEC(L12)</f>
        <v>0</v>
      </c>
      <c r="U12" s="46">
        <f>HEX2DEC(M12)</f>
        <v>0</v>
      </c>
      <c r="V12" s="46">
        <f>SUM(Q12:U12)</f>
        <v>65</v>
      </c>
      <c r="W12" s="56" t="str">
        <f>REPT("0",2-LEN(RIGHT(DEC2HEX(V12), 2)))&amp;RIGHT(DEC2HEX(V12), 2)</f>
        <v>41</v>
      </c>
      <c r="X12" s="2" t="s">
        <v>546</v>
      </c>
    </row>
    <row r="13" spans="2:24" s="2" customFormat="1" ht="16.5" customHeight="1">
      <c r="B13" s="55" t="s">
        <v>30</v>
      </c>
      <c r="C13" s="41"/>
      <c r="D13" s="41"/>
      <c r="E13" s="41"/>
      <c r="F13" s="41"/>
      <c r="G13" s="42"/>
      <c r="H13" s="41"/>
      <c r="I13" s="43" t="s">
        <v>24</v>
      </c>
      <c r="J13" s="43" t="s">
        <v>16</v>
      </c>
      <c r="K13" s="41">
        <v>20</v>
      </c>
      <c r="L13" s="43" t="s">
        <v>16</v>
      </c>
      <c r="M13" s="43" t="s">
        <v>16</v>
      </c>
      <c r="N13" s="41" t="str">
        <f t="shared" si="3"/>
        <v>21</v>
      </c>
      <c r="O13" s="44" t="str">
        <f t="shared" ref="O13:O21" si="5">"FF01"&amp;J13&amp;""&amp;K13&amp;L13&amp;M13&amp;N13</f>
        <v>FF010020000021</v>
      </c>
      <c r="P13" s="45" t="s">
        <v>9</v>
      </c>
      <c r="Q13" s="46">
        <f t="shared" si="1"/>
        <v>1</v>
      </c>
      <c r="R13" s="46">
        <f t="shared" si="1"/>
        <v>0</v>
      </c>
      <c r="S13" s="46">
        <f t="shared" si="1"/>
        <v>32</v>
      </c>
      <c r="T13" s="46">
        <f t="shared" si="1"/>
        <v>0</v>
      </c>
      <c r="U13" s="46">
        <f t="shared" si="1"/>
        <v>0</v>
      </c>
      <c r="V13" s="46">
        <f t="shared" si="2"/>
        <v>33</v>
      </c>
      <c r="W13" s="56" t="str">
        <f t="shared" si="4"/>
        <v>21</v>
      </c>
      <c r="X13" s="2" t="s">
        <v>547</v>
      </c>
    </row>
    <row r="14" spans="2:24" s="2" customFormat="1" ht="16.5" customHeight="1">
      <c r="B14" s="55" t="s">
        <v>28</v>
      </c>
      <c r="C14" s="41"/>
      <c r="D14" s="41"/>
      <c r="E14" s="41"/>
      <c r="F14" s="41"/>
      <c r="G14" s="42"/>
      <c r="H14" s="41"/>
      <c r="I14" s="43" t="s">
        <v>24</v>
      </c>
      <c r="J14" s="41" t="s">
        <v>23</v>
      </c>
      <c r="K14" s="41">
        <v>11</v>
      </c>
      <c r="L14" s="43" t="s">
        <v>16</v>
      </c>
      <c r="M14" s="43" t="s">
        <v>16</v>
      </c>
      <c r="N14" s="41" t="str">
        <f t="shared" si="3"/>
        <v>B2</v>
      </c>
      <c r="O14" s="44" t="str">
        <f t="shared" si="5"/>
        <v>FF01A0110000B2</v>
      </c>
      <c r="P14" s="45" t="s">
        <v>9</v>
      </c>
      <c r="Q14" s="46">
        <f t="shared" si="1"/>
        <v>1</v>
      </c>
      <c r="R14" s="46">
        <f t="shared" si="1"/>
        <v>160</v>
      </c>
      <c r="S14" s="46">
        <f t="shared" si="1"/>
        <v>17</v>
      </c>
      <c r="T14" s="46">
        <f t="shared" si="1"/>
        <v>0</v>
      </c>
      <c r="U14" s="46">
        <f t="shared" si="1"/>
        <v>0</v>
      </c>
      <c r="V14" s="46">
        <f t="shared" si="2"/>
        <v>178</v>
      </c>
      <c r="W14" s="56" t="str">
        <f t="shared" si="4"/>
        <v>B2</v>
      </c>
      <c r="X14" s="2" t="s">
        <v>196</v>
      </c>
    </row>
    <row r="15" spans="2:24" s="2" customFormat="1" ht="16.5" customHeight="1">
      <c r="B15" s="55" t="s">
        <v>42</v>
      </c>
      <c r="C15" s="41"/>
      <c r="D15" s="41"/>
      <c r="E15" s="41"/>
      <c r="F15" s="41"/>
      <c r="G15" s="42"/>
      <c r="H15" s="41"/>
      <c r="I15" s="43" t="s">
        <v>24</v>
      </c>
      <c r="J15" s="43" t="s">
        <v>16</v>
      </c>
      <c r="K15" s="43" t="s">
        <v>43</v>
      </c>
      <c r="L15" s="43" t="s">
        <v>16</v>
      </c>
      <c r="M15" s="43" t="s">
        <v>16</v>
      </c>
      <c r="N15" s="41" t="str">
        <f t="shared" si="3"/>
        <v>81</v>
      </c>
      <c r="O15" s="44" t="str">
        <f t="shared" si="5"/>
        <v>FF010080000081</v>
      </c>
      <c r="P15" s="45" t="s">
        <v>9</v>
      </c>
      <c r="Q15" s="46">
        <f t="shared" si="1"/>
        <v>1</v>
      </c>
      <c r="R15" s="46">
        <f t="shared" si="1"/>
        <v>0</v>
      </c>
      <c r="S15" s="46">
        <f t="shared" si="1"/>
        <v>128</v>
      </c>
      <c r="T15" s="46">
        <f t="shared" si="1"/>
        <v>0</v>
      </c>
      <c r="U15" s="46">
        <f t="shared" si="1"/>
        <v>0</v>
      </c>
      <c r="V15" s="46">
        <f t="shared" si="2"/>
        <v>129</v>
      </c>
      <c r="W15" s="56" t="str">
        <f t="shared" si="4"/>
        <v>81</v>
      </c>
      <c r="X15" s="2" t="s">
        <v>548</v>
      </c>
    </row>
    <row r="16" spans="2:24" s="2" customFormat="1" ht="16.5" customHeight="1">
      <c r="B16" s="55" t="s">
        <v>44</v>
      </c>
      <c r="C16" s="41"/>
      <c r="D16" s="41"/>
      <c r="E16" s="41"/>
      <c r="F16" s="41"/>
      <c r="G16" s="42"/>
      <c r="H16" s="41"/>
      <c r="I16" s="43" t="s">
        <v>24</v>
      </c>
      <c r="J16" s="43" t="s">
        <v>24</v>
      </c>
      <c r="K16" s="43" t="s">
        <v>16</v>
      </c>
      <c r="L16" s="43" t="s">
        <v>16</v>
      </c>
      <c r="M16" s="43" t="s">
        <v>16</v>
      </c>
      <c r="N16" s="41" t="str">
        <f t="shared" si="3"/>
        <v>02</v>
      </c>
      <c r="O16" s="44" t="str">
        <f t="shared" si="5"/>
        <v>FF010100000002</v>
      </c>
      <c r="P16" s="45" t="s">
        <v>9</v>
      </c>
      <c r="Q16" s="46">
        <f t="shared" si="1"/>
        <v>1</v>
      </c>
      <c r="R16" s="46">
        <f t="shared" si="1"/>
        <v>1</v>
      </c>
      <c r="S16" s="46">
        <f t="shared" si="1"/>
        <v>0</v>
      </c>
      <c r="T16" s="46">
        <f t="shared" si="1"/>
        <v>0</v>
      </c>
      <c r="U16" s="46">
        <f t="shared" si="1"/>
        <v>0</v>
      </c>
      <c r="V16" s="46">
        <f t="shared" si="2"/>
        <v>2</v>
      </c>
      <c r="W16" s="56" t="str">
        <f t="shared" si="4"/>
        <v>02</v>
      </c>
      <c r="X16" s="2" t="s">
        <v>549</v>
      </c>
    </row>
    <row r="17" spans="2:24" s="2" customFormat="1" ht="16.5" customHeight="1">
      <c r="B17" s="29" t="s">
        <v>65</v>
      </c>
      <c r="C17" s="3"/>
      <c r="D17" s="3"/>
      <c r="E17" s="3"/>
      <c r="F17" s="3"/>
      <c r="G17" s="4"/>
      <c r="H17" s="3"/>
      <c r="I17" s="5" t="s">
        <v>24</v>
      </c>
      <c r="J17" s="5" t="s">
        <v>16</v>
      </c>
      <c r="K17" s="5" t="s">
        <v>51</v>
      </c>
      <c r="L17" s="5" t="s">
        <v>16</v>
      </c>
      <c r="M17" s="5" t="s">
        <v>16</v>
      </c>
      <c r="N17" s="3" t="str">
        <f t="shared" si="3"/>
        <v>26</v>
      </c>
      <c r="O17" s="12" t="str">
        <f t="shared" si="5"/>
        <v>FF010025000026</v>
      </c>
      <c r="P17" s="14" t="s">
        <v>9</v>
      </c>
      <c r="Q17" s="15">
        <f t="shared" si="1"/>
        <v>1</v>
      </c>
      <c r="R17" s="15">
        <f t="shared" si="1"/>
        <v>0</v>
      </c>
      <c r="S17" s="15">
        <f t="shared" si="1"/>
        <v>37</v>
      </c>
      <c r="T17" s="15">
        <f t="shared" si="1"/>
        <v>0</v>
      </c>
      <c r="U17" s="15">
        <f t="shared" si="1"/>
        <v>0</v>
      </c>
      <c r="V17" s="15">
        <f t="shared" si="2"/>
        <v>38</v>
      </c>
      <c r="W17" s="30" t="str">
        <f t="shared" si="4"/>
        <v>26</v>
      </c>
      <c r="X17" s="2" t="s">
        <v>184</v>
      </c>
    </row>
    <row r="18" spans="2:24" s="2" customFormat="1" ht="16.5" customHeight="1">
      <c r="B18" s="29" t="s">
        <v>66</v>
      </c>
      <c r="C18" s="3"/>
      <c r="D18" s="3"/>
      <c r="E18" s="3"/>
      <c r="F18" s="3"/>
      <c r="G18" s="4"/>
      <c r="H18" s="3"/>
      <c r="I18" s="5" t="s">
        <v>24</v>
      </c>
      <c r="J18" s="5" t="s">
        <v>16</v>
      </c>
      <c r="K18" s="5" t="s">
        <v>51</v>
      </c>
      <c r="L18" s="5" t="s">
        <v>16</v>
      </c>
      <c r="M18" s="5" t="s">
        <v>67</v>
      </c>
      <c r="N18" s="3" t="str">
        <f t="shared" si="3"/>
        <v>2A</v>
      </c>
      <c r="O18" s="12" t="str">
        <f t="shared" si="5"/>
        <v>FF01002500042A</v>
      </c>
      <c r="P18" s="14" t="s">
        <v>9</v>
      </c>
      <c r="Q18" s="15">
        <f t="shared" si="1"/>
        <v>1</v>
      </c>
      <c r="R18" s="15">
        <f t="shared" si="1"/>
        <v>0</v>
      </c>
      <c r="S18" s="15">
        <f t="shared" si="1"/>
        <v>37</v>
      </c>
      <c r="T18" s="15">
        <f t="shared" si="1"/>
        <v>0</v>
      </c>
      <c r="U18" s="15">
        <f t="shared" si="1"/>
        <v>4</v>
      </c>
      <c r="V18" s="15">
        <f t="shared" si="2"/>
        <v>42</v>
      </c>
      <c r="W18" s="30" t="str">
        <f t="shared" si="4"/>
        <v>2A</v>
      </c>
      <c r="X18" s="2" t="s">
        <v>185</v>
      </c>
    </row>
    <row r="19" spans="2:24" s="2" customFormat="1" ht="16.5" customHeight="1">
      <c r="B19" s="29" t="s">
        <v>71</v>
      </c>
      <c r="C19" s="3"/>
      <c r="D19" s="3"/>
      <c r="E19" s="3"/>
      <c r="F19" s="3"/>
      <c r="G19" s="4"/>
      <c r="H19" s="3"/>
      <c r="I19" s="5" t="s">
        <v>24</v>
      </c>
      <c r="J19" s="5" t="s">
        <v>16</v>
      </c>
      <c r="K19" s="5" t="s">
        <v>70</v>
      </c>
      <c r="L19" s="5" t="s">
        <v>16</v>
      </c>
      <c r="M19" s="5" t="s">
        <v>16</v>
      </c>
      <c r="N19" s="3" t="str">
        <f t="shared" si="3"/>
        <v>50</v>
      </c>
      <c r="O19" s="12" t="str">
        <f t="shared" si="5"/>
        <v>FF01004F000050</v>
      </c>
      <c r="P19" s="14" t="s">
        <v>9</v>
      </c>
      <c r="Q19" s="15">
        <f t="shared" ref="Q19:U21" si="6">HEX2DEC(I19)</f>
        <v>1</v>
      </c>
      <c r="R19" s="15">
        <f t="shared" si="6"/>
        <v>0</v>
      </c>
      <c r="S19" s="15">
        <f t="shared" si="6"/>
        <v>79</v>
      </c>
      <c r="T19" s="15">
        <f t="shared" si="6"/>
        <v>0</v>
      </c>
      <c r="U19" s="15">
        <f t="shared" si="6"/>
        <v>0</v>
      </c>
      <c r="V19" s="15">
        <f t="shared" si="2"/>
        <v>80</v>
      </c>
      <c r="W19" s="30" t="str">
        <f t="shared" si="4"/>
        <v>50</v>
      </c>
      <c r="X19" s="2" t="s">
        <v>177</v>
      </c>
    </row>
    <row r="20" spans="2:24" s="2" customFormat="1" ht="16.5" customHeight="1">
      <c r="B20" s="29" t="s">
        <v>72</v>
      </c>
      <c r="C20" s="3"/>
      <c r="D20" s="3"/>
      <c r="E20" s="3"/>
      <c r="F20" s="3"/>
      <c r="G20" s="4"/>
      <c r="H20" s="3"/>
      <c r="I20" s="5" t="s">
        <v>24</v>
      </c>
      <c r="J20" s="5" t="s">
        <v>16</v>
      </c>
      <c r="K20" s="5" t="s">
        <v>70</v>
      </c>
      <c r="L20" s="5" t="s">
        <v>9</v>
      </c>
      <c r="M20" s="5" t="s">
        <v>9</v>
      </c>
      <c r="N20" s="3" t="str">
        <f t="shared" si="3"/>
        <v>4E</v>
      </c>
      <c r="O20" s="12" t="str">
        <f t="shared" si="5"/>
        <v>FF01004FFFFF4E</v>
      </c>
      <c r="P20" s="14" t="s">
        <v>9</v>
      </c>
      <c r="Q20" s="15">
        <f t="shared" si="6"/>
        <v>1</v>
      </c>
      <c r="R20" s="15">
        <f t="shared" si="6"/>
        <v>0</v>
      </c>
      <c r="S20" s="15">
        <f t="shared" si="6"/>
        <v>79</v>
      </c>
      <c r="T20" s="15">
        <f t="shared" si="6"/>
        <v>255</v>
      </c>
      <c r="U20" s="15">
        <f t="shared" si="6"/>
        <v>255</v>
      </c>
      <c r="V20" s="15">
        <f t="shared" si="2"/>
        <v>590</v>
      </c>
      <c r="W20" s="30" t="str">
        <f t="shared" si="4"/>
        <v>4E</v>
      </c>
      <c r="X20" s="2" t="s">
        <v>186</v>
      </c>
    </row>
    <row r="21" spans="2:24" s="2" customFormat="1" ht="16.5" customHeight="1">
      <c r="B21" s="29" t="s">
        <v>73</v>
      </c>
      <c r="C21" s="3"/>
      <c r="D21" s="3"/>
      <c r="E21" s="3"/>
      <c r="F21" s="3"/>
      <c r="G21" s="4"/>
      <c r="H21" s="3"/>
      <c r="I21" s="5" t="s">
        <v>24</v>
      </c>
      <c r="J21" s="5" t="s">
        <v>16</v>
      </c>
      <c r="K21" s="5" t="s">
        <v>74</v>
      </c>
      <c r="L21" s="5" t="s">
        <v>16</v>
      </c>
      <c r="M21" s="5" t="s">
        <v>16</v>
      </c>
      <c r="N21" s="3" t="str">
        <f t="shared" si="3"/>
        <v>56</v>
      </c>
      <c r="O21" s="12" t="str">
        <f t="shared" si="5"/>
        <v>FF010055000056</v>
      </c>
      <c r="P21" s="14" t="s">
        <v>9</v>
      </c>
      <c r="Q21" s="15">
        <f t="shared" si="6"/>
        <v>1</v>
      </c>
      <c r="R21" s="15">
        <f t="shared" si="6"/>
        <v>0</v>
      </c>
      <c r="S21" s="15">
        <f t="shared" si="6"/>
        <v>85</v>
      </c>
      <c r="T21" s="15">
        <f t="shared" si="6"/>
        <v>0</v>
      </c>
      <c r="U21" s="15">
        <f t="shared" si="6"/>
        <v>0</v>
      </c>
      <c r="V21" s="15">
        <f t="shared" si="2"/>
        <v>86</v>
      </c>
      <c r="W21" s="30" t="str">
        <f t="shared" si="4"/>
        <v>56</v>
      </c>
      <c r="X21" s="2" t="s">
        <v>188</v>
      </c>
    </row>
    <row r="22" spans="2:24" s="2" customFormat="1" ht="16.5" customHeight="1">
      <c r="B22" s="29" t="s">
        <v>68</v>
      </c>
      <c r="C22" s="3"/>
      <c r="D22" s="3"/>
      <c r="E22" s="3"/>
      <c r="F22" s="3"/>
      <c r="G22" s="4"/>
      <c r="H22" s="3"/>
      <c r="I22" s="5" t="s">
        <v>24</v>
      </c>
      <c r="J22" s="5" t="s">
        <v>16</v>
      </c>
      <c r="K22" s="5" t="s">
        <v>60</v>
      </c>
      <c r="L22" s="5" t="s">
        <v>16</v>
      </c>
      <c r="M22" s="5" t="s">
        <v>16</v>
      </c>
      <c r="N22" s="3" t="str">
        <f t="shared" si="3"/>
        <v>28</v>
      </c>
      <c r="O22" s="12" t="str">
        <f>"FF01"&amp;J22&amp;""&amp;K22&amp;L22&amp;M22&amp;N22</f>
        <v>FF010027000028</v>
      </c>
      <c r="P22" s="14" t="s">
        <v>9</v>
      </c>
      <c r="Q22" s="15">
        <f>HEX2DEC(I22)</f>
        <v>1</v>
      </c>
      <c r="R22" s="15">
        <f>HEX2DEC(J22)</f>
        <v>0</v>
      </c>
      <c r="S22" s="15">
        <f>HEX2DEC(K22)</f>
        <v>39</v>
      </c>
      <c r="T22" s="15">
        <f>HEX2DEC(L22)</f>
        <v>0</v>
      </c>
      <c r="U22" s="15">
        <f>HEX2DEC(M22)</f>
        <v>0</v>
      </c>
      <c r="V22" s="15">
        <f>SUM(Q22:U22)</f>
        <v>40</v>
      </c>
      <c r="W22" s="30" t="str">
        <f>REPT("0",2-LEN(RIGHT(DEC2HEX(V22), 2)))&amp;RIGHT(DEC2HEX(V22), 2)</f>
        <v>28</v>
      </c>
      <c r="X22" s="2" t="s">
        <v>189</v>
      </c>
    </row>
    <row r="23" spans="2:24" s="2" customFormat="1" ht="16.5" customHeight="1">
      <c r="B23" s="29" t="s">
        <v>69</v>
      </c>
      <c r="C23" s="3"/>
      <c r="D23" s="3"/>
      <c r="E23" s="3"/>
      <c r="F23" s="3"/>
      <c r="G23" s="4"/>
      <c r="H23" s="3"/>
      <c r="I23" s="5" t="s">
        <v>24</v>
      </c>
      <c r="J23" s="5" t="s">
        <v>16</v>
      </c>
      <c r="K23" s="5" t="s">
        <v>60</v>
      </c>
      <c r="L23" s="5" t="s">
        <v>16</v>
      </c>
      <c r="M23" s="5" t="s">
        <v>67</v>
      </c>
      <c r="N23" s="3" t="str">
        <f t="shared" si="3"/>
        <v>2C</v>
      </c>
      <c r="O23" s="12" t="str">
        <f t="shared" ref="O23" si="7">"FF01"&amp;J23&amp;""&amp;K23&amp;L23&amp;M23&amp;N23</f>
        <v>FF01002700042C</v>
      </c>
      <c r="P23" s="14" t="s">
        <v>9</v>
      </c>
      <c r="Q23" s="15">
        <f t="shared" ref="Q23:U38" si="8">HEX2DEC(I23)</f>
        <v>1</v>
      </c>
      <c r="R23" s="15">
        <f t="shared" si="8"/>
        <v>0</v>
      </c>
      <c r="S23" s="15">
        <f t="shared" si="8"/>
        <v>39</v>
      </c>
      <c r="T23" s="15">
        <f t="shared" si="8"/>
        <v>0</v>
      </c>
      <c r="U23" s="15">
        <f t="shared" si="8"/>
        <v>4</v>
      </c>
      <c r="V23" s="15">
        <f t="shared" ref="V23" si="9">SUM(Q23:U23)</f>
        <v>44</v>
      </c>
      <c r="W23" s="30" t="str">
        <f t="shared" ref="W23" si="10">REPT("0",2-LEN(RIGHT(DEC2HEX(V23), 2)))&amp;RIGHT(DEC2HEX(V23), 2)</f>
        <v>2C</v>
      </c>
      <c r="X23" s="2" t="s">
        <v>190</v>
      </c>
    </row>
    <row r="24" spans="2:24" s="2" customFormat="1" ht="16.5" customHeight="1">
      <c r="B24" s="29" t="s">
        <v>105</v>
      </c>
      <c r="C24" s="3"/>
      <c r="D24" s="3"/>
      <c r="E24" s="3"/>
      <c r="F24" s="3"/>
      <c r="G24" s="4"/>
      <c r="H24" s="3"/>
      <c r="I24" s="5" t="s">
        <v>24</v>
      </c>
      <c r="J24" s="5" t="s">
        <v>24</v>
      </c>
      <c r="K24" s="5" t="s">
        <v>70</v>
      </c>
      <c r="L24" s="5" t="s">
        <v>16</v>
      </c>
      <c r="M24" s="5" t="s">
        <v>16</v>
      </c>
      <c r="N24" s="3" t="str">
        <f t="shared" si="3"/>
        <v>51</v>
      </c>
      <c r="O24" s="12" t="str">
        <f>"FF01"&amp;J24&amp;""&amp;K24&amp;L24&amp;M24&amp;N24</f>
        <v>FF01014F000051</v>
      </c>
      <c r="P24" s="14" t="s">
        <v>9</v>
      </c>
      <c r="Q24" s="15">
        <f t="shared" si="8"/>
        <v>1</v>
      </c>
      <c r="R24" s="15">
        <f t="shared" si="8"/>
        <v>1</v>
      </c>
      <c r="S24" s="15">
        <f t="shared" si="8"/>
        <v>79</v>
      </c>
      <c r="T24" s="15">
        <f t="shared" si="8"/>
        <v>0</v>
      </c>
      <c r="U24" s="15">
        <f t="shared" si="8"/>
        <v>0</v>
      </c>
      <c r="V24" s="15">
        <f>SUM(Q24:U24)</f>
        <v>81</v>
      </c>
      <c r="W24" s="30" t="str">
        <f>REPT("0",2-LEN(RIGHT(DEC2HEX(V24), 2)))&amp;RIGHT(DEC2HEX(V24), 2)</f>
        <v>51</v>
      </c>
      <c r="X24" s="2" t="s">
        <v>191</v>
      </c>
    </row>
    <row r="25" spans="2:24" s="2" customFormat="1" ht="16.5" customHeight="1">
      <c r="B25" s="29" t="s">
        <v>106</v>
      </c>
      <c r="C25" s="3"/>
      <c r="D25" s="3"/>
      <c r="E25" s="3"/>
      <c r="F25" s="3"/>
      <c r="G25" s="4"/>
      <c r="H25" s="3"/>
      <c r="I25" s="5" t="s">
        <v>24</v>
      </c>
      <c r="J25" s="5" t="s">
        <v>24</v>
      </c>
      <c r="K25" s="5" t="s">
        <v>70</v>
      </c>
      <c r="L25" s="5" t="s">
        <v>9</v>
      </c>
      <c r="M25" s="5" t="s">
        <v>9</v>
      </c>
      <c r="N25" s="3" t="str">
        <f t="shared" si="3"/>
        <v>4F</v>
      </c>
      <c r="O25" s="12" t="str">
        <f>"FF01"&amp;J25&amp;""&amp;K25&amp;L25&amp;M25&amp;N25</f>
        <v>FF01014FFFFF4F</v>
      </c>
      <c r="P25" s="14" t="s">
        <v>9</v>
      </c>
      <c r="Q25" s="15">
        <f t="shared" si="8"/>
        <v>1</v>
      </c>
      <c r="R25" s="15">
        <f t="shared" si="8"/>
        <v>1</v>
      </c>
      <c r="S25" s="15">
        <f t="shared" si="8"/>
        <v>79</v>
      </c>
      <c r="T25" s="15">
        <f t="shared" si="8"/>
        <v>255</v>
      </c>
      <c r="U25" s="15">
        <f t="shared" si="8"/>
        <v>255</v>
      </c>
      <c r="V25" s="15">
        <f>SUM(Q25:U25)</f>
        <v>591</v>
      </c>
      <c r="W25" s="30" t="str">
        <f>REPT("0",2-LEN(RIGHT(DEC2HEX(V25), 2)))&amp;RIGHT(DEC2HEX(V25), 2)</f>
        <v>4F</v>
      </c>
      <c r="X25" s="2" t="s">
        <v>178</v>
      </c>
    </row>
    <row r="26" spans="2:24" s="2" customFormat="1" ht="16.5" customHeight="1">
      <c r="B26" s="29" t="s">
        <v>75</v>
      </c>
      <c r="C26" s="3"/>
      <c r="D26" s="3"/>
      <c r="E26" s="3"/>
      <c r="F26" s="3"/>
      <c r="G26" s="4"/>
      <c r="H26" s="3"/>
      <c r="I26" s="5" t="s">
        <v>24</v>
      </c>
      <c r="J26" s="5" t="s">
        <v>24</v>
      </c>
      <c r="K26" s="5" t="s">
        <v>74</v>
      </c>
      <c r="L26" s="5" t="s">
        <v>16</v>
      </c>
      <c r="M26" s="5" t="s">
        <v>67</v>
      </c>
      <c r="N26" s="3" t="str">
        <f t="shared" si="3"/>
        <v>5B</v>
      </c>
      <c r="O26" s="12" t="str">
        <f t="shared" ref="O26:O43" si="11">"FF01"&amp;J26&amp;""&amp;K26&amp;L26&amp;M26&amp;N26</f>
        <v>FF01015500045B</v>
      </c>
      <c r="P26" s="14" t="s">
        <v>9</v>
      </c>
      <c r="Q26" s="15">
        <f t="shared" si="8"/>
        <v>1</v>
      </c>
      <c r="R26" s="15">
        <f t="shared" si="8"/>
        <v>1</v>
      </c>
      <c r="S26" s="15">
        <f t="shared" si="8"/>
        <v>85</v>
      </c>
      <c r="T26" s="15">
        <f t="shared" si="8"/>
        <v>0</v>
      </c>
      <c r="U26" s="15">
        <f t="shared" si="8"/>
        <v>4</v>
      </c>
      <c r="V26" s="15">
        <f t="shared" ref="V26:V43" si="12">SUM(Q26:U26)</f>
        <v>91</v>
      </c>
      <c r="W26" s="30" t="str">
        <f t="shared" ref="W26:W43" si="13">REPT("0",2-LEN(RIGHT(DEC2HEX(V26), 2)))&amp;RIGHT(DEC2HEX(V26), 2)</f>
        <v>5B</v>
      </c>
      <c r="X26" s="2" t="s">
        <v>550</v>
      </c>
    </row>
    <row r="27" spans="2:24" s="2" customFormat="1" ht="16.5" customHeight="1">
      <c r="B27" s="29" t="s">
        <v>102</v>
      </c>
      <c r="C27" s="3"/>
      <c r="D27" s="3"/>
      <c r="E27" s="3"/>
      <c r="F27" s="3"/>
      <c r="G27" s="4"/>
      <c r="H27" s="3"/>
      <c r="I27" s="5" t="s">
        <v>24</v>
      </c>
      <c r="J27" s="5" t="s">
        <v>16</v>
      </c>
      <c r="K27" s="5" t="s">
        <v>104</v>
      </c>
      <c r="L27" s="5" t="s">
        <v>16</v>
      </c>
      <c r="M27" s="5" t="s">
        <v>16</v>
      </c>
      <c r="N27" s="3" t="str">
        <f t="shared" si="3"/>
        <v>2C</v>
      </c>
      <c r="O27" s="12" t="str">
        <f t="shared" si="11"/>
        <v>FF01002B00002C</v>
      </c>
      <c r="P27" s="14" t="s">
        <v>9</v>
      </c>
      <c r="Q27" s="15">
        <f t="shared" si="8"/>
        <v>1</v>
      </c>
      <c r="R27" s="15">
        <f t="shared" si="8"/>
        <v>0</v>
      </c>
      <c r="S27" s="15">
        <f t="shared" si="8"/>
        <v>43</v>
      </c>
      <c r="T27" s="15">
        <f t="shared" si="8"/>
        <v>0</v>
      </c>
      <c r="U27" s="15">
        <f t="shared" si="8"/>
        <v>0</v>
      </c>
      <c r="V27" s="15">
        <f t="shared" si="12"/>
        <v>44</v>
      </c>
      <c r="W27" s="30" t="str">
        <f t="shared" si="13"/>
        <v>2C</v>
      </c>
      <c r="X27" s="2" t="s">
        <v>193</v>
      </c>
    </row>
    <row r="28" spans="2:24" s="2" customFormat="1" ht="16.5" customHeight="1" thickBot="1">
      <c r="B28" s="31" t="s">
        <v>103</v>
      </c>
      <c r="C28" s="32"/>
      <c r="D28" s="32"/>
      <c r="E28" s="32"/>
      <c r="F28" s="32"/>
      <c r="G28" s="33"/>
      <c r="H28" s="32"/>
      <c r="I28" s="34" t="s">
        <v>24</v>
      </c>
      <c r="J28" s="34" t="s">
        <v>16</v>
      </c>
      <c r="K28" s="34" t="s">
        <v>104</v>
      </c>
      <c r="L28" s="34" t="s">
        <v>16</v>
      </c>
      <c r="M28" s="34" t="s">
        <v>24</v>
      </c>
      <c r="N28" s="32" t="str">
        <f t="shared" si="3"/>
        <v>2D</v>
      </c>
      <c r="O28" s="35" t="str">
        <f t="shared" si="11"/>
        <v>FF01002B00012D</v>
      </c>
      <c r="P28" s="36" t="s">
        <v>9</v>
      </c>
      <c r="Q28" s="37">
        <f t="shared" si="8"/>
        <v>1</v>
      </c>
      <c r="R28" s="37">
        <f t="shared" si="8"/>
        <v>0</v>
      </c>
      <c r="S28" s="37">
        <f t="shared" si="8"/>
        <v>43</v>
      </c>
      <c r="T28" s="37">
        <f t="shared" si="8"/>
        <v>0</v>
      </c>
      <c r="U28" s="37">
        <f t="shared" si="8"/>
        <v>1</v>
      </c>
      <c r="V28" s="37">
        <f t="shared" si="12"/>
        <v>45</v>
      </c>
      <c r="W28" s="38" t="str">
        <f t="shared" si="13"/>
        <v>2D</v>
      </c>
      <c r="X28" s="2" t="s">
        <v>194</v>
      </c>
    </row>
    <row r="29" spans="2:24" s="2" customFormat="1" ht="16.5" customHeight="1">
      <c r="B29" s="39" t="s">
        <v>108</v>
      </c>
      <c r="C29" s="22"/>
      <c r="D29" s="22"/>
      <c r="E29" s="22"/>
      <c r="F29" s="22"/>
      <c r="G29" s="23"/>
      <c r="H29" s="22"/>
      <c r="I29" s="24" t="s">
        <v>24</v>
      </c>
      <c r="J29" s="24" t="s">
        <v>80</v>
      </c>
      <c r="K29" s="24" t="s">
        <v>109</v>
      </c>
      <c r="L29" s="24" t="s">
        <v>16</v>
      </c>
      <c r="M29" s="24" t="s">
        <v>16</v>
      </c>
      <c r="N29" s="22" t="str">
        <f t="shared" si="3"/>
        <v>B2</v>
      </c>
      <c r="O29" s="25" t="str">
        <f t="shared" si="11"/>
        <v>FF01A1100000B2</v>
      </c>
      <c r="P29" s="26" t="s">
        <v>9</v>
      </c>
      <c r="Q29" s="27">
        <f t="shared" si="8"/>
        <v>1</v>
      </c>
      <c r="R29" s="27">
        <f t="shared" si="8"/>
        <v>161</v>
      </c>
      <c r="S29" s="27">
        <f t="shared" si="8"/>
        <v>16</v>
      </c>
      <c r="T29" s="27">
        <f t="shared" si="8"/>
        <v>0</v>
      </c>
      <c r="U29" s="27">
        <f t="shared" si="8"/>
        <v>0</v>
      </c>
      <c r="V29" s="27">
        <f t="shared" si="12"/>
        <v>178</v>
      </c>
      <c r="W29" s="28" t="str">
        <f t="shared" si="13"/>
        <v>B2</v>
      </c>
      <c r="X29" s="2" t="s">
        <v>195</v>
      </c>
    </row>
    <row r="30" spans="2:24" s="2" customFormat="1" ht="16.5" customHeight="1">
      <c r="B30" s="29" t="s">
        <v>117</v>
      </c>
      <c r="C30" s="3"/>
      <c r="D30" s="3"/>
      <c r="E30" s="3"/>
      <c r="F30" s="3"/>
      <c r="G30" s="4"/>
      <c r="H30" s="3"/>
      <c r="I30" s="5" t="s">
        <v>24</v>
      </c>
      <c r="J30" s="5" t="s">
        <v>23</v>
      </c>
      <c r="K30" s="5" t="s">
        <v>110</v>
      </c>
      <c r="L30" s="5" t="s">
        <v>16</v>
      </c>
      <c r="M30" s="5" t="s">
        <v>16</v>
      </c>
      <c r="N30" s="3" t="str">
        <f t="shared" si="3"/>
        <v>B2</v>
      </c>
      <c r="O30" s="12" t="str">
        <f t="shared" si="11"/>
        <v>FF01A0110000B2</v>
      </c>
      <c r="P30" s="14" t="s">
        <v>9</v>
      </c>
      <c r="Q30" s="15">
        <f t="shared" si="8"/>
        <v>1</v>
      </c>
      <c r="R30" s="15">
        <f t="shared" si="8"/>
        <v>160</v>
      </c>
      <c r="S30" s="15">
        <f t="shared" si="8"/>
        <v>17</v>
      </c>
      <c r="T30" s="15">
        <f t="shared" si="8"/>
        <v>0</v>
      </c>
      <c r="U30" s="15">
        <f t="shared" si="8"/>
        <v>0</v>
      </c>
      <c r="V30" s="15">
        <f t="shared" si="12"/>
        <v>178</v>
      </c>
      <c r="W30" s="30" t="str">
        <f t="shared" si="13"/>
        <v>B2</v>
      </c>
      <c r="X30" s="2" t="s">
        <v>196</v>
      </c>
    </row>
    <row r="31" spans="2:24" s="2" customFormat="1" ht="16.5" customHeight="1">
      <c r="B31" s="29" t="s">
        <v>112</v>
      </c>
      <c r="C31" s="3"/>
      <c r="D31" s="3"/>
      <c r="E31" s="3"/>
      <c r="F31" s="3"/>
      <c r="G31" s="4"/>
      <c r="H31" s="3"/>
      <c r="I31" s="5" t="s">
        <v>24</v>
      </c>
      <c r="J31" s="5" t="s">
        <v>23</v>
      </c>
      <c r="K31" s="5" t="s">
        <v>111</v>
      </c>
      <c r="L31" s="5" t="s">
        <v>16</v>
      </c>
      <c r="M31" s="5" t="s">
        <v>16</v>
      </c>
      <c r="N31" s="3" t="str">
        <f t="shared" si="3"/>
        <v>B3</v>
      </c>
      <c r="O31" s="12" t="str">
        <f t="shared" si="11"/>
        <v>FF01A0120000B3</v>
      </c>
      <c r="P31" s="14" t="s">
        <v>9</v>
      </c>
      <c r="Q31" s="15">
        <f t="shared" si="8"/>
        <v>1</v>
      </c>
      <c r="R31" s="15">
        <f t="shared" si="8"/>
        <v>160</v>
      </c>
      <c r="S31" s="15">
        <f t="shared" si="8"/>
        <v>18</v>
      </c>
      <c r="T31" s="15">
        <f t="shared" si="8"/>
        <v>0</v>
      </c>
      <c r="U31" s="15">
        <f t="shared" si="8"/>
        <v>0</v>
      </c>
      <c r="V31" s="15">
        <f t="shared" si="12"/>
        <v>179</v>
      </c>
      <c r="W31" s="30" t="str">
        <f t="shared" si="13"/>
        <v>B3</v>
      </c>
      <c r="X31" s="2" t="s">
        <v>197</v>
      </c>
    </row>
    <row r="32" spans="2:24" s="2" customFormat="1" ht="16.5" customHeight="1">
      <c r="B32" s="29" t="s">
        <v>113</v>
      </c>
      <c r="C32" s="3"/>
      <c r="D32" s="3"/>
      <c r="E32" s="3"/>
      <c r="F32" s="3"/>
      <c r="G32" s="4"/>
      <c r="H32" s="3"/>
      <c r="I32" s="5" t="s">
        <v>24</v>
      </c>
      <c r="J32" s="5" t="s">
        <v>23</v>
      </c>
      <c r="K32" s="5" t="s">
        <v>111</v>
      </c>
      <c r="L32" s="5" t="s">
        <v>16</v>
      </c>
      <c r="M32" s="5" t="s">
        <v>67</v>
      </c>
      <c r="N32" s="3" t="str">
        <f t="shared" si="3"/>
        <v>B7</v>
      </c>
      <c r="O32" s="12" t="str">
        <f t="shared" si="11"/>
        <v>FF01A0120004B7</v>
      </c>
      <c r="P32" s="14" t="s">
        <v>9</v>
      </c>
      <c r="Q32" s="15">
        <f t="shared" si="8"/>
        <v>1</v>
      </c>
      <c r="R32" s="15">
        <f t="shared" si="8"/>
        <v>160</v>
      </c>
      <c r="S32" s="15">
        <f t="shared" si="8"/>
        <v>18</v>
      </c>
      <c r="T32" s="15">
        <f t="shared" si="8"/>
        <v>0</v>
      </c>
      <c r="U32" s="15">
        <f t="shared" si="8"/>
        <v>4</v>
      </c>
      <c r="V32" s="15">
        <f t="shared" si="12"/>
        <v>183</v>
      </c>
      <c r="W32" s="30" t="str">
        <f t="shared" si="13"/>
        <v>B7</v>
      </c>
      <c r="X32" s="2" t="s">
        <v>198</v>
      </c>
    </row>
    <row r="33" spans="2:24" s="2" customFormat="1" ht="16.5" customHeight="1">
      <c r="B33" s="29" t="s">
        <v>114</v>
      </c>
      <c r="C33" s="3"/>
      <c r="D33" s="3"/>
      <c r="E33" s="3"/>
      <c r="F33" s="3"/>
      <c r="G33" s="4"/>
      <c r="H33" s="3"/>
      <c r="I33" s="5" t="s">
        <v>24</v>
      </c>
      <c r="J33" s="5" t="s">
        <v>23</v>
      </c>
      <c r="K33" s="5" t="s">
        <v>116</v>
      </c>
      <c r="L33" s="5" t="s">
        <v>16</v>
      </c>
      <c r="M33" s="5" t="s">
        <v>16</v>
      </c>
      <c r="N33" s="3" t="str">
        <f t="shared" si="3"/>
        <v>B4</v>
      </c>
      <c r="O33" s="12" t="str">
        <f t="shared" si="11"/>
        <v>FF01A0130000B4</v>
      </c>
      <c r="P33" s="14" t="s">
        <v>9</v>
      </c>
      <c r="Q33" s="15">
        <f t="shared" si="8"/>
        <v>1</v>
      </c>
      <c r="R33" s="15">
        <f t="shared" si="8"/>
        <v>160</v>
      </c>
      <c r="S33" s="15">
        <f t="shared" si="8"/>
        <v>19</v>
      </c>
      <c r="T33" s="15">
        <f t="shared" si="8"/>
        <v>0</v>
      </c>
      <c r="U33" s="15">
        <f t="shared" si="8"/>
        <v>0</v>
      </c>
      <c r="V33" s="15">
        <f t="shared" si="12"/>
        <v>180</v>
      </c>
      <c r="W33" s="30" t="str">
        <f t="shared" si="13"/>
        <v>B4</v>
      </c>
      <c r="X33" s="2" t="s">
        <v>199</v>
      </c>
    </row>
    <row r="34" spans="2:24" s="2" customFormat="1" ht="16.5" customHeight="1">
      <c r="B34" s="29" t="s">
        <v>115</v>
      </c>
      <c r="C34" s="3"/>
      <c r="D34" s="3"/>
      <c r="E34" s="3"/>
      <c r="F34" s="3"/>
      <c r="G34" s="4"/>
      <c r="H34" s="3"/>
      <c r="I34" s="5" t="s">
        <v>24</v>
      </c>
      <c r="J34" s="5" t="s">
        <v>23</v>
      </c>
      <c r="K34" s="5" t="s">
        <v>116</v>
      </c>
      <c r="L34" s="5" t="s">
        <v>16</v>
      </c>
      <c r="M34" s="5" t="s">
        <v>67</v>
      </c>
      <c r="N34" s="3" t="str">
        <f t="shared" si="3"/>
        <v>B8</v>
      </c>
      <c r="O34" s="12" t="str">
        <f t="shared" si="11"/>
        <v>FF01A0130004B8</v>
      </c>
      <c r="P34" s="14" t="s">
        <v>9</v>
      </c>
      <c r="Q34" s="15">
        <f t="shared" si="8"/>
        <v>1</v>
      </c>
      <c r="R34" s="15">
        <f t="shared" si="8"/>
        <v>160</v>
      </c>
      <c r="S34" s="15">
        <f t="shared" si="8"/>
        <v>19</v>
      </c>
      <c r="T34" s="15">
        <f t="shared" si="8"/>
        <v>0</v>
      </c>
      <c r="U34" s="15">
        <f t="shared" si="8"/>
        <v>4</v>
      </c>
      <c r="V34" s="15">
        <f t="shared" si="12"/>
        <v>184</v>
      </c>
      <c r="W34" s="30" t="str">
        <f t="shared" si="13"/>
        <v>B8</v>
      </c>
      <c r="X34" s="2" t="s">
        <v>200</v>
      </c>
    </row>
    <row r="35" spans="2:24" s="2" customFormat="1" ht="16.5" customHeight="1">
      <c r="B35" s="29" t="s">
        <v>118</v>
      </c>
      <c r="C35" s="3"/>
      <c r="D35" s="3"/>
      <c r="E35" s="3"/>
      <c r="F35" s="3"/>
      <c r="G35" s="4"/>
      <c r="H35" s="3"/>
      <c r="I35" s="5" t="s">
        <v>24</v>
      </c>
      <c r="J35" s="5" t="s">
        <v>23</v>
      </c>
      <c r="K35" s="5" t="s">
        <v>62</v>
      </c>
      <c r="L35" s="5" t="s">
        <v>16</v>
      </c>
      <c r="M35" s="5" t="s">
        <v>16</v>
      </c>
      <c r="N35" s="3" t="str">
        <f t="shared" si="3"/>
        <v>B5</v>
      </c>
      <c r="O35" s="12" t="str">
        <f t="shared" si="11"/>
        <v>FF01A0140000B5</v>
      </c>
      <c r="P35" s="14" t="s">
        <v>9</v>
      </c>
      <c r="Q35" s="15">
        <f t="shared" si="8"/>
        <v>1</v>
      </c>
      <c r="R35" s="15">
        <f t="shared" si="8"/>
        <v>160</v>
      </c>
      <c r="S35" s="15">
        <f t="shared" si="8"/>
        <v>20</v>
      </c>
      <c r="T35" s="15">
        <f t="shared" si="8"/>
        <v>0</v>
      </c>
      <c r="U35" s="15">
        <f t="shared" si="8"/>
        <v>0</v>
      </c>
      <c r="V35" s="15">
        <f t="shared" si="12"/>
        <v>181</v>
      </c>
      <c r="W35" s="30" t="str">
        <f t="shared" si="13"/>
        <v>B5</v>
      </c>
      <c r="X35" s="2" t="s">
        <v>201</v>
      </c>
    </row>
    <row r="36" spans="2:24" s="2" customFormat="1" ht="16.5" customHeight="1">
      <c r="B36" s="29" t="s">
        <v>119</v>
      </c>
      <c r="C36" s="3"/>
      <c r="D36" s="3"/>
      <c r="E36" s="3"/>
      <c r="F36" s="3"/>
      <c r="G36" s="4"/>
      <c r="H36" s="3"/>
      <c r="I36" s="5" t="s">
        <v>24</v>
      </c>
      <c r="J36" s="5" t="s">
        <v>23</v>
      </c>
      <c r="K36" s="5" t="s">
        <v>62</v>
      </c>
      <c r="L36" s="5" t="s">
        <v>16</v>
      </c>
      <c r="M36" s="5" t="s">
        <v>24</v>
      </c>
      <c r="N36" s="3" t="str">
        <f t="shared" si="3"/>
        <v>B6</v>
      </c>
      <c r="O36" s="12" t="str">
        <f t="shared" si="11"/>
        <v>FF01A0140001B6</v>
      </c>
      <c r="P36" s="14" t="s">
        <v>9</v>
      </c>
      <c r="Q36" s="15">
        <f t="shared" si="8"/>
        <v>1</v>
      </c>
      <c r="R36" s="15">
        <f t="shared" si="8"/>
        <v>160</v>
      </c>
      <c r="S36" s="15">
        <f t="shared" si="8"/>
        <v>20</v>
      </c>
      <c r="T36" s="15">
        <f t="shared" si="8"/>
        <v>0</v>
      </c>
      <c r="U36" s="15">
        <f t="shared" si="8"/>
        <v>1</v>
      </c>
      <c r="V36" s="15">
        <f t="shared" si="12"/>
        <v>182</v>
      </c>
      <c r="W36" s="30" t="str">
        <f t="shared" si="13"/>
        <v>B6</v>
      </c>
      <c r="X36" s="2" t="s">
        <v>202</v>
      </c>
    </row>
    <row r="37" spans="2:24" s="2" customFormat="1" ht="16.5" customHeight="1">
      <c r="B37" s="29" t="s">
        <v>120</v>
      </c>
      <c r="C37" s="3"/>
      <c r="D37" s="3"/>
      <c r="E37" s="3"/>
      <c r="F37" s="3"/>
      <c r="G37" s="4"/>
      <c r="H37" s="3"/>
      <c r="I37" s="5" t="s">
        <v>24</v>
      </c>
      <c r="J37" s="5" t="s">
        <v>23</v>
      </c>
      <c r="K37" s="5" t="s">
        <v>62</v>
      </c>
      <c r="L37" s="5" t="s">
        <v>16</v>
      </c>
      <c r="M37" s="5" t="s">
        <v>17</v>
      </c>
      <c r="N37" s="3" t="str">
        <f t="shared" si="3"/>
        <v>B7</v>
      </c>
      <c r="O37" s="12" t="str">
        <f t="shared" si="11"/>
        <v>FF01A0140002B7</v>
      </c>
      <c r="P37" s="14" t="s">
        <v>9</v>
      </c>
      <c r="Q37" s="15">
        <f t="shared" si="8"/>
        <v>1</v>
      </c>
      <c r="R37" s="15">
        <f t="shared" si="8"/>
        <v>160</v>
      </c>
      <c r="S37" s="15">
        <f t="shared" si="8"/>
        <v>20</v>
      </c>
      <c r="T37" s="15">
        <f t="shared" si="8"/>
        <v>0</v>
      </c>
      <c r="U37" s="15">
        <f t="shared" si="8"/>
        <v>2</v>
      </c>
      <c r="V37" s="15">
        <f t="shared" si="12"/>
        <v>183</v>
      </c>
      <c r="W37" s="30" t="str">
        <f t="shared" si="13"/>
        <v>B7</v>
      </c>
      <c r="X37" s="2" t="s">
        <v>203</v>
      </c>
    </row>
    <row r="38" spans="2:24" s="2" customFormat="1" ht="16.5" customHeight="1">
      <c r="B38" s="29" t="s">
        <v>121</v>
      </c>
      <c r="C38" s="3"/>
      <c r="D38" s="3"/>
      <c r="E38" s="3"/>
      <c r="F38" s="3"/>
      <c r="G38" s="4"/>
      <c r="H38" s="3"/>
      <c r="I38" s="5" t="s">
        <v>24</v>
      </c>
      <c r="J38" s="5" t="s">
        <v>23</v>
      </c>
      <c r="K38" s="5" t="s">
        <v>123</v>
      </c>
      <c r="L38" s="5" t="s">
        <v>16</v>
      </c>
      <c r="M38" s="5" t="s">
        <v>24</v>
      </c>
      <c r="N38" s="3" t="str">
        <f t="shared" si="3"/>
        <v>B7</v>
      </c>
      <c r="O38" s="12" t="str">
        <f t="shared" si="11"/>
        <v>FF01A0150001B7</v>
      </c>
      <c r="P38" s="14" t="s">
        <v>9</v>
      </c>
      <c r="Q38" s="15">
        <f t="shared" si="8"/>
        <v>1</v>
      </c>
      <c r="R38" s="15">
        <f t="shared" si="8"/>
        <v>160</v>
      </c>
      <c r="S38" s="15">
        <f t="shared" si="8"/>
        <v>21</v>
      </c>
      <c r="T38" s="15">
        <f t="shared" si="8"/>
        <v>0</v>
      </c>
      <c r="U38" s="15">
        <f t="shared" si="8"/>
        <v>1</v>
      </c>
      <c r="V38" s="15">
        <f t="shared" si="12"/>
        <v>183</v>
      </c>
      <c r="W38" s="30" t="str">
        <f t="shared" si="13"/>
        <v>B7</v>
      </c>
      <c r="X38" s="2" t="s">
        <v>204</v>
      </c>
    </row>
    <row r="39" spans="2:24" s="2" customFormat="1" ht="16.5" customHeight="1">
      <c r="B39" s="29" t="s">
        <v>122</v>
      </c>
      <c r="C39" s="3"/>
      <c r="D39" s="3"/>
      <c r="E39" s="3"/>
      <c r="F39" s="3"/>
      <c r="G39" s="4"/>
      <c r="H39" s="3"/>
      <c r="I39" s="5" t="s">
        <v>24</v>
      </c>
      <c r="J39" s="5" t="s">
        <v>23</v>
      </c>
      <c r="K39" s="5" t="s">
        <v>123</v>
      </c>
      <c r="L39" s="5" t="s">
        <v>16</v>
      </c>
      <c r="M39" s="5" t="s">
        <v>124</v>
      </c>
      <c r="N39" s="3" t="str">
        <f t="shared" si="3"/>
        <v>6A</v>
      </c>
      <c r="O39" s="12" t="str">
        <f t="shared" si="11"/>
        <v>FF01A01500B46A</v>
      </c>
      <c r="P39" s="14" t="s">
        <v>9</v>
      </c>
      <c r="Q39" s="15">
        <f t="shared" ref="Q39:U43" si="14">HEX2DEC(I39)</f>
        <v>1</v>
      </c>
      <c r="R39" s="15">
        <f t="shared" si="14"/>
        <v>160</v>
      </c>
      <c r="S39" s="15">
        <f t="shared" si="14"/>
        <v>21</v>
      </c>
      <c r="T39" s="15">
        <f t="shared" si="14"/>
        <v>0</v>
      </c>
      <c r="U39" s="15">
        <f t="shared" si="14"/>
        <v>180</v>
      </c>
      <c r="V39" s="15">
        <f t="shared" si="12"/>
        <v>362</v>
      </c>
      <c r="W39" s="30" t="str">
        <f t="shared" si="13"/>
        <v>6A</v>
      </c>
      <c r="X39" s="2" t="s">
        <v>205</v>
      </c>
    </row>
    <row r="40" spans="2:24" s="2" customFormat="1" ht="16.5" customHeight="1">
      <c r="B40" s="29" t="s">
        <v>125</v>
      </c>
      <c r="C40" s="3"/>
      <c r="D40" s="3"/>
      <c r="E40" s="3"/>
      <c r="F40" s="3"/>
      <c r="G40" s="4"/>
      <c r="H40" s="3"/>
      <c r="I40" s="5" t="s">
        <v>24</v>
      </c>
      <c r="J40" s="5" t="s">
        <v>23</v>
      </c>
      <c r="K40" s="5" t="s">
        <v>127</v>
      </c>
      <c r="L40" s="5" t="s">
        <v>16</v>
      </c>
      <c r="M40" s="5" t="s">
        <v>128</v>
      </c>
      <c r="N40" s="3" t="str">
        <f t="shared" si="3"/>
        <v>1B</v>
      </c>
      <c r="O40" s="12" t="str">
        <f t="shared" si="11"/>
        <v>FF01A01600641B</v>
      </c>
      <c r="P40" s="14" t="s">
        <v>9</v>
      </c>
      <c r="Q40" s="15">
        <f t="shared" si="14"/>
        <v>1</v>
      </c>
      <c r="R40" s="15">
        <f t="shared" si="14"/>
        <v>160</v>
      </c>
      <c r="S40" s="15">
        <f t="shared" si="14"/>
        <v>22</v>
      </c>
      <c r="T40" s="15">
        <f t="shared" si="14"/>
        <v>0</v>
      </c>
      <c r="U40" s="15">
        <f t="shared" si="14"/>
        <v>100</v>
      </c>
      <c r="V40" s="15">
        <f t="shared" si="12"/>
        <v>283</v>
      </c>
      <c r="W40" s="30" t="str">
        <f t="shared" si="13"/>
        <v>1B</v>
      </c>
      <c r="X40" s="2" t="s">
        <v>206</v>
      </c>
    </row>
    <row r="41" spans="2:24" s="2" customFormat="1" ht="16.5" customHeight="1">
      <c r="B41" s="29" t="s">
        <v>126</v>
      </c>
      <c r="C41" s="3"/>
      <c r="D41" s="3"/>
      <c r="E41" s="3"/>
      <c r="F41" s="3"/>
      <c r="G41" s="4"/>
      <c r="H41" s="3"/>
      <c r="I41" s="5" t="s">
        <v>24</v>
      </c>
      <c r="J41" s="5" t="s">
        <v>23</v>
      </c>
      <c r="K41" s="5" t="s">
        <v>127</v>
      </c>
      <c r="L41" s="5" t="s">
        <v>9</v>
      </c>
      <c r="M41" s="5" t="s">
        <v>9</v>
      </c>
      <c r="N41" s="3" t="str">
        <f t="shared" si="3"/>
        <v>B5</v>
      </c>
      <c r="O41" s="12" t="str">
        <f t="shared" si="11"/>
        <v>FF01A016FFFFB5</v>
      </c>
      <c r="P41" s="14" t="s">
        <v>9</v>
      </c>
      <c r="Q41" s="15">
        <f t="shared" si="14"/>
        <v>1</v>
      </c>
      <c r="R41" s="15">
        <f t="shared" si="14"/>
        <v>160</v>
      </c>
      <c r="S41" s="15">
        <f t="shared" si="14"/>
        <v>22</v>
      </c>
      <c r="T41" s="15">
        <f t="shared" si="14"/>
        <v>255</v>
      </c>
      <c r="U41" s="15">
        <f t="shared" si="14"/>
        <v>255</v>
      </c>
      <c r="V41" s="15">
        <f t="shared" si="12"/>
        <v>693</v>
      </c>
      <c r="W41" s="30" t="str">
        <f t="shared" si="13"/>
        <v>B5</v>
      </c>
      <c r="X41" s="2" t="s">
        <v>207</v>
      </c>
    </row>
    <row r="42" spans="2:24" s="2" customFormat="1" ht="16.5" customHeight="1">
      <c r="B42" s="29" t="s">
        <v>129</v>
      </c>
      <c r="C42" s="3"/>
      <c r="D42" s="3"/>
      <c r="E42" s="3"/>
      <c r="F42" s="3"/>
      <c r="G42" s="4"/>
      <c r="H42" s="3"/>
      <c r="I42" s="5" t="s">
        <v>24</v>
      </c>
      <c r="J42" s="5" t="s">
        <v>23</v>
      </c>
      <c r="K42" s="5" t="s">
        <v>131</v>
      </c>
      <c r="L42" s="5" t="s">
        <v>16</v>
      </c>
      <c r="M42" s="5" t="s">
        <v>16</v>
      </c>
      <c r="N42" s="3" t="str">
        <f t="shared" si="3"/>
        <v>B8</v>
      </c>
      <c r="O42" s="12" t="str">
        <f t="shared" si="11"/>
        <v>FF01A0170000B8</v>
      </c>
      <c r="P42" s="14" t="s">
        <v>9</v>
      </c>
      <c r="Q42" s="15">
        <f t="shared" si="14"/>
        <v>1</v>
      </c>
      <c r="R42" s="15">
        <f t="shared" si="14"/>
        <v>160</v>
      </c>
      <c r="S42" s="15">
        <f t="shared" si="14"/>
        <v>23</v>
      </c>
      <c r="T42" s="15">
        <f t="shared" si="14"/>
        <v>0</v>
      </c>
      <c r="U42" s="15">
        <f t="shared" si="14"/>
        <v>0</v>
      </c>
      <c r="V42" s="15">
        <f t="shared" si="12"/>
        <v>184</v>
      </c>
      <c r="W42" s="30" t="str">
        <f t="shared" si="13"/>
        <v>B8</v>
      </c>
      <c r="X42" s="2" t="s">
        <v>208</v>
      </c>
    </row>
    <row r="43" spans="2:24" s="2" customFormat="1" ht="16.5" customHeight="1" thickBot="1">
      <c r="B43" s="31" t="s">
        <v>130</v>
      </c>
      <c r="C43" s="32"/>
      <c r="D43" s="32"/>
      <c r="E43" s="32"/>
      <c r="F43" s="32"/>
      <c r="G43" s="33"/>
      <c r="H43" s="32"/>
      <c r="I43" s="34" t="s">
        <v>24</v>
      </c>
      <c r="J43" s="34" t="s">
        <v>23</v>
      </c>
      <c r="K43" s="34" t="s">
        <v>131</v>
      </c>
      <c r="L43" s="34" t="s">
        <v>16</v>
      </c>
      <c r="M43" s="34" t="s">
        <v>24</v>
      </c>
      <c r="N43" s="32" t="str">
        <f t="shared" si="3"/>
        <v>B9</v>
      </c>
      <c r="O43" s="35" t="str">
        <f t="shared" si="11"/>
        <v>FF01A0170001B9</v>
      </c>
      <c r="P43" s="36" t="s">
        <v>9</v>
      </c>
      <c r="Q43" s="37">
        <f t="shared" si="14"/>
        <v>1</v>
      </c>
      <c r="R43" s="37">
        <f t="shared" si="14"/>
        <v>160</v>
      </c>
      <c r="S43" s="37">
        <f t="shared" si="14"/>
        <v>23</v>
      </c>
      <c r="T43" s="37">
        <f t="shared" si="14"/>
        <v>0</v>
      </c>
      <c r="U43" s="37">
        <f t="shared" si="14"/>
        <v>1</v>
      </c>
      <c r="V43" s="37">
        <f t="shared" si="12"/>
        <v>185</v>
      </c>
      <c r="W43" s="38" t="str">
        <f t="shared" si="13"/>
        <v>B9</v>
      </c>
      <c r="X43" s="2" t="s">
        <v>209</v>
      </c>
    </row>
    <row r="44" spans="2:24" s="2" customFormat="1" ht="16.5" customHeight="1">
      <c r="B44" s="39" t="s">
        <v>134</v>
      </c>
      <c r="C44" s="22"/>
      <c r="D44" s="22"/>
      <c r="E44" s="22"/>
      <c r="F44" s="22"/>
      <c r="G44" s="23"/>
      <c r="H44" s="22"/>
      <c r="I44" s="24" t="s">
        <v>16</v>
      </c>
      <c r="J44" s="24" t="s">
        <v>80</v>
      </c>
      <c r="K44" s="24" t="s">
        <v>16</v>
      </c>
      <c r="L44" s="24" t="s">
        <v>16</v>
      </c>
      <c r="M44" s="24" t="s">
        <v>16</v>
      </c>
      <c r="N44" s="24" t="s">
        <v>16</v>
      </c>
      <c r="O44" s="25" t="str">
        <f>"FF01"&amp;J44&amp;""&amp;K44&amp;L44&amp;M44&amp;N44</f>
        <v>FF01A100000000</v>
      </c>
      <c r="P44" s="26" t="s">
        <v>9</v>
      </c>
      <c r="Q44" s="27">
        <f>HEX2DEC(I44)</f>
        <v>0</v>
      </c>
      <c r="R44" s="27">
        <f>HEX2DEC(J44)</f>
        <v>161</v>
      </c>
      <c r="S44" s="27">
        <f>HEX2DEC(K44)</f>
        <v>0</v>
      </c>
      <c r="T44" s="27">
        <f>HEX2DEC(L44)</f>
        <v>0</v>
      </c>
      <c r="U44" s="27">
        <f>HEX2DEC(M44)</f>
        <v>0</v>
      </c>
      <c r="V44" s="27">
        <f>SUM(Q44:U44)</f>
        <v>161</v>
      </c>
      <c r="W44" s="28" t="str">
        <f>REPT("0",2-LEN(RIGHT(DEC2HEX(V44), 2)))&amp;RIGHT(DEC2HEX(V44), 2)</f>
        <v>A1</v>
      </c>
      <c r="X44" s="2" t="s">
        <v>551</v>
      </c>
    </row>
    <row r="45" spans="2:24" s="2" customFormat="1" ht="16.5" customHeight="1">
      <c r="B45" s="29" t="s">
        <v>81</v>
      </c>
      <c r="C45" s="3"/>
      <c r="D45" s="3"/>
      <c r="E45" s="3"/>
      <c r="F45" s="3"/>
      <c r="G45" s="4"/>
      <c r="H45" s="3"/>
      <c r="I45" s="5" t="s">
        <v>24</v>
      </c>
      <c r="J45" s="5" t="s">
        <v>23</v>
      </c>
      <c r="K45" s="5" t="s">
        <v>24</v>
      </c>
      <c r="L45" s="5" t="s">
        <v>16</v>
      </c>
      <c r="M45" s="5" t="s">
        <v>16</v>
      </c>
      <c r="N45" s="3" t="str">
        <f t="shared" si="3"/>
        <v>A2</v>
      </c>
      <c r="O45" s="12" t="str">
        <f t="shared" ref="O45:O62" si="15">"FF01"&amp;J45&amp;""&amp;K45&amp;L45&amp;M45&amp;N45</f>
        <v>FF01A0010000A2</v>
      </c>
      <c r="P45" s="14" t="s">
        <v>9</v>
      </c>
      <c r="Q45" s="15">
        <f t="shared" ref="Q45:U60" si="16">HEX2DEC(I45)</f>
        <v>1</v>
      </c>
      <c r="R45" s="15">
        <f t="shared" si="16"/>
        <v>160</v>
      </c>
      <c r="S45" s="15">
        <f t="shared" si="16"/>
        <v>1</v>
      </c>
      <c r="T45" s="15">
        <f t="shared" si="16"/>
        <v>0</v>
      </c>
      <c r="U45" s="15">
        <f t="shared" si="16"/>
        <v>0</v>
      </c>
      <c r="V45" s="15">
        <f t="shared" ref="V45:V62" si="17">SUM(Q45:U45)</f>
        <v>162</v>
      </c>
      <c r="W45" s="30" t="str">
        <f t="shared" ref="W45:W62" si="18">REPT("0",2-LEN(RIGHT(DEC2HEX(V45), 2)))&amp;RIGHT(DEC2HEX(V45), 2)</f>
        <v>A2</v>
      </c>
      <c r="X45" s="2" t="s">
        <v>211</v>
      </c>
    </row>
    <row r="46" spans="2:24" s="2" customFormat="1" ht="16.5" customHeight="1">
      <c r="B46" s="29" t="s">
        <v>82</v>
      </c>
      <c r="C46" s="3"/>
      <c r="D46" s="3"/>
      <c r="E46" s="3"/>
      <c r="F46" s="3"/>
      <c r="G46" s="4"/>
      <c r="H46" s="3"/>
      <c r="I46" s="5" t="s">
        <v>24</v>
      </c>
      <c r="J46" s="5" t="s">
        <v>23</v>
      </c>
      <c r="K46" s="5" t="s">
        <v>24</v>
      </c>
      <c r="L46" s="5" t="s">
        <v>16</v>
      </c>
      <c r="M46" s="5" t="s">
        <v>24</v>
      </c>
      <c r="N46" s="3" t="str">
        <f t="shared" si="3"/>
        <v>A3</v>
      </c>
      <c r="O46" s="12" t="str">
        <f t="shared" si="15"/>
        <v>FF01A0010001A3</v>
      </c>
      <c r="P46" s="14" t="s">
        <v>9</v>
      </c>
      <c r="Q46" s="15">
        <f t="shared" si="16"/>
        <v>1</v>
      </c>
      <c r="R46" s="15">
        <f t="shared" si="16"/>
        <v>160</v>
      </c>
      <c r="S46" s="15">
        <f t="shared" si="16"/>
        <v>1</v>
      </c>
      <c r="T46" s="15">
        <f t="shared" si="16"/>
        <v>0</v>
      </c>
      <c r="U46" s="15">
        <f t="shared" si="16"/>
        <v>1</v>
      </c>
      <c r="V46" s="15">
        <f t="shared" si="17"/>
        <v>163</v>
      </c>
      <c r="W46" s="30" t="str">
        <f t="shared" si="18"/>
        <v>A3</v>
      </c>
      <c r="X46" s="2" t="s">
        <v>212</v>
      </c>
    </row>
    <row r="47" spans="2:24" s="2" customFormat="1" ht="16.5" customHeight="1">
      <c r="B47" s="29" t="s">
        <v>84</v>
      </c>
      <c r="C47" s="3"/>
      <c r="D47" s="3"/>
      <c r="E47" s="3"/>
      <c r="F47" s="3"/>
      <c r="G47" s="4"/>
      <c r="H47" s="3"/>
      <c r="I47" s="5" t="s">
        <v>24</v>
      </c>
      <c r="J47" s="5" t="s">
        <v>23</v>
      </c>
      <c r="K47" s="5" t="s">
        <v>17</v>
      </c>
      <c r="L47" s="5" t="s">
        <v>16</v>
      </c>
      <c r="M47" s="5" t="s">
        <v>16</v>
      </c>
      <c r="N47" s="3" t="str">
        <f t="shared" si="3"/>
        <v>A3</v>
      </c>
      <c r="O47" s="12" t="str">
        <f t="shared" si="15"/>
        <v>FF01A0020000A3</v>
      </c>
      <c r="P47" s="14" t="s">
        <v>9</v>
      </c>
      <c r="Q47" s="15">
        <f t="shared" si="16"/>
        <v>1</v>
      </c>
      <c r="R47" s="15">
        <f t="shared" si="16"/>
        <v>160</v>
      </c>
      <c r="S47" s="15">
        <f t="shared" si="16"/>
        <v>2</v>
      </c>
      <c r="T47" s="15">
        <f t="shared" si="16"/>
        <v>0</v>
      </c>
      <c r="U47" s="15">
        <f t="shared" si="16"/>
        <v>0</v>
      </c>
      <c r="V47" s="15">
        <f t="shared" si="17"/>
        <v>163</v>
      </c>
      <c r="W47" s="30" t="str">
        <f t="shared" si="18"/>
        <v>A3</v>
      </c>
      <c r="X47" s="2" t="s">
        <v>213</v>
      </c>
    </row>
    <row r="48" spans="2:24" s="2" customFormat="1" ht="16.5" customHeight="1">
      <c r="B48" s="29" t="s">
        <v>83</v>
      </c>
      <c r="C48" s="3"/>
      <c r="D48" s="3"/>
      <c r="E48" s="3"/>
      <c r="F48" s="3"/>
      <c r="G48" s="4"/>
      <c r="H48" s="3"/>
      <c r="I48" s="5" t="s">
        <v>24</v>
      </c>
      <c r="J48" s="5" t="s">
        <v>23</v>
      </c>
      <c r="K48" s="5" t="s">
        <v>17</v>
      </c>
      <c r="L48" s="5" t="s">
        <v>16</v>
      </c>
      <c r="M48" s="5" t="s">
        <v>24</v>
      </c>
      <c r="N48" s="3" t="str">
        <f t="shared" si="3"/>
        <v>A4</v>
      </c>
      <c r="O48" s="12" t="str">
        <f t="shared" si="15"/>
        <v>FF01A0020001A4</v>
      </c>
      <c r="P48" s="14" t="s">
        <v>9</v>
      </c>
      <c r="Q48" s="15">
        <f t="shared" si="16"/>
        <v>1</v>
      </c>
      <c r="R48" s="15">
        <f t="shared" si="16"/>
        <v>160</v>
      </c>
      <c r="S48" s="15">
        <f t="shared" si="16"/>
        <v>2</v>
      </c>
      <c r="T48" s="15">
        <f t="shared" si="16"/>
        <v>0</v>
      </c>
      <c r="U48" s="15">
        <f t="shared" si="16"/>
        <v>1</v>
      </c>
      <c r="V48" s="15">
        <f t="shared" si="17"/>
        <v>164</v>
      </c>
      <c r="W48" s="30" t="str">
        <f t="shared" si="18"/>
        <v>A4</v>
      </c>
      <c r="X48" s="2" t="s">
        <v>214</v>
      </c>
    </row>
    <row r="49" spans="2:24" s="2" customFormat="1" ht="15.75" customHeight="1">
      <c r="B49" s="29" t="s">
        <v>85</v>
      </c>
      <c r="C49" s="3"/>
      <c r="D49" s="3"/>
      <c r="E49" s="3"/>
      <c r="F49" s="3"/>
      <c r="G49" s="4"/>
      <c r="H49" s="3"/>
      <c r="I49" s="5" t="s">
        <v>24</v>
      </c>
      <c r="J49" s="5" t="s">
        <v>23</v>
      </c>
      <c r="K49" s="5" t="s">
        <v>91</v>
      </c>
      <c r="L49" s="5" t="s">
        <v>16</v>
      </c>
      <c r="M49" s="5" t="s">
        <v>16</v>
      </c>
      <c r="N49" s="3" t="str">
        <f t="shared" si="3"/>
        <v>A4</v>
      </c>
      <c r="O49" s="12" t="str">
        <f t="shared" si="15"/>
        <v>FF01A0030000A4</v>
      </c>
      <c r="P49" s="14" t="s">
        <v>9</v>
      </c>
      <c r="Q49" s="15">
        <f t="shared" si="16"/>
        <v>1</v>
      </c>
      <c r="R49" s="15">
        <f t="shared" si="16"/>
        <v>160</v>
      </c>
      <c r="S49" s="15">
        <f t="shared" si="16"/>
        <v>3</v>
      </c>
      <c r="T49" s="15">
        <f t="shared" si="16"/>
        <v>0</v>
      </c>
      <c r="U49" s="15">
        <f t="shared" si="16"/>
        <v>0</v>
      </c>
      <c r="V49" s="15">
        <f t="shared" si="17"/>
        <v>164</v>
      </c>
      <c r="W49" s="30" t="str">
        <f t="shared" si="18"/>
        <v>A4</v>
      </c>
      <c r="X49" s="2" t="s">
        <v>215</v>
      </c>
    </row>
    <row r="50" spans="2:24" s="2" customFormat="1" ht="15.75" customHeight="1">
      <c r="B50" s="29" t="s">
        <v>86</v>
      </c>
      <c r="C50" s="3"/>
      <c r="D50" s="3"/>
      <c r="E50" s="3"/>
      <c r="F50" s="3"/>
      <c r="G50" s="4"/>
      <c r="H50" s="3"/>
      <c r="I50" s="5" t="s">
        <v>24</v>
      </c>
      <c r="J50" s="5" t="s">
        <v>23</v>
      </c>
      <c r="K50" s="5" t="s">
        <v>91</v>
      </c>
      <c r="L50" s="5" t="s">
        <v>16</v>
      </c>
      <c r="M50" s="5" t="s">
        <v>24</v>
      </c>
      <c r="N50" s="3" t="str">
        <f t="shared" si="3"/>
        <v>A5</v>
      </c>
      <c r="O50" s="12" t="str">
        <f t="shared" si="15"/>
        <v>FF01A0030001A5</v>
      </c>
      <c r="P50" s="14" t="s">
        <v>9</v>
      </c>
      <c r="Q50" s="15">
        <f t="shared" si="16"/>
        <v>1</v>
      </c>
      <c r="R50" s="15">
        <f t="shared" si="16"/>
        <v>160</v>
      </c>
      <c r="S50" s="15">
        <f t="shared" si="16"/>
        <v>3</v>
      </c>
      <c r="T50" s="15">
        <f t="shared" si="16"/>
        <v>0</v>
      </c>
      <c r="U50" s="15">
        <f t="shared" si="16"/>
        <v>1</v>
      </c>
      <c r="V50" s="15">
        <f t="shared" si="17"/>
        <v>165</v>
      </c>
      <c r="W50" s="30" t="str">
        <f t="shared" si="18"/>
        <v>A5</v>
      </c>
      <c r="X50" s="2" t="s">
        <v>216</v>
      </c>
    </row>
    <row r="51" spans="2:24" s="2" customFormat="1" ht="15.75" customHeight="1">
      <c r="B51" s="29" t="s">
        <v>87</v>
      </c>
      <c r="C51" s="3"/>
      <c r="D51" s="3"/>
      <c r="E51" s="3"/>
      <c r="F51" s="3"/>
      <c r="G51" s="4"/>
      <c r="H51" s="3"/>
      <c r="I51" s="5" t="s">
        <v>24</v>
      </c>
      <c r="J51" s="5" t="s">
        <v>23</v>
      </c>
      <c r="K51" s="5" t="s">
        <v>91</v>
      </c>
      <c r="L51" s="5" t="s">
        <v>16</v>
      </c>
      <c r="M51" s="5" t="s">
        <v>17</v>
      </c>
      <c r="N51" s="3" t="str">
        <f t="shared" si="3"/>
        <v>A6</v>
      </c>
      <c r="O51" s="12" t="str">
        <f t="shared" si="15"/>
        <v>FF01A0030002A6</v>
      </c>
      <c r="P51" s="14" t="s">
        <v>9</v>
      </c>
      <c r="Q51" s="15">
        <f t="shared" si="16"/>
        <v>1</v>
      </c>
      <c r="R51" s="15">
        <f t="shared" si="16"/>
        <v>160</v>
      </c>
      <c r="S51" s="15">
        <f t="shared" si="16"/>
        <v>3</v>
      </c>
      <c r="T51" s="15">
        <f t="shared" si="16"/>
        <v>0</v>
      </c>
      <c r="U51" s="15">
        <f t="shared" si="16"/>
        <v>2</v>
      </c>
      <c r="V51" s="15">
        <f t="shared" si="17"/>
        <v>166</v>
      </c>
      <c r="W51" s="30" t="str">
        <f t="shared" si="18"/>
        <v>A6</v>
      </c>
      <c r="X51" s="2" t="s">
        <v>217</v>
      </c>
    </row>
    <row r="52" spans="2:24" s="2" customFormat="1" ht="15.75" customHeight="1">
      <c r="B52" s="29" t="s">
        <v>88</v>
      </c>
      <c r="C52" s="3"/>
      <c r="D52" s="3"/>
      <c r="E52" s="3"/>
      <c r="F52" s="3"/>
      <c r="G52" s="4"/>
      <c r="H52" s="3"/>
      <c r="I52" s="5" t="s">
        <v>24</v>
      </c>
      <c r="J52" s="5" t="s">
        <v>23</v>
      </c>
      <c r="K52" s="5" t="s">
        <v>91</v>
      </c>
      <c r="L52" s="5" t="s">
        <v>16</v>
      </c>
      <c r="M52" s="5" t="s">
        <v>91</v>
      </c>
      <c r="N52" s="3" t="str">
        <f t="shared" si="3"/>
        <v>A7</v>
      </c>
      <c r="O52" s="12" t="str">
        <f t="shared" si="15"/>
        <v>FF01A0030003A7</v>
      </c>
      <c r="P52" s="14" t="s">
        <v>9</v>
      </c>
      <c r="Q52" s="15">
        <f t="shared" si="16"/>
        <v>1</v>
      </c>
      <c r="R52" s="15">
        <f t="shared" si="16"/>
        <v>160</v>
      </c>
      <c r="S52" s="15">
        <f t="shared" si="16"/>
        <v>3</v>
      </c>
      <c r="T52" s="15">
        <f t="shared" si="16"/>
        <v>0</v>
      </c>
      <c r="U52" s="15">
        <f t="shared" si="16"/>
        <v>3</v>
      </c>
      <c r="V52" s="15">
        <f t="shared" si="17"/>
        <v>167</v>
      </c>
      <c r="W52" s="30" t="str">
        <f t="shared" si="18"/>
        <v>A7</v>
      </c>
      <c r="X52" s="2" t="s">
        <v>218</v>
      </c>
    </row>
    <row r="53" spans="2:24" s="2" customFormat="1" ht="15.75" customHeight="1">
      <c r="B53" s="29" t="s">
        <v>89</v>
      </c>
      <c r="C53" s="3"/>
      <c r="D53" s="3"/>
      <c r="E53" s="3"/>
      <c r="F53" s="3"/>
      <c r="G53" s="4"/>
      <c r="H53" s="3"/>
      <c r="I53" s="5" t="s">
        <v>24</v>
      </c>
      <c r="J53" s="5" t="s">
        <v>23</v>
      </c>
      <c r="K53" s="5" t="s">
        <v>91</v>
      </c>
      <c r="L53" s="5" t="s">
        <v>16</v>
      </c>
      <c r="M53" s="5" t="s">
        <v>67</v>
      </c>
      <c r="N53" s="3" t="str">
        <f t="shared" si="3"/>
        <v>A8</v>
      </c>
      <c r="O53" s="12" t="str">
        <f t="shared" si="15"/>
        <v>FF01A0030004A8</v>
      </c>
      <c r="P53" s="14" t="s">
        <v>9</v>
      </c>
      <c r="Q53" s="15">
        <f t="shared" si="16"/>
        <v>1</v>
      </c>
      <c r="R53" s="15">
        <f t="shared" si="16"/>
        <v>160</v>
      </c>
      <c r="S53" s="15">
        <f t="shared" si="16"/>
        <v>3</v>
      </c>
      <c r="T53" s="15">
        <f t="shared" si="16"/>
        <v>0</v>
      </c>
      <c r="U53" s="15">
        <f t="shared" si="16"/>
        <v>4</v>
      </c>
      <c r="V53" s="15">
        <f t="shared" si="17"/>
        <v>168</v>
      </c>
      <c r="W53" s="30" t="str">
        <f t="shared" si="18"/>
        <v>A8</v>
      </c>
      <c r="X53" s="2" t="s">
        <v>219</v>
      </c>
    </row>
    <row r="54" spans="2:24" s="2" customFormat="1" ht="15.75" customHeight="1">
      <c r="B54" s="29" t="s">
        <v>90</v>
      </c>
      <c r="C54" s="3"/>
      <c r="D54" s="3"/>
      <c r="E54" s="3"/>
      <c r="F54" s="3"/>
      <c r="G54" s="4"/>
      <c r="H54" s="3"/>
      <c r="I54" s="5" t="s">
        <v>24</v>
      </c>
      <c r="J54" s="5" t="s">
        <v>23</v>
      </c>
      <c r="K54" s="5" t="s">
        <v>91</v>
      </c>
      <c r="L54" s="5" t="s">
        <v>16</v>
      </c>
      <c r="M54" s="5" t="s">
        <v>92</v>
      </c>
      <c r="N54" s="3" t="str">
        <f t="shared" si="3"/>
        <v>A9</v>
      </c>
      <c r="O54" s="12" t="str">
        <f t="shared" si="15"/>
        <v>FF01A0030005A9</v>
      </c>
      <c r="P54" s="14" t="s">
        <v>9</v>
      </c>
      <c r="Q54" s="15">
        <f t="shared" si="16"/>
        <v>1</v>
      </c>
      <c r="R54" s="15">
        <f t="shared" si="16"/>
        <v>160</v>
      </c>
      <c r="S54" s="15">
        <f t="shared" si="16"/>
        <v>3</v>
      </c>
      <c r="T54" s="15">
        <f t="shared" si="16"/>
        <v>0</v>
      </c>
      <c r="U54" s="15">
        <f t="shared" si="16"/>
        <v>5</v>
      </c>
      <c r="V54" s="15">
        <f t="shared" si="17"/>
        <v>169</v>
      </c>
      <c r="W54" s="30" t="str">
        <f t="shared" si="18"/>
        <v>A9</v>
      </c>
      <c r="X54" s="2" t="s">
        <v>220</v>
      </c>
    </row>
    <row r="55" spans="2:24" s="2" customFormat="1" ht="16.5" customHeight="1">
      <c r="B55" s="29" t="s">
        <v>93</v>
      </c>
      <c r="C55" s="3"/>
      <c r="D55" s="3"/>
      <c r="E55" s="3"/>
      <c r="F55" s="3"/>
      <c r="G55" s="4"/>
      <c r="H55" s="3"/>
      <c r="I55" s="5" t="s">
        <v>24</v>
      </c>
      <c r="J55" s="5" t="s">
        <v>23</v>
      </c>
      <c r="K55" s="5" t="s">
        <v>67</v>
      </c>
      <c r="L55" s="5" t="s">
        <v>16</v>
      </c>
      <c r="M55" s="5" t="s">
        <v>16</v>
      </c>
      <c r="N55" s="3" t="str">
        <f t="shared" si="3"/>
        <v>A5</v>
      </c>
      <c r="O55" s="12" t="str">
        <f t="shared" si="15"/>
        <v>FF01A0040000A5</v>
      </c>
      <c r="P55" s="14" t="s">
        <v>9</v>
      </c>
      <c r="Q55" s="15">
        <f t="shared" si="16"/>
        <v>1</v>
      </c>
      <c r="R55" s="15">
        <f t="shared" si="16"/>
        <v>160</v>
      </c>
      <c r="S55" s="15">
        <f t="shared" si="16"/>
        <v>4</v>
      </c>
      <c r="T55" s="15">
        <f t="shared" si="16"/>
        <v>0</v>
      </c>
      <c r="U55" s="15">
        <f t="shared" si="16"/>
        <v>0</v>
      </c>
      <c r="V55" s="15">
        <f t="shared" si="17"/>
        <v>165</v>
      </c>
      <c r="W55" s="30" t="str">
        <f t="shared" si="18"/>
        <v>A5</v>
      </c>
      <c r="X55" s="2" t="s">
        <v>221</v>
      </c>
    </row>
    <row r="56" spans="2:24" s="2" customFormat="1" ht="16.5" customHeight="1">
      <c r="B56" s="29" t="s">
        <v>94</v>
      </c>
      <c r="C56" s="3"/>
      <c r="D56" s="3"/>
      <c r="E56" s="3"/>
      <c r="F56" s="3"/>
      <c r="G56" s="4"/>
      <c r="H56" s="3"/>
      <c r="I56" s="5" t="s">
        <v>24</v>
      </c>
      <c r="J56" s="5" t="s">
        <v>23</v>
      </c>
      <c r="K56" s="5" t="s">
        <v>67</v>
      </c>
      <c r="L56" s="5" t="s">
        <v>16</v>
      </c>
      <c r="M56" s="5" t="s">
        <v>24</v>
      </c>
      <c r="N56" s="3" t="str">
        <f t="shared" si="3"/>
        <v>A6</v>
      </c>
      <c r="O56" s="12" t="str">
        <f t="shared" si="15"/>
        <v>FF01A0040001A6</v>
      </c>
      <c r="P56" s="14" t="s">
        <v>9</v>
      </c>
      <c r="Q56" s="15">
        <f t="shared" si="16"/>
        <v>1</v>
      </c>
      <c r="R56" s="15">
        <f t="shared" si="16"/>
        <v>160</v>
      </c>
      <c r="S56" s="15">
        <f t="shared" si="16"/>
        <v>4</v>
      </c>
      <c r="T56" s="15">
        <f t="shared" si="16"/>
        <v>0</v>
      </c>
      <c r="U56" s="15">
        <f t="shared" si="16"/>
        <v>1</v>
      </c>
      <c r="V56" s="15">
        <f t="shared" si="17"/>
        <v>166</v>
      </c>
      <c r="W56" s="30" t="str">
        <f t="shared" si="18"/>
        <v>A6</v>
      </c>
      <c r="X56" s="2" t="s">
        <v>222</v>
      </c>
    </row>
    <row r="57" spans="2:24" s="2" customFormat="1" ht="16.5" customHeight="1">
      <c r="B57" s="29" t="s">
        <v>95</v>
      </c>
      <c r="C57" s="3"/>
      <c r="D57" s="3"/>
      <c r="E57" s="3"/>
      <c r="F57" s="3"/>
      <c r="G57" s="4"/>
      <c r="H57" s="3"/>
      <c r="I57" s="5" t="s">
        <v>24</v>
      </c>
      <c r="J57" s="5" t="s">
        <v>23</v>
      </c>
      <c r="K57" s="5" t="s">
        <v>92</v>
      </c>
      <c r="L57" s="5" t="s">
        <v>16</v>
      </c>
      <c r="M57" s="5" t="s">
        <v>16</v>
      </c>
      <c r="N57" s="3" t="str">
        <f t="shared" si="3"/>
        <v>A6</v>
      </c>
      <c r="O57" s="12" t="str">
        <f t="shared" si="15"/>
        <v>FF01A0050000A6</v>
      </c>
      <c r="P57" s="14" t="s">
        <v>9</v>
      </c>
      <c r="Q57" s="15">
        <f t="shared" si="16"/>
        <v>1</v>
      </c>
      <c r="R57" s="15">
        <f t="shared" si="16"/>
        <v>160</v>
      </c>
      <c r="S57" s="15">
        <f t="shared" si="16"/>
        <v>5</v>
      </c>
      <c r="T57" s="15">
        <f t="shared" si="16"/>
        <v>0</v>
      </c>
      <c r="U57" s="15">
        <f t="shared" si="16"/>
        <v>0</v>
      </c>
      <c r="V57" s="15">
        <f t="shared" si="17"/>
        <v>166</v>
      </c>
      <c r="W57" s="30" t="str">
        <f t="shared" si="18"/>
        <v>A6</v>
      </c>
      <c r="X57" s="2" t="s">
        <v>223</v>
      </c>
    </row>
    <row r="58" spans="2:24" s="2" customFormat="1" ht="16.5" customHeight="1">
      <c r="B58" s="29" t="s">
        <v>96</v>
      </c>
      <c r="C58" s="3"/>
      <c r="D58" s="3"/>
      <c r="E58" s="3"/>
      <c r="F58" s="3"/>
      <c r="G58" s="4"/>
      <c r="H58" s="3"/>
      <c r="I58" s="5" t="s">
        <v>24</v>
      </c>
      <c r="J58" s="5" t="s">
        <v>23</v>
      </c>
      <c r="K58" s="5" t="s">
        <v>92</v>
      </c>
      <c r="L58" s="5" t="s">
        <v>16</v>
      </c>
      <c r="M58" s="5" t="s">
        <v>24</v>
      </c>
      <c r="N58" s="3" t="str">
        <f t="shared" si="3"/>
        <v>A7</v>
      </c>
      <c r="O58" s="12" t="str">
        <f t="shared" si="15"/>
        <v>FF01A0050001A7</v>
      </c>
      <c r="P58" s="14" t="s">
        <v>9</v>
      </c>
      <c r="Q58" s="15">
        <f t="shared" si="16"/>
        <v>1</v>
      </c>
      <c r="R58" s="15">
        <f t="shared" si="16"/>
        <v>160</v>
      </c>
      <c r="S58" s="15">
        <f t="shared" si="16"/>
        <v>5</v>
      </c>
      <c r="T58" s="15">
        <f t="shared" si="16"/>
        <v>0</v>
      </c>
      <c r="U58" s="15">
        <f t="shared" si="16"/>
        <v>1</v>
      </c>
      <c r="V58" s="15">
        <f t="shared" si="17"/>
        <v>167</v>
      </c>
      <c r="W58" s="30" t="str">
        <f t="shared" si="18"/>
        <v>A7</v>
      </c>
      <c r="X58" s="2" t="s">
        <v>224</v>
      </c>
    </row>
    <row r="59" spans="2:24" s="2" customFormat="1" ht="15.75" customHeight="1">
      <c r="B59" s="29" t="s">
        <v>97</v>
      </c>
      <c r="C59" s="3"/>
      <c r="D59" s="3"/>
      <c r="E59" s="3"/>
      <c r="F59" s="3"/>
      <c r="G59" s="4"/>
      <c r="H59" s="3"/>
      <c r="I59" s="5" t="s">
        <v>24</v>
      </c>
      <c r="J59" s="5" t="s">
        <v>23</v>
      </c>
      <c r="K59" s="5" t="s">
        <v>100</v>
      </c>
      <c r="L59" s="5" t="s">
        <v>16</v>
      </c>
      <c r="M59" s="5" t="s">
        <v>16</v>
      </c>
      <c r="N59" s="3" t="str">
        <f t="shared" si="3"/>
        <v>A7</v>
      </c>
      <c r="O59" s="12" t="str">
        <f t="shared" si="15"/>
        <v>FF01A0060000A7</v>
      </c>
      <c r="P59" s="14" t="s">
        <v>9</v>
      </c>
      <c r="Q59" s="15">
        <f t="shared" si="16"/>
        <v>1</v>
      </c>
      <c r="R59" s="15">
        <f t="shared" si="16"/>
        <v>160</v>
      </c>
      <c r="S59" s="15">
        <f t="shared" si="16"/>
        <v>6</v>
      </c>
      <c r="T59" s="15">
        <f t="shared" si="16"/>
        <v>0</v>
      </c>
      <c r="U59" s="15">
        <f t="shared" si="16"/>
        <v>0</v>
      </c>
      <c r="V59" s="15">
        <f t="shared" si="17"/>
        <v>167</v>
      </c>
      <c r="W59" s="30" t="str">
        <f t="shared" si="18"/>
        <v>A7</v>
      </c>
      <c r="X59" s="2" t="s">
        <v>225</v>
      </c>
    </row>
    <row r="60" spans="2:24" s="2" customFormat="1" ht="15.75" customHeight="1">
      <c r="B60" s="29" t="s">
        <v>98</v>
      </c>
      <c r="C60" s="3"/>
      <c r="D60" s="3"/>
      <c r="E60" s="3"/>
      <c r="F60" s="3"/>
      <c r="G60" s="4"/>
      <c r="H60" s="3"/>
      <c r="I60" s="5" t="s">
        <v>24</v>
      </c>
      <c r="J60" s="5" t="s">
        <v>23</v>
      </c>
      <c r="K60" s="5" t="s">
        <v>100</v>
      </c>
      <c r="L60" s="5" t="s">
        <v>16</v>
      </c>
      <c r="M60" s="5" t="s">
        <v>24</v>
      </c>
      <c r="N60" s="3" t="str">
        <f t="shared" si="3"/>
        <v>A8</v>
      </c>
      <c r="O60" s="12" t="str">
        <f t="shared" si="15"/>
        <v>FF01A0060001A8</v>
      </c>
      <c r="P60" s="14" t="s">
        <v>9</v>
      </c>
      <c r="Q60" s="15">
        <f t="shared" si="16"/>
        <v>1</v>
      </c>
      <c r="R60" s="15">
        <f t="shared" si="16"/>
        <v>160</v>
      </c>
      <c r="S60" s="15">
        <f t="shared" si="16"/>
        <v>6</v>
      </c>
      <c r="T60" s="15">
        <f t="shared" si="16"/>
        <v>0</v>
      </c>
      <c r="U60" s="15">
        <f t="shared" si="16"/>
        <v>1</v>
      </c>
      <c r="V60" s="15">
        <f t="shared" si="17"/>
        <v>168</v>
      </c>
      <c r="W60" s="30" t="str">
        <f t="shared" si="18"/>
        <v>A8</v>
      </c>
      <c r="X60" s="2" t="s">
        <v>226</v>
      </c>
    </row>
    <row r="61" spans="2:24" s="2" customFormat="1" ht="15.75" customHeight="1">
      <c r="B61" s="29" t="s">
        <v>99</v>
      </c>
      <c r="C61" s="3"/>
      <c r="D61" s="3"/>
      <c r="E61" s="3"/>
      <c r="F61" s="3"/>
      <c r="G61" s="4"/>
      <c r="H61" s="3"/>
      <c r="I61" s="5" t="s">
        <v>24</v>
      </c>
      <c r="J61" s="5" t="s">
        <v>23</v>
      </c>
      <c r="K61" s="5" t="s">
        <v>100</v>
      </c>
      <c r="L61" s="5" t="s">
        <v>16</v>
      </c>
      <c r="M61" s="5" t="s">
        <v>17</v>
      </c>
      <c r="N61" s="3" t="str">
        <f t="shared" si="3"/>
        <v>A9</v>
      </c>
      <c r="O61" s="12" t="str">
        <f t="shared" si="15"/>
        <v>FF01A0060002A9</v>
      </c>
      <c r="P61" s="14" t="s">
        <v>9</v>
      </c>
      <c r="Q61" s="15">
        <f t="shared" ref="Q61:U62" si="19">HEX2DEC(I61)</f>
        <v>1</v>
      </c>
      <c r="R61" s="15">
        <f t="shared" si="19"/>
        <v>160</v>
      </c>
      <c r="S61" s="15">
        <f t="shared" si="19"/>
        <v>6</v>
      </c>
      <c r="T61" s="15">
        <f t="shared" si="19"/>
        <v>0</v>
      </c>
      <c r="U61" s="15">
        <f t="shared" si="19"/>
        <v>2</v>
      </c>
      <c r="V61" s="15">
        <f t="shared" si="17"/>
        <v>169</v>
      </c>
      <c r="W61" s="30" t="str">
        <f t="shared" si="18"/>
        <v>A9</v>
      </c>
      <c r="X61" s="2" t="s">
        <v>227</v>
      </c>
    </row>
    <row r="62" spans="2:24" s="2" customFormat="1" ht="15.75" customHeight="1" thickBot="1">
      <c r="B62" s="31" t="s">
        <v>107</v>
      </c>
      <c r="C62" s="32"/>
      <c r="D62" s="32"/>
      <c r="E62" s="32"/>
      <c r="F62" s="32"/>
      <c r="G62" s="33"/>
      <c r="H62" s="32"/>
      <c r="I62" s="34" t="s">
        <v>24</v>
      </c>
      <c r="J62" s="34" t="s">
        <v>23</v>
      </c>
      <c r="K62" s="34" t="s">
        <v>101</v>
      </c>
      <c r="L62" s="34" t="s">
        <v>16</v>
      </c>
      <c r="M62" s="34" t="s">
        <v>67</v>
      </c>
      <c r="N62" s="32" t="str">
        <f t="shared" si="3"/>
        <v>AC</v>
      </c>
      <c r="O62" s="35" t="str">
        <f t="shared" si="15"/>
        <v>FF01A0070004AC</v>
      </c>
      <c r="P62" s="36" t="s">
        <v>9</v>
      </c>
      <c r="Q62" s="37">
        <f t="shared" si="19"/>
        <v>1</v>
      </c>
      <c r="R62" s="37">
        <f t="shared" si="19"/>
        <v>160</v>
      </c>
      <c r="S62" s="37">
        <f t="shared" si="19"/>
        <v>7</v>
      </c>
      <c r="T62" s="37">
        <f t="shared" si="19"/>
        <v>0</v>
      </c>
      <c r="U62" s="37">
        <f t="shared" si="19"/>
        <v>4</v>
      </c>
      <c r="V62" s="37">
        <f t="shared" si="17"/>
        <v>172</v>
      </c>
      <c r="W62" s="38" t="str">
        <f t="shared" si="18"/>
        <v>AC</v>
      </c>
      <c r="X62" s="2" t="s">
        <v>228</v>
      </c>
    </row>
    <row r="63" spans="2:24" s="2" customFormat="1" ht="16.5" customHeight="1">
      <c r="B63" s="39" t="s">
        <v>132</v>
      </c>
      <c r="C63" s="22"/>
      <c r="D63" s="22"/>
      <c r="E63" s="22"/>
      <c r="F63" s="22"/>
      <c r="G63" s="23"/>
      <c r="H63" s="22"/>
      <c r="I63" s="24" t="s">
        <v>24</v>
      </c>
      <c r="J63" s="24" t="s">
        <v>80</v>
      </c>
      <c r="K63" s="24" t="s">
        <v>133</v>
      </c>
      <c r="L63" s="24" t="s">
        <v>16</v>
      </c>
      <c r="M63" s="24" t="s">
        <v>16</v>
      </c>
      <c r="N63" s="22" t="str">
        <f>W63</f>
        <v>C2</v>
      </c>
      <c r="O63" s="25" t="str">
        <f>"FF01"&amp;J63&amp;""&amp;K63&amp;L63&amp;M63&amp;N63</f>
        <v>FF01A1200000C2</v>
      </c>
      <c r="P63" s="26" t="s">
        <v>9</v>
      </c>
      <c r="Q63" s="27">
        <f>HEX2DEC(I63)</f>
        <v>1</v>
      </c>
      <c r="R63" s="27">
        <f>HEX2DEC(J63)</f>
        <v>161</v>
      </c>
      <c r="S63" s="27">
        <f>HEX2DEC(K63)</f>
        <v>32</v>
      </c>
      <c r="T63" s="27">
        <f>HEX2DEC(L63)</f>
        <v>0</v>
      </c>
      <c r="U63" s="27">
        <f>HEX2DEC(M63)</f>
        <v>0</v>
      </c>
      <c r="V63" s="27">
        <f>SUM(Q63:U63)</f>
        <v>194</v>
      </c>
      <c r="W63" s="28" t="str">
        <f>REPT("0",2-LEN(RIGHT(DEC2HEX(V63), 2)))&amp;RIGHT(DEC2HEX(V63), 2)</f>
        <v>C2</v>
      </c>
      <c r="X63" s="2" t="s">
        <v>229</v>
      </c>
    </row>
    <row r="64" spans="2:24" s="2" customFormat="1" ht="15.75" customHeight="1">
      <c r="B64" s="29" t="s">
        <v>45</v>
      </c>
      <c r="C64" s="3"/>
      <c r="D64" s="3"/>
      <c r="E64" s="3"/>
      <c r="F64" s="3"/>
      <c r="G64" s="4"/>
      <c r="H64" s="3"/>
      <c r="I64" s="5" t="s">
        <v>24</v>
      </c>
      <c r="J64" s="5" t="s">
        <v>23</v>
      </c>
      <c r="K64" s="5" t="s">
        <v>18</v>
      </c>
      <c r="L64" s="5" t="s">
        <v>16</v>
      </c>
      <c r="M64" s="5" t="s">
        <v>16</v>
      </c>
      <c r="N64" s="3" t="str">
        <f t="shared" ref="N64:N67" si="20">W64</f>
        <v>C2</v>
      </c>
      <c r="O64" s="12" t="str">
        <f t="shared" ref="O64:O67" si="21">"FF01"&amp;J64&amp;""&amp;K64&amp;L64&amp;M64&amp;N64</f>
        <v>FF01A0210000C2</v>
      </c>
      <c r="P64" s="14" t="s">
        <v>9</v>
      </c>
      <c r="Q64" s="15">
        <f t="shared" ref="Q64:U79" si="22">HEX2DEC(I64)</f>
        <v>1</v>
      </c>
      <c r="R64" s="15">
        <f t="shared" si="22"/>
        <v>160</v>
      </c>
      <c r="S64" s="15">
        <f t="shared" si="22"/>
        <v>33</v>
      </c>
      <c r="T64" s="15">
        <f t="shared" si="22"/>
        <v>0</v>
      </c>
      <c r="U64" s="15">
        <f t="shared" si="22"/>
        <v>0</v>
      </c>
      <c r="V64" s="15">
        <f t="shared" si="2"/>
        <v>194</v>
      </c>
      <c r="W64" s="30" t="str">
        <f t="shared" si="4"/>
        <v>C2</v>
      </c>
      <c r="X64" s="2" t="s">
        <v>230</v>
      </c>
    </row>
    <row r="65" spans="2:24" s="2" customFormat="1" ht="16.5" customHeight="1">
      <c r="B65" s="29" t="s">
        <v>46</v>
      </c>
      <c r="C65" s="3"/>
      <c r="D65" s="3"/>
      <c r="E65" s="3"/>
      <c r="F65" s="3"/>
      <c r="G65" s="4"/>
      <c r="H65" s="3"/>
      <c r="I65" s="5" t="s">
        <v>24</v>
      </c>
      <c r="J65" s="5" t="s">
        <v>23</v>
      </c>
      <c r="K65" s="5" t="s">
        <v>18</v>
      </c>
      <c r="L65" s="5" t="s">
        <v>16</v>
      </c>
      <c r="M65" s="5" t="s">
        <v>24</v>
      </c>
      <c r="N65" s="3" t="str">
        <f t="shared" si="20"/>
        <v>C3</v>
      </c>
      <c r="O65" s="12" t="str">
        <f t="shared" si="21"/>
        <v>FF01A0210001C3</v>
      </c>
      <c r="P65" s="14" t="s">
        <v>9</v>
      </c>
      <c r="Q65" s="15">
        <f t="shared" si="22"/>
        <v>1</v>
      </c>
      <c r="R65" s="15">
        <f t="shared" si="22"/>
        <v>160</v>
      </c>
      <c r="S65" s="15">
        <f t="shared" si="22"/>
        <v>33</v>
      </c>
      <c r="T65" s="15">
        <f t="shared" si="22"/>
        <v>0</v>
      </c>
      <c r="U65" s="15">
        <f t="shared" si="22"/>
        <v>1</v>
      </c>
      <c r="V65" s="15">
        <f t="shared" si="2"/>
        <v>195</v>
      </c>
      <c r="W65" s="30" t="str">
        <f t="shared" si="4"/>
        <v>C3</v>
      </c>
      <c r="X65" s="2" t="s">
        <v>231</v>
      </c>
    </row>
    <row r="66" spans="2:24" s="2" customFormat="1" ht="16.5" customHeight="1">
      <c r="B66" s="29" t="s">
        <v>48</v>
      </c>
      <c r="C66" s="3"/>
      <c r="D66" s="3"/>
      <c r="E66" s="3"/>
      <c r="F66" s="3"/>
      <c r="G66" s="4"/>
      <c r="H66" s="3"/>
      <c r="I66" s="5" t="s">
        <v>24</v>
      </c>
      <c r="J66" s="5" t="s">
        <v>23</v>
      </c>
      <c r="K66" s="5" t="s">
        <v>49</v>
      </c>
      <c r="L66" s="5" t="s">
        <v>16</v>
      </c>
      <c r="M66" s="5" t="s">
        <v>16</v>
      </c>
      <c r="N66" s="3" t="str">
        <f t="shared" si="20"/>
        <v>C3</v>
      </c>
      <c r="O66" s="12" t="str">
        <f t="shared" si="21"/>
        <v>FF01A0220000C3</v>
      </c>
      <c r="P66" s="14" t="s">
        <v>9</v>
      </c>
      <c r="Q66" s="15">
        <f t="shared" si="22"/>
        <v>1</v>
      </c>
      <c r="R66" s="15">
        <f t="shared" si="22"/>
        <v>160</v>
      </c>
      <c r="S66" s="15">
        <f t="shared" si="22"/>
        <v>34</v>
      </c>
      <c r="T66" s="15">
        <f t="shared" si="22"/>
        <v>0</v>
      </c>
      <c r="U66" s="15">
        <f t="shared" si="22"/>
        <v>0</v>
      </c>
      <c r="V66" s="15">
        <f t="shared" si="2"/>
        <v>195</v>
      </c>
      <c r="W66" s="30" t="str">
        <f t="shared" si="4"/>
        <v>C3</v>
      </c>
      <c r="X66" s="2" t="s">
        <v>232</v>
      </c>
    </row>
    <row r="67" spans="2:24" s="2" customFormat="1" ht="16.5" customHeight="1">
      <c r="B67" s="29" t="s">
        <v>47</v>
      </c>
      <c r="C67" s="3"/>
      <c r="D67" s="3"/>
      <c r="E67" s="3"/>
      <c r="F67" s="3"/>
      <c r="G67" s="4"/>
      <c r="H67" s="3"/>
      <c r="I67" s="5" t="s">
        <v>24</v>
      </c>
      <c r="J67" s="5" t="s">
        <v>23</v>
      </c>
      <c r="K67" s="5" t="s">
        <v>49</v>
      </c>
      <c r="L67" s="5" t="s">
        <v>16</v>
      </c>
      <c r="M67" s="5" t="s">
        <v>24</v>
      </c>
      <c r="N67" s="3" t="str">
        <f t="shared" si="20"/>
        <v>C4</v>
      </c>
      <c r="O67" s="12" t="str">
        <f t="shared" si="21"/>
        <v>FF01A0220001C4</v>
      </c>
      <c r="P67" s="14" t="s">
        <v>9</v>
      </c>
      <c r="Q67" s="15">
        <f t="shared" si="22"/>
        <v>1</v>
      </c>
      <c r="R67" s="15">
        <f t="shared" si="22"/>
        <v>160</v>
      </c>
      <c r="S67" s="15">
        <f t="shared" si="22"/>
        <v>34</v>
      </c>
      <c r="T67" s="15">
        <f t="shared" si="22"/>
        <v>0</v>
      </c>
      <c r="U67" s="15">
        <f t="shared" si="22"/>
        <v>1</v>
      </c>
      <c r="V67" s="15">
        <f t="shared" ref="V67:V102" si="23">SUM(Q67:U67)</f>
        <v>196</v>
      </c>
      <c r="W67" s="30" t="str">
        <f t="shared" si="4"/>
        <v>C4</v>
      </c>
      <c r="X67" s="2" t="s">
        <v>233</v>
      </c>
    </row>
    <row r="68" spans="2:24" s="2" customFormat="1" ht="16.5" customHeight="1">
      <c r="B68" s="29" t="s">
        <v>19</v>
      </c>
      <c r="C68" s="3"/>
      <c r="D68" s="3"/>
      <c r="E68" s="3"/>
      <c r="F68" s="3"/>
      <c r="G68" s="4"/>
      <c r="H68" s="3"/>
      <c r="I68" s="5" t="s">
        <v>24</v>
      </c>
      <c r="J68" s="3" t="s">
        <v>23</v>
      </c>
      <c r="K68" s="3">
        <v>23</v>
      </c>
      <c r="L68" s="5" t="s">
        <v>16</v>
      </c>
      <c r="M68" s="5" t="s">
        <v>24</v>
      </c>
      <c r="N68" s="3" t="str">
        <f>W68</f>
        <v>C5</v>
      </c>
      <c r="O68" s="12" t="str">
        <f>"FF01"&amp;J68&amp;""&amp;K68&amp;L68&amp;M68&amp;N68</f>
        <v>FF01A0230001C5</v>
      </c>
      <c r="P68" s="14" t="s">
        <v>9</v>
      </c>
      <c r="Q68" s="15">
        <f t="shared" si="22"/>
        <v>1</v>
      </c>
      <c r="R68" s="15">
        <f t="shared" si="22"/>
        <v>160</v>
      </c>
      <c r="S68" s="15">
        <f t="shared" si="22"/>
        <v>35</v>
      </c>
      <c r="T68" s="15">
        <f t="shared" si="22"/>
        <v>0</v>
      </c>
      <c r="U68" s="15">
        <f t="shared" si="22"/>
        <v>1</v>
      </c>
      <c r="V68" s="15">
        <f>SUM(Q68:U68)</f>
        <v>197</v>
      </c>
      <c r="W68" s="30" t="str">
        <f>REPT("0",2-LEN(RIGHT(DEC2HEX(V68), 2)))&amp;RIGHT(DEC2HEX(V68), 2)</f>
        <v>C5</v>
      </c>
      <c r="X68" s="2" t="s">
        <v>234</v>
      </c>
    </row>
    <row r="69" spans="2:24" s="2" customFormat="1" ht="16.5" customHeight="1">
      <c r="B69" s="29" t="s">
        <v>20</v>
      </c>
      <c r="C69" s="3"/>
      <c r="D69" s="3"/>
      <c r="E69" s="3"/>
      <c r="F69" s="3"/>
      <c r="G69" s="4"/>
      <c r="H69" s="3"/>
      <c r="I69" s="5" t="s">
        <v>24</v>
      </c>
      <c r="J69" s="3" t="s">
        <v>23</v>
      </c>
      <c r="K69" s="3">
        <v>23</v>
      </c>
      <c r="L69" s="5" t="s">
        <v>16</v>
      </c>
      <c r="M69" s="5" t="s">
        <v>16</v>
      </c>
      <c r="N69" s="3" t="str">
        <f>W69</f>
        <v>C4</v>
      </c>
      <c r="O69" s="12" t="str">
        <f>"FF01"&amp;J69&amp;""&amp;K69&amp;L69&amp;M69&amp;N69</f>
        <v>FF01A0230000C4</v>
      </c>
      <c r="P69" s="14" t="s">
        <v>9</v>
      </c>
      <c r="Q69" s="15">
        <f t="shared" si="22"/>
        <v>1</v>
      </c>
      <c r="R69" s="15">
        <f t="shared" si="22"/>
        <v>160</v>
      </c>
      <c r="S69" s="15">
        <f t="shared" si="22"/>
        <v>35</v>
      </c>
      <c r="T69" s="15">
        <f t="shared" si="22"/>
        <v>0</v>
      </c>
      <c r="U69" s="15">
        <f t="shared" si="22"/>
        <v>0</v>
      </c>
      <c r="V69" s="15">
        <f>SUM(Q69:U69)</f>
        <v>196</v>
      </c>
      <c r="W69" s="30" t="str">
        <f>REPT("0",2-LEN(RIGHT(DEC2HEX(V69), 2)))&amp;RIGHT(DEC2HEX(V69), 2)</f>
        <v>C4</v>
      </c>
      <c r="X69" s="2" t="s">
        <v>235</v>
      </c>
    </row>
    <row r="70" spans="2:24" s="2" customFormat="1" ht="16.5" customHeight="1">
      <c r="B70" s="29" t="s">
        <v>21</v>
      </c>
      <c r="C70" s="3"/>
      <c r="D70" s="3"/>
      <c r="E70" s="3"/>
      <c r="F70" s="3"/>
      <c r="G70" s="4"/>
      <c r="H70" s="3"/>
      <c r="I70" s="5" t="s">
        <v>24</v>
      </c>
      <c r="J70" s="3" t="s">
        <v>23</v>
      </c>
      <c r="K70" s="3">
        <v>24</v>
      </c>
      <c r="L70" s="5" t="s">
        <v>16</v>
      </c>
      <c r="M70" s="5" t="s">
        <v>24</v>
      </c>
      <c r="N70" s="3" t="str">
        <f>W70</f>
        <v>C6</v>
      </c>
      <c r="O70" s="12" t="str">
        <f t="shared" ref="O70:O102" si="24">"FF01"&amp;J70&amp;""&amp;K70&amp;L70&amp;M70&amp;N70</f>
        <v>FF01A0240001C6</v>
      </c>
      <c r="P70" s="14" t="s">
        <v>9</v>
      </c>
      <c r="Q70" s="15">
        <f t="shared" si="22"/>
        <v>1</v>
      </c>
      <c r="R70" s="15">
        <f t="shared" si="22"/>
        <v>160</v>
      </c>
      <c r="S70" s="15">
        <f t="shared" si="22"/>
        <v>36</v>
      </c>
      <c r="T70" s="15">
        <f t="shared" si="22"/>
        <v>0</v>
      </c>
      <c r="U70" s="15">
        <f t="shared" si="22"/>
        <v>1</v>
      </c>
      <c r="V70" s="15">
        <f>SUM(Q70:U70)</f>
        <v>198</v>
      </c>
      <c r="W70" s="30" t="str">
        <f>REPT("0",2-LEN(RIGHT(DEC2HEX(V70), 2)))&amp;RIGHT(DEC2HEX(V70), 2)</f>
        <v>C6</v>
      </c>
      <c r="X70" s="2" t="s">
        <v>236</v>
      </c>
    </row>
    <row r="71" spans="2:24" s="2" customFormat="1" ht="16.5" customHeight="1">
      <c r="B71" s="29" t="s">
        <v>22</v>
      </c>
      <c r="C71" s="3"/>
      <c r="D71" s="3"/>
      <c r="E71" s="3"/>
      <c r="F71" s="3"/>
      <c r="G71" s="4"/>
      <c r="H71" s="3"/>
      <c r="I71" s="5" t="s">
        <v>24</v>
      </c>
      <c r="J71" s="3" t="s">
        <v>23</v>
      </c>
      <c r="K71" s="3">
        <v>24</v>
      </c>
      <c r="L71" s="5" t="s">
        <v>16</v>
      </c>
      <c r="M71" s="5" t="s">
        <v>16</v>
      </c>
      <c r="N71" s="3" t="str">
        <f>W71</f>
        <v>C5</v>
      </c>
      <c r="O71" s="12" t="str">
        <f t="shared" si="24"/>
        <v>FF01A0240000C5</v>
      </c>
      <c r="P71" s="14" t="s">
        <v>9</v>
      </c>
      <c r="Q71" s="15">
        <f t="shared" si="22"/>
        <v>1</v>
      </c>
      <c r="R71" s="15">
        <f t="shared" si="22"/>
        <v>160</v>
      </c>
      <c r="S71" s="15">
        <f t="shared" si="22"/>
        <v>36</v>
      </c>
      <c r="T71" s="15">
        <f t="shared" si="22"/>
        <v>0</v>
      </c>
      <c r="U71" s="15">
        <f t="shared" si="22"/>
        <v>0</v>
      </c>
      <c r="V71" s="15">
        <f>SUM(Q71:U71)</f>
        <v>197</v>
      </c>
      <c r="W71" s="30" t="str">
        <f>REPT("0",2-LEN(RIGHT(DEC2HEX(V71), 2)))&amp;RIGHT(DEC2HEX(V71), 2)</f>
        <v>C5</v>
      </c>
      <c r="X71" s="2" t="s">
        <v>237</v>
      </c>
    </row>
    <row r="72" spans="2:24" s="2" customFormat="1" ht="16.5" customHeight="1">
      <c r="B72" s="29" t="s">
        <v>50</v>
      </c>
      <c r="C72" s="3"/>
      <c r="D72" s="3"/>
      <c r="E72" s="3"/>
      <c r="F72" s="3"/>
      <c r="G72" s="4"/>
      <c r="H72" s="3"/>
      <c r="I72" s="5" t="s">
        <v>24</v>
      </c>
      <c r="J72" s="5" t="s">
        <v>23</v>
      </c>
      <c r="K72" s="5" t="s">
        <v>51</v>
      </c>
      <c r="L72" s="5" t="s">
        <v>16</v>
      </c>
      <c r="M72" s="5" t="s">
        <v>16</v>
      </c>
      <c r="N72" s="3" t="str">
        <f t="shared" ref="N72:N102" si="25">W72</f>
        <v>C6</v>
      </c>
      <c r="O72" s="12" t="str">
        <f t="shared" si="24"/>
        <v>FF01A0250000C6</v>
      </c>
      <c r="P72" s="14" t="s">
        <v>9</v>
      </c>
      <c r="Q72" s="15">
        <f t="shared" si="22"/>
        <v>1</v>
      </c>
      <c r="R72" s="15">
        <f t="shared" si="22"/>
        <v>160</v>
      </c>
      <c r="S72" s="15">
        <f t="shared" si="22"/>
        <v>37</v>
      </c>
      <c r="T72" s="15">
        <f t="shared" si="22"/>
        <v>0</v>
      </c>
      <c r="U72" s="15">
        <f t="shared" si="22"/>
        <v>0</v>
      </c>
      <c r="V72" s="15">
        <f t="shared" si="23"/>
        <v>198</v>
      </c>
      <c r="W72" s="30" t="str">
        <f t="shared" si="4"/>
        <v>C6</v>
      </c>
      <c r="X72" s="2" t="s">
        <v>238</v>
      </c>
    </row>
    <row r="73" spans="2:24" s="2" customFormat="1" ht="16.5" customHeight="1">
      <c r="B73" s="29" t="s">
        <v>52</v>
      </c>
      <c r="C73" s="3"/>
      <c r="D73" s="3"/>
      <c r="E73" s="3"/>
      <c r="F73" s="3"/>
      <c r="G73" s="4"/>
      <c r="H73" s="3"/>
      <c r="I73" s="5" t="s">
        <v>24</v>
      </c>
      <c r="J73" s="5" t="s">
        <v>23</v>
      </c>
      <c r="K73" s="5" t="s">
        <v>51</v>
      </c>
      <c r="L73" s="5" t="s">
        <v>16</v>
      </c>
      <c r="M73" s="5" t="s">
        <v>24</v>
      </c>
      <c r="N73" s="3" t="str">
        <f t="shared" si="25"/>
        <v>C7</v>
      </c>
      <c r="O73" s="12" t="str">
        <f t="shared" si="24"/>
        <v>FF01A0250001C7</v>
      </c>
      <c r="P73" s="14" t="s">
        <v>9</v>
      </c>
      <c r="Q73" s="15">
        <f t="shared" si="22"/>
        <v>1</v>
      </c>
      <c r="R73" s="15">
        <f t="shared" si="22"/>
        <v>160</v>
      </c>
      <c r="S73" s="15">
        <f t="shared" si="22"/>
        <v>37</v>
      </c>
      <c r="T73" s="15">
        <f t="shared" si="22"/>
        <v>0</v>
      </c>
      <c r="U73" s="15">
        <f t="shared" si="22"/>
        <v>1</v>
      </c>
      <c r="V73" s="15">
        <f t="shared" si="23"/>
        <v>199</v>
      </c>
      <c r="W73" s="30" t="str">
        <f t="shared" si="4"/>
        <v>C7</v>
      </c>
      <c r="X73" s="2" t="s">
        <v>239</v>
      </c>
    </row>
    <row r="74" spans="2:24" s="2" customFormat="1" ht="16.5" customHeight="1">
      <c r="B74" s="29" t="s">
        <v>53</v>
      </c>
      <c r="C74" s="3"/>
      <c r="D74" s="3"/>
      <c r="E74" s="3"/>
      <c r="F74" s="3"/>
      <c r="G74" s="4"/>
      <c r="H74" s="3"/>
      <c r="I74" s="5" t="s">
        <v>24</v>
      </c>
      <c r="J74" s="5" t="s">
        <v>23</v>
      </c>
      <c r="K74" s="5" t="s">
        <v>55</v>
      </c>
      <c r="L74" s="5" t="s">
        <v>16</v>
      </c>
      <c r="M74" s="5" t="s">
        <v>16</v>
      </c>
      <c r="N74" s="3" t="str">
        <f t="shared" si="25"/>
        <v>C7</v>
      </c>
      <c r="O74" s="12" t="str">
        <f t="shared" si="24"/>
        <v>FF01A0260000C7</v>
      </c>
      <c r="P74" s="14" t="s">
        <v>9</v>
      </c>
      <c r="Q74" s="15">
        <f t="shared" si="22"/>
        <v>1</v>
      </c>
      <c r="R74" s="15">
        <f t="shared" si="22"/>
        <v>160</v>
      </c>
      <c r="S74" s="15">
        <f t="shared" si="22"/>
        <v>38</v>
      </c>
      <c r="T74" s="15">
        <f t="shared" si="22"/>
        <v>0</v>
      </c>
      <c r="U74" s="15">
        <f t="shared" si="22"/>
        <v>0</v>
      </c>
      <c r="V74" s="15">
        <f t="shared" si="23"/>
        <v>199</v>
      </c>
      <c r="W74" s="30" t="str">
        <f t="shared" si="4"/>
        <v>C7</v>
      </c>
      <c r="X74" s="2" t="s">
        <v>240</v>
      </c>
    </row>
    <row r="75" spans="2:24" s="2" customFormat="1" ht="16.5" customHeight="1">
      <c r="B75" s="29" t="s">
        <v>54</v>
      </c>
      <c r="C75" s="3"/>
      <c r="D75" s="3"/>
      <c r="E75" s="3"/>
      <c r="F75" s="3"/>
      <c r="G75" s="4"/>
      <c r="H75" s="3"/>
      <c r="I75" s="5" t="s">
        <v>24</v>
      </c>
      <c r="J75" s="5" t="s">
        <v>23</v>
      </c>
      <c r="K75" s="5" t="s">
        <v>55</v>
      </c>
      <c r="L75" s="5" t="s">
        <v>16</v>
      </c>
      <c r="M75" s="5" t="s">
        <v>24</v>
      </c>
      <c r="N75" s="3" t="str">
        <f t="shared" si="25"/>
        <v>C8</v>
      </c>
      <c r="O75" s="12" t="str">
        <f t="shared" si="24"/>
        <v>FF01A0260001C8</v>
      </c>
      <c r="P75" s="14" t="s">
        <v>9</v>
      </c>
      <c r="Q75" s="15">
        <f t="shared" si="22"/>
        <v>1</v>
      </c>
      <c r="R75" s="15">
        <f t="shared" si="22"/>
        <v>160</v>
      </c>
      <c r="S75" s="15">
        <f t="shared" si="22"/>
        <v>38</v>
      </c>
      <c r="T75" s="15">
        <f t="shared" si="22"/>
        <v>0</v>
      </c>
      <c r="U75" s="15">
        <f t="shared" si="22"/>
        <v>1</v>
      </c>
      <c r="V75" s="15">
        <f t="shared" si="23"/>
        <v>200</v>
      </c>
      <c r="W75" s="30" t="str">
        <f t="shared" si="4"/>
        <v>C8</v>
      </c>
      <c r="X75" s="2" t="s">
        <v>241</v>
      </c>
    </row>
    <row r="76" spans="2:24" s="2" customFormat="1" ht="16.5" customHeight="1">
      <c r="B76" s="29" t="s">
        <v>56</v>
      </c>
      <c r="C76" s="3"/>
      <c r="D76" s="3"/>
      <c r="E76" s="3"/>
      <c r="F76" s="3"/>
      <c r="G76" s="4"/>
      <c r="H76" s="3"/>
      <c r="I76" s="5" t="s">
        <v>24</v>
      </c>
      <c r="J76" s="5" t="s">
        <v>23</v>
      </c>
      <c r="K76" s="5" t="s">
        <v>60</v>
      </c>
      <c r="L76" s="5" t="s">
        <v>16</v>
      </c>
      <c r="M76" s="5" t="s">
        <v>16</v>
      </c>
      <c r="N76" s="3" t="str">
        <f t="shared" si="25"/>
        <v>C8</v>
      </c>
      <c r="O76" s="12" t="str">
        <f t="shared" si="24"/>
        <v>FF01A0270000C8</v>
      </c>
      <c r="P76" s="14" t="s">
        <v>9</v>
      </c>
      <c r="Q76" s="15">
        <f t="shared" si="22"/>
        <v>1</v>
      </c>
      <c r="R76" s="15">
        <f t="shared" si="22"/>
        <v>160</v>
      </c>
      <c r="S76" s="15">
        <f t="shared" si="22"/>
        <v>39</v>
      </c>
      <c r="T76" s="15">
        <f t="shared" si="22"/>
        <v>0</v>
      </c>
      <c r="U76" s="15">
        <f t="shared" si="22"/>
        <v>0</v>
      </c>
      <c r="V76" s="15">
        <f t="shared" si="23"/>
        <v>200</v>
      </c>
      <c r="W76" s="30" t="str">
        <f t="shared" si="4"/>
        <v>C8</v>
      </c>
      <c r="X76" s="2" t="s">
        <v>242</v>
      </c>
    </row>
    <row r="77" spans="2:24" s="2" customFormat="1" ht="16.5" customHeight="1">
      <c r="B77" s="29" t="s">
        <v>57</v>
      </c>
      <c r="C77" s="3"/>
      <c r="D77" s="3"/>
      <c r="E77" s="3"/>
      <c r="F77" s="3"/>
      <c r="G77" s="4"/>
      <c r="H77" s="3"/>
      <c r="I77" s="5" t="s">
        <v>24</v>
      </c>
      <c r="J77" s="5" t="s">
        <v>23</v>
      </c>
      <c r="K77" s="5" t="s">
        <v>60</v>
      </c>
      <c r="L77" s="5" t="s">
        <v>16</v>
      </c>
      <c r="M77" s="5" t="s">
        <v>61</v>
      </c>
      <c r="N77" s="3" t="str">
        <f t="shared" si="25"/>
        <v>D2</v>
      </c>
      <c r="O77" s="12" t="str">
        <f t="shared" si="24"/>
        <v>FF01A027000AD2</v>
      </c>
      <c r="P77" s="14" t="s">
        <v>9</v>
      </c>
      <c r="Q77" s="15">
        <f t="shared" si="22"/>
        <v>1</v>
      </c>
      <c r="R77" s="15">
        <f t="shared" si="22"/>
        <v>160</v>
      </c>
      <c r="S77" s="15">
        <f t="shared" si="22"/>
        <v>39</v>
      </c>
      <c r="T77" s="15">
        <f t="shared" si="22"/>
        <v>0</v>
      </c>
      <c r="U77" s="15">
        <f t="shared" si="22"/>
        <v>10</v>
      </c>
      <c r="V77" s="15">
        <f t="shared" si="23"/>
        <v>210</v>
      </c>
      <c r="W77" s="30" t="str">
        <f t="shared" si="4"/>
        <v>D2</v>
      </c>
      <c r="X77" s="2" t="s">
        <v>243</v>
      </c>
    </row>
    <row r="78" spans="2:24" s="2" customFormat="1" ht="16.5" customHeight="1">
      <c r="B78" s="29" t="s">
        <v>58</v>
      </c>
      <c r="C78" s="3"/>
      <c r="D78" s="3"/>
      <c r="E78" s="3"/>
      <c r="F78" s="3"/>
      <c r="G78" s="4"/>
      <c r="H78" s="3"/>
      <c r="I78" s="5" t="s">
        <v>24</v>
      </c>
      <c r="J78" s="5" t="s">
        <v>23</v>
      </c>
      <c r="K78" s="5" t="s">
        <v>60</v>
      </c>
      <c r="L78" s="5" t="s">
        <v>16</v>
      </c>
      <c r="M78" s="5" t="s">
        <v>62</v>
      </c>
      <c r="N78" s="3" t="str">
        <f t="shared" si="25"/>
        <v>DC</v>
      </c>
      <c r="O78" s="12" t="str">
        <f t="shared" si="24"/>
        <v>FF01A0270014DC</v>
      </c>
      <c r="P78" s="14" t="s">
        <v>9</v>
      </c>
      <c r="Q78" s="15">
        <f t="shared" si="22"/>
        <v>1</v>
      </c>
      <c r="R78" s="15">
        <f t="shared" si="22"/>
        <v>160</v>
      </c>
      <c r="S78" s="15">
        <f t="shared" si="22"/>
        <v>39</v>
      </c>
      <c r="T78" s="15">
        <f t="shared" si="22"/>
        <v>0</v>
      </c>
      <c r="U78" s="15">
        <f t="shared" si="22"/>
        <v>20</v>
      </c>
      <c r="V78" s="15">
        <f t="shared" si="23"/>
        <v>220</v>
      </c>
      <c r="W78" s="30" t="str">
        <f t="shared" si="4"/>
        <v>DC</v>
      </c>
      <c r="X78" s="2" t="s">
        <v>244</v>
      </c>
    </row>
    <row r="79" spans="2:24" s="2" customFormat="1" ht="16.5" customHeight="1" thickBot="1">
      <c r="B79" s="31" t="s">
        <v>59</v>
      </c>
      <c r="C79" s="32"/>
      <c r="D79" s="32"/>
      <c r="E79" s="32"/>
      <c r="F79" s="32"/>
      <c r="G79" s="33"/>
      <c r="H79" s="32"/>
      <c r="I79" s="34" t="s">
        <v>24</v>
      </c>
      <c r="J79" s="34" t="s">
        <v>23</v>
      </c>
      <c r="K79" s="34" t="s">
        <v>60</v>
      </c>
      <c r="L79" s="34" t="s">
        <v>16</v>
      </c>
      <c r="M79" s="34" t="s">
        <v>63</v>
      </c>
      <c r="N79" s="32" t="str">
        <f t="shared" si="25"/>
        <v>E6</v>
      </c>
      <c r="O79" s="35" t="str">
        <f t="shared" si="24"/>
        <v>FF01A027001EE6</v>
      </c>
      <c r="P79" s="36" t="s">
        <v>9</v>
      </c>
      <c r="Q79" s="37">
        <f t="shared" si="22"/>
        <v>1</v>
      </c>
      <c r="R79" s="37">
        <f t="shared" si="22"/>
        <v>160</v>
      </c>
      <c r="S79" s="37">
        <f t="shared" si="22"/>
        <v>39</v>
      </c>
      <c r="T79" s="37">
        <f t="shared" si="22"/>
        <v>0</v>
      </c>
      <c r="U79" s="37">
        <f t="shared" si="22"/>
        <v>30</v>
      </c>
      <c r="V79" s="37">
        <f t="shared" si="23"/>
        <v>230</v>
      </c>
      <c r="W79" s="38" t="str">
        <f t="shared" si="4"/>
        <v>E6</v>
      </c>
      <c r="X79" s="2" t="s">
        <v>245</v>
      </c>
    </row>
    <row r="80" spans="2:24" s="2" customFormat="1" ht="16.5" customHeight="1">
      <c r="B80" s="40" t="s">
        <v>135</v>
      </c>
      <c r="C80" s="3"/>
      <c r="D80" s="3"/>
      <c r="E80" s="3"/>
      <c r="F80" s="3"/>
      <c r="G80" s="4"/>
      <c r="H80" s="3"/>
      <c r="I80" s="5" t="s">
        <v>24</v>
      </c>
      <c r="J80" s="3" t="s">
        <v>80</v>
      </c>
      <c r="K80" s="3">
        <v>30</v>
      </c>
      <c r="L80" s="5" t="s">
        <v>16</v>
      </c>
      <c r="M80" s="5" t="s">
        <v>16</v>
      </c>
      <c r="N80" s="3" t="str">
        <f t="shared" si="25"/>
        <v>D2</v>
      </c>
      <c r="O80" s="12" t="str">
        <f t="shared" si="24"/>
        <v>FF01A1300000D2</v>
      </c>
      <c r="P80" s="14" t="s">
        <v>9</v>
      </c>
      <c r="Q80" s="15">
        <f t="shared" ref="Q80:U95" si="26">HEX2DEC(I80)</f>
        <v>1</v>
      </c>
      <c r="R80" s="15">
        <f t="shared" si="26"/>
        <v>161</v>
      </c>
      <c r="S80" s="15">
        <f t="shared" si="26"/>
        <v>48</v>
      </c>
      <c r="T80" s="15">
        <f t="shared" si="26"/>
        <v>0</v>
      </c>
      <c r="U80" s="15">
        <f t="shared" si="26"/>
        <v>0</v>
      </c>
      <c r="V80" s="15">
        <f t="shared" si="23"/>
        <v>210</v>
      </c>
      <c r="W80" s="15" t="str">
        <f t="shared" ref="W80:W102" si="27">REPT("0",2-LEN(RIGHT(DEC2HEX(V80), 2)))&amp;RIGHT(DEC2HEX(V80), 2)</f>
        <v>D2</v>
      </c>
      <c r="X80" s="2" t="s">
        <v>246</v>
      </c>
    </row>
    <row r="81" spans="2:24" s="2" customFormat="1" ht="16.5" customHeight="1">
      <c r="B81" s="3" t="s">
        <v>136</v>
      </c>
      <c r="C81" s="3"/>
      <c r="D81" s="3"/>
      <c r="E81" s="3"/>
      <c r="F81" s="3"/>
      <c r="G81" s="4"/>
      <c r="H81" s="3"/>
      <c r="I81" s="5" t="s">
        <v>24</v>
      </c>
      <c r="J81" s="3" t="s">
        <v>23</v>
      </c>
      <c r="K81" s="3">
        <v>31</v>
      </c>
      <c r="L81" s="5" t="s">
        <v>16</v>
      </c>
      <c r="M81" s="5" t="s">
        <v>16</v>
      </c>
      <c r="N81" s="3" t="str">
        <f t="shared" si="25"/>
        <v>D2</v>
      </c>
      <c r="O81" s="12" t="str">
        <f t="shared" si="24"/>
        <v>FF01A0310000D2</v>
      </c>
      <c r="P81" s="14" t="s">
        <v>9</v>
      </c>
      <c r="Q81" s="15">
        <f t="shared" si="26"/>
        <v>1</v>
      </c>
      <c r="R81" s="15">
        <f t="shared" si="26"/>
        <v>160</v>
      </c>
      <c r="S81" s="15">
        <f t="shared" si="26"/>
        <v>49</v>
      </c>
      <c r="T81" s="15">
        <f t="shared" si="26"/>
        <v>0</v>
      </c>
      <c r="U81" s="15">
        <f t="shared" si="26"/>
        <v>0</v>
      </c>
      <c r="V81" s="15">
        <f t="shared" si="23"/>
        <v>210</v>
      </c>
      <c r="W81" s="15" t="str">
        <f t="shared" si="27"/>
        <v>D2</v>
      </c>
      <c r="X81" s="2" t="s">
        <v>247</v>
      </c>
    </row>
    <row r="82" spans="2:24" s="2" customFormat="1" ht="16.5" customHeight="1">
      <c r="B82" s="3" t="s">
        <v>137</v>
      </c>
      <c r="C82" s="3"/>
      <c r="D82" s="3"/>
      <c r="E82" s="3"/>
      <c r="F82" s="3"/>
      <c r="G82" s="4"/>
      <c r="H82" s="3"/>
      <c r="I82" s="5" t="s">
        <v>24</v>
      </c>
      <c r="J82" s="3" t="s">
        <v>23</v>
      </c>
      <c r="K82" s="3">
        <v>31</v>
      </c>
      <c r="L82" s="5" t="s">
        <v>16</v>
      </c>
      <c r="M82" s="5" t="s">
        <v>24</v>
      </c>
      <c r="N82" s="3" t="str">
        <f t="shared" si="25"/>
        <v>D3</v>
      </c>
      <c r="O82" s="12" t="str">
        <f t="shared" si="24"/>
        <v>FF01A0310001D3</v>
      </c>
      <c r="P82" s="14" t="s">
        <v>9</v>
      </c>
      <c r="Q82" s="15">
        <f t="shared" si="26"/>
        <v>1</v>
      </c>
      <c r="R82" s="15">
        <f t="shared" si="26"/>
        <v>160</v>
      </c>
      <c r="S82" s="15">
        <f t="shared" si="26"/>
        <v>49</v>
      </c>
      <c r="T82" s="15">
        <f t="shared" si="26"/>
        <v>0</v>
      </c>
      <c r="U82" s="15">
        <f t="shared" si="26"/>
        <v>1</v>
      </c>
      <c r="V82" s="15">
        <f t="shared" si="23"/>
        <v>211</v>
      </c>
      <c r="W82" s="15" t="str">
        <f t="shared" si="27"/>
        <v>D3</v>
      </c>
      <c r="X82" s="2" t="s">
        <v>248</v>
      </c>
    </row>
    <row r="83" spans="2:24" s="2" customFormat="1" ht="16.5" customHeight="1">
      <c r="B83" s="3" t="s">
        <v>138</v>
      </c>
      <c r="C83" s="3"/>
      <c r="D83" s="3"/>
      <c r="E83" s="3"/>
      <c r="F83" s="3"/>
      <c r="G83" s="4"/>
      <c r="H83" s="3"/>
      <c r="I83" s="5" t="s">
        <v>24</v>
      </c>
      <c r="J83" s="3" t="s">
        <v>23</v>
      </c>
      <c r="K83" s="3">
        <v>32</v>
      </c>
      <c r="L83" s="5" t="s">
        <v>16</v>
      </c>
      <c r="M83" s="5" t="s">
        <v>16</v>
      </c>
      <c r="N83" s="3" t="str">
        <f t="shared" si="25"/>
        <v>D3</v>
      </c>
      <c r="O83" s="12" t="str">
        <f t="shared" si="24"/>
        <v>FF01A0320000D3</v>
      </c>
      <c r="P83" s="14" t="s">
        <v>9</v>
      </c>
      <c r="Q83" s="15">
        <f t="shared" si="26"/>
        <v>1</v>
      </c>
      <c r="R83" s="15">
        <f t="shared" si="26"/>
        <v>160</v>
      </c>
      <c r="S83" s="15">
        <f t="shared" si="26"/>
        <v>50</v>
      </c>
      <c r="T83" s="15">
        <f t="shared" si="26"/>
        <v>0</v>
      </c>
      <c r="U83" s="15">
        <f t="shared" si="26"/>
        <v>0</v>
      </c>
      <c r="V83" s="15">
        <f t="shared" si="23"/>
        <v>211</v>
      </c>
      <c r="W83" s="15" t="str">
        <f t="shared" si="27"/>
        <v>D3</v>
      </c>
      <c r="X83" s="2" t="s">
        <v>249</v>
      </c>
    </row>
    <row r="84" spans="2:24" s="2" customFormat="1" ht="16.5" customHeight="1">
      <c r="B84" s="3" t="s">
        <v>139</v>
      </c>
      <c r="C84" s="3"/>
      <c r="D84" s="3"/>
      <c r="E84" s="3"/>
      <c r="F84" s="3"/>
      <c r="G84" s="4"/>
      <c r="H84" s="3"/>
      <c r="I84" s="5" t="s">
        <v>24</v>
      </c>
      <c r="J84" s="3" t="s">
        <v>23</v>
      </c>
      <c r="K84" s="3">
        <v>32</v>
      </c>
      <c r="L84" s="5" t="s">
        <v>16</v>
      </c>
      <c r="M84" s="5" t="s">
        <v>140</v>
      </c>
      <c r="N84" s="3" t="str">
        <f t="shared" si="25"/>
        <v>FB</v>
      </c>
      <c r="O84" s="12" t="str">
        <f t="shared" si="24"/>
        <v>FF01A0320028FB</v>
      </c>
      <c r="P84" s="14" t="s">
        <v>9</v>
      </c>
      <c r="Q84" s="15">
        <f t="shared" si="26"/>
        <v>1</v>
      </c>
      <c r="R84" s="15">
        <f t="shared" si="26"/>
        <v>160</v>
      </c>
      <c r="S84" s="15">
        <f t="shared" si="26"/>
        <v>50</v>
      </c>
      <c r="T84" s="15">
        <f t="shared" si="26"/>
        <v>0</v>
      </c>
      <c r="U84" s="15">
        <f t="shared" si="26"/>
        <v>40</v>
      </c>
      <c r="V84" s="15">
        <f t="shared" si="23"/>
        <v>251</v>
      </c>
      <c r="W84" s="15" t="str">
        <f t="shared" si="27"/>
        <v>FB</v>
      </c>
      <c r="X84" s="2" t="s">
        <v>250</v>
      </c>
    </row>
    <row r="85" spans="2:24" s="2" customFormat="1" ht="16.5" customHeight="1">
      <c r="B85" s="3" t="s">
        <v>141</v>
      </c>
      <c r="C85" s="3"/>
      <c r="D85" s="3"/>
      <c r="E85" s="3"/>
      <c r="F85" s="3"/>
      <c r="G85" s="4"/>
      <c r="H85" s="3"/>
      <c r="I85" s="5" t="s">
        <v>24</v>
      </c>
      <c r="J85" s="3" t="s">
        <v>23</v>
      </c>
      <c r="K85" s="3">
        <v>33</v>
      </c>
      <c r="L85" s="5" t="s">
        <v>16</v>
      </c>
      <c r="M85" s="5" t="s">
        <v>16</v>
      </c>
      <c r="N85" s="3" t="str">
        <f t="shared" si="25"/>
        <v>D4</v>
      </c>
      <c r="O85" s="12" t="str">
        <f t="shared" si="24"/>
        <v>FF01A0330000D4</v>
      </c>
      <c r="P85" s="14" t="s">
        <v>9</v>
      </c>
      <c r="Q85" s="15">
        <f t="shared" si="26"/>
        <v>1</v>
      </c>
      <c r="R85" s="15">
        <f t="shared" si="26"/>
        <v>160</v>
      </c>
      <c r="S85" s="15">
        <f t="shared" si="26"/>
        <v>51</v>
      </c>
      <c r="T85" s="15">
        <f t="shared" si="26"/>
        <v>0</v>
      </c>
      <c r="U85" s="15">
        <f t="shared" si="26"/>
        <v>0</v>
      </c>
      <c r="V85" s="15">
        <f t="shared" si="23"/>
        <v>212</v>
      </c>
      <c r="W85" s="15" t="str">
        <f t="shared" si="27"/>
        <v>D4</v>
      </c>
      <c r="X85" s="2" t="s">
        <v>251</v>
      </c>
    </row>
    <row r="86" spans="2:24" s="2" customFormat="1" ht="16.5" customHeight="1">
      <c r="B86" s="3" t="s">
        <v>142</v>
      </c>
      <c r="C86" s="3"/>
      <c r="D86" s="3"/>
      <c r="E86" s="3"/>
      <c r="F86" s="3"/>
      <c r="G86" s="4"/>
      <c r="H86" s="3"/>
      <c r="I86" s="5" t="s">
        <v>24</v>
      </c>
      <c r="J86" s="3" t="s">
        <v>23</v>
      </c>
      <c r="K86" s="3">
        <v>33</v>
      </c>
      <c r="L86" s="5" t="s">
        <v>16</v>
      </c>
      <c r="M86" s="5" t="s">
        <v>140</v>
      </c>
      <c r="N86" s="3" t="str">
        <f t="shared" si="25"/>
        <v>FC</v>
      </c>
      <c r="O86" s="12" t="str">
        <f t="shared" si="24"/>
        <v>FF01A0330028FC</v>
      </c>
      <c r="P86" s="14" t="s">
        <v>9</v>
      </c>
      <c r="Q86" s="15">
        <f t="shared" si="26"/>
        <v>1</v>
      </c>
      <c r="R86" s="15">
        <f t="shared" si="26"/>
        <v>160</v>
      </c>
      <c r="S86" s="15">
        <f t="shared" si="26"/>
        <v>51</v>
      </c>
      <c r="T86" s="15">
        <f t="shared" si="26"/>
        <v>0</v>
      </c>
      <c r="U86" s="15">
        <f t="shared" si="26"/>
        <v>40</v>
      </c>
      <c r="V86" s="15">
        <f t="shared" si="23"/>
        <v>252</v>
      </c>
      <c r="W86" s="15" t="str">
        <f t="shared" si="27"/>
        <v>FC</v>
      </c>
      <c r="X86" s="2" t="s">
        <v>252</v>
      </c>
    </row>
    <row r="87" spans="2:24" s="2" customFormat="1" ht="16.5" customHeight="1">
      <c r="B87" s="3" t="s">
        <v>143</v>
      </c>
      <c r="C87" s="3"/>
      <c r="D87" s="3"/>
      <c r="E87" s="3"/>
      <c r="F87" s="3"/>
      <c r="G87" s="4"/>
      <c r="H87" s="3"/>
      <c r="I87" s="5" t="s">
        <v>24</v>
      </c>
      <c r="J87" s="3" t="s">
        <v>23</v>
      </c>
      <c r="K87" s="3">
        <v>34</v>
      </c>
      <c r="L87" s="5" t="s">
        <v>16</v>
      </c>
      <c r="M87" s="5" t="s">
        <v>16</v>
      </c>
      <c r="N87" s="3" t="str">
        <f t="shared" si="25"/>
        <v>D5</v>
      </c>
      <c r="O87" s="12" t="str">
        <f t="shared" si="24"/>
        <v>FF01A0340000D5</v>
      </c>
      <c r="P87" s="14" t="s">
        <v>9</v>
      </c>
      <c r="Q87" s="15">
        <f t="shared" si="26"/>
        <v>1</v>
      </c>
      <c r="R87" s="15">
        <f t="shared" si="26"/>
        <v>160</v>
      </c>
      <c r="S87" s="15">
        <f t="shared" si="26"/>
        <v>52</v>
      </c>
      <c r="T87" s="15">
        <f t="shared" si="26"/>
        <v>0</v>
      </c>
      <c r="U87" s="15">
        <f t="shared" si="26"/>
        <v>0</v>
      </c>
      <c r="V87" s="15">
        <f t="shared" si="23"/>
        <v>213</v>
      </c>
      <c r="W87" s="15" t="str">
        <f t="shared" si="27"/>
        <v>D5</v>
      </c>
      <c r="X87" s="2" t="s">
        <v>253</v>
      </c>
    </row>
    <row r="88" spans="2:24" s="2" customFormat="1" ht="16.5" customHeight="1">
      <c r="B88" s="3" t="s">
        <v>144</v>
      </c>
      <c r="C88" s="3"/>
      <c r="D88" s="3"/>
      <c r="E88" s="3"/>
      <c r="F88" s="3"/>
      <c r="G88" s="4"/>
      <c r="H88" s="3"/>
      <c r="I88" s="5" t="s">
        <v>24</v>
      </c>
      <c r="J88" s="3" t="s">
        <v>23</v>
      </c>
      <c r="K88" s="3">
        <v>34</v>
      </c>
      <c r="L88" s="5" t="s">
        <v>16</v>
      </c>
      <c r="M88" s="5" t="s">
        <v>24</v>
      </c>
      <c r="N88" s="3" t="str">
        <f t="shared" si="25"/>
        <v>D6</v>
      </c>
      <c r="O88" s="12" t="str">
        <f t="shared" si="24"/>
        <v>FF01A0340001D6</v>
      </c>
      <c r="P88" s="14" t="s">
        <v>9</v>
      </c>
      <c r="Q88" s="15">
        <f t="shared" si="26"/>
        <v>1</v>
      </c>
      <c r="R88" s="15">
        <f t="shared" si="26"/>
        <v>160</v>
      </c>
      <c r="S88" s="15">
        <f t="shared" si="26"/>
        <v>52</v>
      </c>
      <c r="T88" s="15">
        <f t="shared" si="26"/>
        <v>0</v>
      </c>
      <c r="U88" s="15">
        <f t="shared" si="26"/>
        <v>1</v>
      </c>
      <c r="V88" s="15">
        <f t="shared" si="23"/>
        <v>214</v>
      </c>
      <c r="W88" s="15" t="str">
        <f t="shared" si="27"/>
        <v>D6</v>
      </c>
      <c r="X88" s="2" t="s">
        <v>254</v>
      </c>
    </row>
    <row r="89" spans="2:24" s="2" customFormat="1" ht="16.5" customHeight="1">
      <c r="B89" s="3" t="s">
        <v>25</v>
      </c>
      <c r="C89" s="3"/>
      <c r="D89" s="3"/>
      <c r="E89" s="3"/>
      <c r="F89" s="3"/>
      <c r="G89" s="4"/>
      <c r="H89" s="3"/>
      <c r="I89" s="5" t="s">
        <v>24</v>
      </c>
      <c r="J89" s="3" t="s">
        <v>23</v>
      </c>
      <c r="K89" s="3">
        <v>35</v>
      </c>
      <c r="L89" s="5" t="s">
        <v>16</v>
      </c>
      <c r="M89" s="5" t="s">
        <v>16</v>
      </c>
      <c r="N89" s="3" t="str">
        <f t="shared" si="25"/>
        <v>D6</v>
      </c>
      <c r="O89" s="12" t="str">
        <f t="shared" si="24"/>
        <v>FF01A0350000D6</v>
      </c>
      <c r="P89" s="14" t="s">
        <v>9</v>
      </c>
      <c r="Q89" s="15">
        <f t="shared" si="26"/>
        <v>1</v>
      </c>
      <c r="R89" s="15">
        <f t="shared" si="26"/>
        <v>160</v>
      </c>
      <c r="S89" s="15">
        <f t="shared" si="26"/>
        <v>53</v>
      </c>
      <c r="T89" s="15">
        <f t="shared" si="26"/>
        <v>0</v>
      </c>
      <c r="U89" s="15">
        <f t="shared" si="26"/>
        <v>0</v>
      </c>
      <c r="V89" s="15">
        <f t="shared" si="23"/>
        <v>214</v>
      </c>
      <c r="W89" s="15" t="str">
        <f t="shared" si="27"/>
        <v>D6</v>
      </c>
      <c r="X89" s="2" t="s">
        <v>255</v>
      </c>
    </row>
    <row r="90" spans="2:24" s="2" customFormat="1" ht="16.5" customHeight="1">
      <c r="B90" s="3" t="s">
        <v>26</v>
      </c>
      <c r="C90" s="3"/>
      <c r="D90" s="3"/>
      <c r="E90" s="3"/>
      <c r="F90" s="3"/>
      <c r="G90" s="4"/>
      <c r="H90" s="3"/>
      <c r="I90" s="5" t="s">
        <v>24</v>
      </c>
      <c r="J90" s="3" t="s">
        <v>23</v>
      </c>
      <c r="K90" s="3">
        <v>35</v>
      </c>
      <c r="L90" s="5" t="s">
        <v>16</v>
      </c>
      <c r="M90" s="5" t="s">
        <v>24</v>
      </c>
      <c r="N90" s="3" t="str">
        <f t="shared" si="25"/>
        <v>D7</v>
      </c>
      <c r="O90" s="12" t="str">
        <f t="shared" si="24"/>
        <v>FF01A0350001D7</v>
      </c>
      <c r="P90" s="14" t="s">
        <v>9</v>
      </c>
      <c r="Q90" s="15">
        <f t="shared" si="26"/>
        <v>1</v>
      </c>
      <c r="R90" s="15">
        <f t="shared" si="26"/>
        <v>160</v>
      </c>
      <c r="S90" s="15">
        <f t="shared" si="26"/>
        <v>53</v>
      </c>
      <c r="T90" s="15">
        <f t="shared" si="26"/>
        <v>0</v>
      </c>
      <c r="U90" s="15">
        <f t="shared" si="26"/>
        <v>1</v>
      </c>
      <c r="V90" s="15">
        <f t="shared" si="23"/>
        <v>215</v>
      </c>
      <c r="W90" s="15" t="str">
        <f t="shared" si="27"/>
        <v>D7</v>
      </c>
      <c r="X90" s="2" t="s">
        <v>256</v>
      </c>
    </row>
    <row r="91" spans="2:24" s="2" customFormat="1" ht="16.5" customHeight="1">
      <c r="B91" s="16" t="s">
        <v>27</v>
      </c>
      <c r="C91" s="16"/>
      <c r="D91" s="16"/>
      <c r="E91" s="16"/>
      <c r="F91" s="16"/>
      <c r="G91" s="17"/>
      <c r="H91" s="16"/>
      <c r="I91" s="18" t="s">
        <v>24</v>
      </c>
      <c r="J91" s="16" t="s">
        <v>23</v>
      </c>
      <c r="K91" s="16">
        <v>35</v>
      </c>
      <c r="L91" s="18" t="s">
        <v>16</v>
      </c>
      <c r="M91" s="18" t="s">
        <v>17</v>
      </c>
      <c r="N91" s="16" t="str">
        <f t="shared" si="25"/>
        <v>D8</v>
      </c>
      <c r="O91" s="19" t="str">
        <f t="shared" si="24"/>
        <v>FF01A0350002D8</v>
      </c>
      <c r="P91" s="20" t="s">
        <v>9</v>
      </c>
      <c r="Q91" s="21">
        <f t="shared" si="26"/>
        <v>1</v>
      </c>
      <c r="R91" s="21">
        <f t="shared" si="26"/>
        <v>160</v>
      </c>
      <c r="S91" s="21">
        <f t="shared" si="26"/>
        <v>53</v>
      </c>
      <c r="T91" s="21">
        <f t="shared" si="26"/>
        <v>0</v>
      </c>
      <c r="U91" s="21">
        <f t="shared" si="26"/>
        <v>2</v>
      </c>
      <c r="V91" s="21">
        <f t="shared" si="23"/>
        <v>216</v>
      </c>
      <c r="W91" s="21" t="str">
        <f t="shared" si="27"/>
        <v>D8</v>
      </c>
      <c r="X91" s="2" t="s">
        <v>257</v>
      </c>
    </row>
    <row r="92" spans="2:24" s="2" customFormat="1" ht="16.5" customHeight="1">
      <c r="B92" s="16" t="s">
        <v>145</v>
      </c>
      <c r="C92" s="16"/>
      <c r="D92" s="16"/>
      <c r="E92" s="16"/>
      <c r="F92" s="16"/>
      <c r="G92" s="17"/>
      <c r="H92" s="16"/>
      <c r="I92" s="18" t="s">
        <v>24</v>
      </c>
      <c r="J92" s="16" t="s">
        <v>23</v>
      </c>
      <c r="K92" s="16">
        <v>36</v>
      </c>
      <c r="L92" s="18" t="s">
        <v>16</v>
      </c>
      <c r="M92" s="18" t="s">
        <v>16</v>
      </c>
      <c r="N92" s="16" t="str">
        <f t="shared" si="25"/>
        <v>D7</v>
      </c>
      <c r="O92" s="19" t="str">
        <f t="shared" si="24"/>
        <v>FF01A0360000D7</v>
      </c>
      <c r="P92" s="20" t="s">
        <v>9</v>
      </c>
      <c r="Q92" s="21">
        <f t="shared" si="26"/>
        <v>1</v>
      </c>
      <c r="R92" s="21">
        <f t="shared" si="26"/>
        <v>160</v>
      </c>
      <c r="S92" s="21">
        <f t="shared" si="26"/>
        <v>54</v>
      </c>
      <c r="T92" s="21">
        <f t="shared" si="26"/>
        <v>0</v>
      </c>
      <c r="U92" s="21">
        <f t="shared" si="26"/>
        <v>0</v>
      </c>
      <c r="V92" s="21">
        <f t="shared" si="23"/>
        <v>215</v>
      </c>
      <c r="W92" s="21" t="str">
        <f t="shared" si="27"/>
        <v>D7</v>
      </c>
      <c r="X92" s="2" t="s">
        <v>258</v>
      </c>
    </row>
    <row r="93" spans="2:24" s="2" customFormat="1" ht="16.5" customHeight="1">
      <c r="B93" s="16" t="s">
        <v>146</v>
      </c>
      <c r="C93" s="16"/>
      <c r="D93" s="16"/>
      <c r="E93" s="16"/>
      <c r="F93" s="16"/>
      <c r="G93" s="17"/>
      <c r="H93" s="16"/>
      <c r="I93" s="18" t="s">
        <v>24</v>
      </c>
      <c r="J93" s="16" t="s">
        <v>23</v>
      </c>
      <c r="K93" s="16">
        <v>36</v>
      </c>
      <c r="L93" s="18" t="s">
        <v>16</v>
      </c>
      <c r="M93" s="18" t="s">
        <v>24</v>
      </c>
      <c r="N93" s="16" t="str">
        <f t="shared" si="25"/>
        <v>D8</v>
      </c>
      <c r="O93" s="19" t="str">
        <f t="shared" si="24"/>
        <v>FF01A0360001D8</v>
      </c>
      <c r="P93" s="20" t="s">
        <v>9</v>
      </c>
      <c r="Q93" s="21">
        <f t="shared" si="26"/>
        <v>1</v>
      </c>
      <c r="R93" s="21">
        <f t="shared" si="26"/>
        <v>160</v>
      </c>
      <c r="S93" s="21">
        <f t="shared" si="26"/>
        <v>54</v>
      </c>
      <c r="T93" s="21">
        <f t="shared" si="26"/>
        <v>0</v>
      </c>
      <c r="U93" s="21">
        <f t="shared" si="26"/>
        <v>1</v>
      </c>
      <c r="V93" s="21">
        <f t="shared" si="23"/>
        <v>216</v>
      </c>
      <c r="W93" s="21" t="str">
        <f t="shared" si="27"/>
        <v>D8</v>
      </c>
      <c r="X93" s="2" t="s">
        <v>259</v>
      </c>
    </row>
    <row r="94" spans="2:24" s="2" customFormat="1" ht="16.5" customHeight="1">
      <c r="B94" s="16" t="s">
        <v>147</v>
      </c>
      <c r="C94" s="16"/>
      <c r="D94" s="16"/>
      <c r="E94" s="16"/>
      <c r="F94" s="16"/>
      <c r="G94" s="17"/>
      <c r="H94" s="16"/>
      <c r="I94" s="18" t="s">
        <v>24</v>
      </c>
      <c r="J94" s="16" t="s">
        <v>23</v>
      </c>
      <c r="K94" s="16">
        <v>36</v>
      </c>
      <c r="L94" s="18" t="s">
        <v>16</v>
      </c>
      <c r="M94" s="18" t="s">
        <v>17</v>
      </c>
      <c r="N94" s="16" t="str">
        <f t="shared" si="25"/>
        <v>D9</v>
      </c>
      <c r="O94" s="19" t="str">
        <f t="shared" si="24"/>
        <v>FF01A0360002D9</v>
      </c>
      <c r="P94" s="20" t="s">
        <v>9</v>
      </c>
      <c r="Q94" s="21">
        <f t="shared" si="26"/>
        <v>1</v>
      </c>
      <c r="R94" s="21">
        <f t="shared" si="26"/>
        <v>160</v>
      </c>
      <c r="S94" s="21">
        <f t="shared" si="26"/>
        <v>54</v>
      </c>
      <c r="T94" s="21">
        <f t="shared" si="26"/>
        <v>0</v>
      </c>
      <c r="U94" s="21">
        <f t="shared" si="26"/>
        <v>2</v>
      </c>
      <c r="V94" s="21">
        <f t="shared" si="23"/>
        <v>217</v>
      </c>
      <c r="W94" s="21" t="str">
        <f t="shared" si="27"/>
        <v>D9</v>
      </c>
      <c r="X94" s="2" t="s">
        <v>260</v>
      </c>
    </row>
    <row r="95" spans="2:24" s="2" customFormat="1" ht="16.5" customHeight="1">
      <c r="B95" s="16" t="s">
        <v>148</v>
      </c>
      <c r="C95" s="16"/>
      <c r="D95" s="16"/>
      <c r="E95" s="16"/>
      <c r="F95" s="16"/>
      <c r="G95" s="17"/>
      <c r="H95" s="16"/>
      <c r="I95" s="18" t="s">
        <v>24</v>
      </c>
      <c r="J95" s="16" t="s">
        <v>23</v>
      </c>
      <c r="K95" s="16">
        <v>36</v>
      </c>
      <c r="L95" s="18" t="s">
        <v>16</v>
      </c>
      <c r="M95" s="18" t="s">
        <v>91</v>
      </c>
      <c r="N95" s="16" t="str">
        <f t="shared" si="25"/>
        <v>DA</v>
      </c>
      <c r="O95" s="19" t="str">
        <f t="shared" si="24"/>
        <v>FF01A0360003DA</v>
      </c>
      <c r="P95" s="20" t="s">
        <v>9</v>
      </c>
      <c r="Q95" s="21">
        <f t="shared" si="26"/>
        <v>1</v>
      </c>
      <c r="R95" s="21">
        <f t="shared" si="26"/>
        <v>160</v>
      </c>
      <c r="S95" s="21">
        <f t="shared" si="26"/>
        <v>54</v>
      </c>
      <c r="T95" s="21">
        <f t="shared" si="26"/>
        <v>0</v>
      </c>
      <c r="U95" s="21">
        <f t="shared" si="26"/>
        <v>3</v>
      </c>
      <c r="V95" s="21">
        <f t="shared" si="23"/>
        <v>218</v>
      </c>
      <c r="W95" s="21" t="str">
        <f t="shared" si="27"/>
        <v>DA</v>
      </c>
      <c r="X95" s="2" t="s">
        <v>261</v>
      </c>
    </row>
    <row r="96" spans="2:24" s="2" customFormat="1" ht="16.5" customHeight="1">
      <c r="B96" s="16" t="s">
        <v>149</v>
      </c>
      <c r="C96" s="16"/>
      <c r="D96" s="16"/>
      <c r="E96" s="16"/>
      <c r="F96" s="16"/>
      <c r="G96" s="17"/>
      <c r="H96" s="16"/>
      <c r="I96" s="18" t="s">
        <v>24</v>
      </c>
      <c r="J96" s="16" t="s">
        <v>80</v>
      </c>
      <c r="K96" s="16">
        <v>40</v>
      </c>
      <c r="L96" s="18" t="s">
        <v>16</v>
      </c>
      <c r="M96" s="18" t="s">
        <v>16</v>
      </c>
      <c r="N96" s="16" t="str">
        <f t="shared" si="25"/>
        <v>E2</v>
      </c>
      <c r="O96" s="19" t="str">
        <f t="shared" si="24"/>
        <v>FF01A1400000E2</v>
      </c>
      <c r="P96" s="20" t="s">
        <v>9</v>
      </c>
      <c r="Q96" s="21">
        <f t="shared" ref="Q96:U102" si="28">HEX2DEC(I96)</f>
        <v>1</v>
      </c>
      <c r="R96" s="21">
        <f t="shared" si="28"/>
        <v>161</v>
      </c>
      <c r="S96" s="21">
        <f t="shared" si="28"/>
        <v>64</v>
      </c>
      <c r="T96" s="21">
        <f t="shared" si="28"/>
        <v>0</v>
      </c>
      <c r="U96" s="21">
        <f t="shared" si="28"/>
        <v>0</v>
      </c>
      <c r="V96" s="21">
        <f t="shared" si="23"/>
        <v>226</v>
      </c>
      <c r="W96" s="21" t="str">
        <f t="shared" si="27"/>
        <v>E2</v>
      </c>
      <c r="X96" s="2" t="s">
        <v>262</v>
      </c>
    </row>
    <row r="97" spans="2:24" s="2" customFormat="1" ht="16.5" customHeight="1">
      <c r="B97" s="16" t="s">
        <v>150</v>
      </c>
      <c r="C97" s="16"/>
      <c r="D97" s="16"/>
      <c r="E97" s="16"/>
      <c r="F97" s="16"/>
      <c r="G97" s="17"/>
      <c r="H97" s="16"/>
      <c r="I97" s="18" t="s">
        <v>24</v>
      </c>
      <c r="J97" s="16" t="s">
        <v>23</v>
      </c>
      <c r="K97" s="16">
        <v>41</v>
      </c>
      <c r="L97" s="18" t="s">
        <v>16</v>
      </c>
      <c r="M97" s="18" t="s">
        <v>16</v>
      </c>
      <c r="N97" s="16" t="str">
        <f t="shared" si="25"/>
        <v>E2</v>
      </c>
      <c r="O97" s="19" t="str">
        <f t="shared" si="24"/>
        <v>FF01A0410000E2</v>
      </c>
      <c r="P97" s="20" t="s">
        <v>9</v>
      </c>
      <c r="Q97" s="21">
        <f t="shared" si="28"/>
        <v>1</v>
      </c>
      <c r="R97" s="21">
        <f t="shared" si="28"/>
        <v>160</v>
      </c>
      <c r="S97" s="21">
        <f t="shared" si="28"/>
        <v>65</v>
      </c>
      <c r="T97" s="21">
        <f t="shared" si="28"/>
        <v>0</v>
      </c>
      <c r="U97" s="21">
        <f t="shared" si="28"/>
        <v>0</v>
      </c>
      <c r="V97" s="21">
        <f t="shared" si="23"/>
        <v>226</v>
      </c>
      <c r="W97" s="21" t="str">
        <f t="shared" si="27"/>
        <v>E2</v>
      </c>
      <c r="X97" s="2" t="s">
        <v>263</v>
      </c>
    </row>
    <row r="98" spans="2:24" s="2" customFormat="1" ht="16.5" customHeight="1">
      <c r="B98" s="16" t="s">
        <v>151</v>
      </c>
      <c r="C98" s="16"/>
      <c r="D98" s="16"/>
      <c r="E98" s="16"/>
      <c r="F98" s="16"/>
      <c r="G98" s="17"/>
      <c r="H98" s="16"/>
      <c r="I98" s="18" t="s">
        <v>24</v>
      </c>
      <c r="J98" s="16" t="s">
        <v>23</v>
      </c>
      <c r="K98" s="16">
        <v>42</v>
      </c>
      <c r="L98" s="18" t="s">
        <v>16</v>
      </c>
      <c r="M98" s="18" t="s">
        <v>16</v>
      </c>
      <c r="N98" s="16" t="str">
        <f t="shared" si="25"/>
        <v>E3</v>
      </c>
      <c r="O98" s="19" t="str">
        <f t="shared" si="24"/>
        <v>FF01A0420000E3</v>
      </c>
      <c r="P98" s="20" t="s">
        <v>9</v>
      </c>
      <c r="Q98" s="21">
        <f t="shared" si="28"/>
        <v>1</v>
      </c>
      <c r="R98" s="21">
        <f t="shared" si="28"/>
        <v>160</v>
      </c>
      <c r="S98" s="21">
        <f t="shared" si="28"/>
        <v>66</v>
      </c>
      <c r="T98" s="21">
        <f t="shared" si="28"/>
        <v>0</v>
      </c>
      <c r="U98" s="21">
        <f t="shared" si="28"/>
        <v>0</v>
      </c>
      <c r="V98" s="21">
        <f t="shared" si="23"/>
        <v>227</v>
      </c>
      <c r="W98" s="21" t="str">
        <f t="shared" si="27"/>
        <v>E3</v>
      </c>
      <c r="X98" s="2" t="s">
        <v>264</v>
      </c>
    </row>
    <row r="99" spans="2:24" s="2" customFormat="1" ht="16.5" customHeight="1">
      <c r="B99" s="16" t="s">
        <v>152</v>
      </c>
      <c r="C99" s="16"/>
      <c r="D99" s="16"/>
      <c r="E99" s="16"/>
      <c r="F99" s="16"/>
      <c r="G99" s="17"/>
      <c r="H99" s="16"/>
      <c r="I99" s="18" t="s">
        <v>24</v>
      </c>
      <c r="J99" s="16" t="s">
        <v>23</v>
      </c>
      <c r="K99" s="16">
        <v>42</v>
      </c>
      <c r="L99" s="18" t="s">
        <v>16</v>
      </c>
      <c r="M99" s="18" t="s">
        <v>24</v>
      </c>
      <c r="N99" s="16" t="str">
        <f t="shared" si="25"/>
        <v>E4</v>
      </c>
      <c r="O99" s="19" t="str">
        <f t="shared" si="24"/>
        <v>FF01A0420001E4</v>
      </c>
      <c r="P99" s="20" t="s">
        <v>9</v>
      </c>
      <c r="Q99" s="21">
        <f t="shared" si="28"/>
        <v>1</v>
      </c>
      <c r="R99" s="21">
        <f t="shared" si="28"/>
        <v>160</v>
      </c>
      <c r="S99" s="21">
        <f t="shared" si="28"/>
        <v>66</v>
      </c>
      <c r="T99" s="21">
        <f t="shared" si="28"/>
        <v>0</v>
      </c>
      <c r="U99" s="21">
        <f t="shared" si="28"/>
        <v>1</v>
      </c>
      <c r="V99" s="21">
        <f t="shared" si="23"/>
        <v>228</v>
      </c>
      <c r="W99" s="21" t="str">
        <f t="shared" si="27"/>
        <v>E4</v>
      </c>
      <c r="X99" s="2" t="s">
        <v>265</v>
      </c>
    </row>
    <row r="100" spans="2:24" s="2" customFormat="1" ht="16.5" customHeight="1">
      <c r="B100" s="16" t="s">
        <v>153</v>
      </c>
      <c r="C100" s="16"/>
      <c r="D100" s="16"/>
      <c r="E100" s="16"/>
      <c r="F100" s="16"/>
      <c r="G100" s="17"/>
      <c r="H100" s="16"/>
      <c r="I100" s="18" t="s">
        <v>24</v>
      </c>
      <c r="J100" s="16" t="s">
        <v>23</v>
      </c>
      <c r="K100" s="16">
        <v>42</v>
      </c>
      <c r="L100" s="18" t="s">
        <v>16</v>
      </c>
      <c r="M100" s="18" t="s">
        <v>17</v>
      </c>
      <c r="N100" s="16" t="str">
        <f t="shared" si="25"/>
        <v>E5</v>
      </c>
      <c r="O100" s="19" t="str">
        <f t="shared" si="24"/>
        <v>FF01A0420002E5</v>
      </c>
      <c r="P100" s="20" t="s">
        <v>9</v>
      </c>
      <c r="Q100" s="21">
        <f t="shared" si="28"/>
        <v>1</v>
      </c>
      <c r="R100" s="21">
        <f t="shared" si="28"/>
        <v>160</v>
      </c>
      <c r="S100" s="21">
        <f t="shared" si="28"/>
        <v>66</v>
      </c>
      <c r="T100" s="21">
        <f t="shared" si="28"/>
        <v>0</v>
      </c>
      <c r="U100" s="21">
        <f t="shared" si="28"/>
        <v>2</v>
      </c>
      <c r="V100" s="21">
        <f t="shared" si="23"/>
        <v>229</v>
      </c>
      <c r="W100" s="21" t="str">
        <f t="shared" si="27"/>
        <v>E5</v>
      </c>
      <c r="X100" s="2" t="s">
        <v>266</v>
      </c>
    </row>
    <row r="101" spans="2:24" s="2" customFormat="1" ht="16.5" customHeight="1">
      <c r="B101" s="16" t="s">
        <v>154</v>
      </c>
      <c r="C101" s="16"/>
      <c r="D101" s="16"/>
      <c r="E101" s="16"/>
      <c r="F101" s="16"/>
      <c r="G101" s="17"/>
      <c r="H101" s="16"/>
      <c r="I101" s="18" t="s">
        <v>24</v>
      </c>
      <c r="J101" s="16" t="s">
        <v>23</v>
      </c>
      <c r="K101" s="16">
        <v>43</v>
      </c>
      <c r="L101" s="18" t="s">
        <v>16</v>
      </c>
      <c r="M101" s="18" t="s">
        <v>24</v>
      </c>
      <c r="N101" s="16" t="str">
        <f t="shared" si="25"/>
        <v>E5</v>
      </c>
      <c r="O101" s="19" t="str">
        <f t="shared" si="24"/>
        <v>FF01A0430001E5</v>
      </c>
      <c r="P101" s="20" t="s">
        <v>9</v>
      </c>
      <c r="Q101" s="21">
        <f t="shared" si="28"/>
        <v>1</v>
      </c>
      <c r="R101" s="21">
        <f t="shared" si="28"/>
        <v>160</v>
      </c>
      <c r="S101" s="21">
        <f t="shared" si="28"/>
        <v>67</v>
      </c>
      <c r="T101" s="21">
        <f t="shared" si="28"/>
        <v>0</v>
      </c>
      <c r="U101" s="21">
        <f t="shared" si="28"/>
        <v>1</v>
      </c>
      <c r="V101" s="21">
        <f t="shared" si="23"/>
        <v>229</v>
      </c>
      <c r="W101" s="21" t="str">
        <f t="shared" si="27"/>
        <v>E5</v>
      </c>
      <c r="X101" s="2" t="s">
        <v>267</v>
      </c>
    </row>
    <row r="102" spans="2:24" s="2" customFormat="1" ht="16.5" customHeight="1">
      <c r="B102" s="16" t="s">
        <v>155</v>
      </c>
      <c r="C102" s="16"/>
      <c r="D102" s="16"/>
      <c r="E102" s="16"/>
      <c r="F102" s="16"/>
      <c r="G102" s="17"/>
      <c r="H102" s="16"/>
      <c r="I102" s="18" t="s">
        <v>24</v>
      </c>
      <c r="J102" s="16" t="s">
        <v>23</v>
      </c>
      <c r="K102" s="16">
        <v>43</v>
      </c>
      <c r="L102" s="18" t="s">
        <v>16</v>
      </c>
      <c r="M102" s="18" t="s">
        <v>124</v>
      </c>
      <c r="N102" s="16" t="str">
        <f t="shared" si="25"/>
        <v>98</v>
      </c>
      <c r="O102" s="19" t="str">
        <f t="shared" si="24"/>
        <v>FF01A04300B498</v>
      </c>
      <c r="P102" s="20" t="s">
        <v>9</v>
      </c>
      <c r="Q102" s="21">
        <f t="shared" si="28"/>
        <v>1</v>
      </c>
      <c r="R102" s="21">
        <f t="shared" si="28"/>
        <v>160</v>
      </c>
      <c r="S102" s="21">
        <f t="shared" si="28"/>
        <v>67</v>
      </c>
      <c r="T102" s="21">
        <f t="shared" si="28"/>
        <v>0</v>
      </c>
      <c r="U102" s="21">
        <f t="shared" si="28"/>
        <v>180</v>
      </c>
      <c r="V102" s="21">
        <f t="shared" si="23"/>
        <v>408</v>
      </c>
      <c r="W102" s="21" t="str">
        <f t="shared" si="27"/>
        <v>98</v>
      </c>
      <c r="X102" s="2" t="s">
        <v>268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8CE7D-D20F-41DE-9075-E508ED12C670}">
  <dimension ref="B1:H66"/>
  <sheetViews>
    <sheetView zoomScaleNormal="100" workbookViewId="0">
      <selection activeCell="C24" sqref="C24"/>
    </sheetView>
  </sheetViews>
  <sheetFormatPr defaultColWidth="11.5546875" defaultRowHeight="17.25"/>
  <cols>
    <col min="1" max="1" width="0.88671875" customWidth="1"/>
    <col min="2" max="2" width="13.109375" customWidth="1"/>
    <col min="3" max="3" width="26.44140625" customWidth="1"/>
    <col min="4" max="4" width="19.33203125" customWidth="1"/>
    <col min="5" max="5" width="16.6640625" customWidth="1"/>
    <col min="6" max="6" width="27.109375" customWidth="1"/>
    <col min="7" max="7" width="4.6640625" style="80" bestFit="1" customWidth="1"/>
  </cols>
  <sheetData>
    <row r="1" spans="2:8">
      <c r="B1" s="79"/>
      <c r="C1" s="79"/>
      <c r="D1" s="79"/>
      <c r="H1" s="80" t="s">
        <v>1112</v>
      </c>
    </row>
    <row r="2" spans="2:8" s="2" customFormat="1">
      <c r="B2" s="86" t="s">
        <v>705</v>
      </c>
      <c r="C2" s="86" t="s">
        <v>7</v>
      </c>
      <c r="D2" s="86" t="s">
        <v>1113</v>
      </c>
      <c r="E2" s="86" t="s">
        <v>1114</v>
      </c>
      <c r="F2" s="86" t="s">
        <v>1117</v>
      </c>
      <c r="G2" s="86" t="s">
        <v>311</v>
      </c>
      <c r="H2" s="86" t="s">
        <v>324</v>
      </c>
    </row>
    <row r="3" spans="2:8">
      <c r="B3" s="88" t="s">
        <v>1142</v>
      </c>
      <c r="C3" s="88" t="str">
        <f t="shared" ref="C3:C19" si="0">IF(G3="get", D3, D3&amp;"="&amp;E3)</f>
        <v>preset=1</v>
      </c>
      <c r="D3" s="88" t="s">
        <v>1141</v>
      </c>
      <c r="E3" s="88">
        <v>1</v>
      </c>
      <c r="F3" s="88" t="s">
        <v>1157</v>
      </c>
      <c r="G3" s="88" t="s">
        <v>1118</v>
      </c>
      <c r="H3" s="88"/>
    </row>
    <row r="4" spans="2:8">
      <c r="B4" s="88" t="s">
        <v>1148</v>
      </c>
      <c r="C4" s="88" t="str">
        <f t="shared" si="0"/>
        <v>preset=8</v>
      </c>
      <c r="D4" s="88" t="s">
        <v>1141</v>
      </c>
      <c r="E4" s="88">
        <v>8</v>
      </c>
      <c r="F4" s="88" t="s">
        <v>1157</v>
      </c>
      <c r="G4" s="88" t="s">
        <v>1118</v>
      </c>
      <c r="H4" s="88"/>
    </row>
    <row r="5" spans="2:8">
      <c r="B5" s="88" t="s">
        <v>1143</v>
      </c>
      <c r="C5" s="88" t="str">
        <f t="shared" si="0"/>
        <v>preset=71</v>
      </c>
      <c r="D5" s="88" t="s">
        <v>1141</v>
      </c>
      <c r="E5" s="88">
        <v>71</v>
      </c>
      <c r="F5" s="88" t="s">
        <v>1157</v>
      </c>
      <c r="G5" s="88" t="s">
        <v>1118</v>
      </c>
      <c r="H5" s="88"/>
    </row>
    <row r="6" spans="2:8">
      <c r="B6" s="88" t="s">
        <v>1145</v>
      </c>
      <c r="C6" s="88" t="str">
        <f t="shared" si="0"/>
        <v>preset=76</v>
      </c>
      <c r="D6" s="88" t="s">
        <v>1141</v>
      </c>
      <c r="E6" s="88">
        <v>76</v>
      </c>
      <c r="F6" s="88" t="s">
        <v>1157</v>
      </c>
      <c r="G6" s="88" t="s">
        <v>1118</v>
      </c>
      <c r="H6" s="88"/>
    </row>
    <row r="7" spans="2:8">
      <c r="B7" s="88" t="s">
        <v>1144</v>
      </c>
      <c r="C7" s="88" t="str">
        <f t="shared" si="0"/>
        <v>preset=77</v>
      </c>
      <c r="D7" s="88" t="s">
        <v>1141</v>
      </c>
      <c r="E7" s="88">
        <v>77</v>
      </c>
      <c r="F7" s="88" t="s">
        <v>1157</v>
      </c>
      <c r="G7" s="88" t="s">
        <v>1118</v>
      </c>
      <c r="H7" s="88"/>
    </row>
    <row r="8" spans="2:8">
      <c r="B8" s="88" t="s">
        <v>1146</v>
      </c>
      <c r="C8" s="88" t="str">
        <f t="shared" si="0"/>
        <v>preset=87</v>
      </c>
      <c r="D8" s="88" t="s">
        <v>1141</v>
      </c>
      <c r="E8" s="88">
        <v>87</v>
      </c>
      <c r="F8" s="88" t="s">
        <v>1157</v>
      </c>
      <c r="G8" s="88" t="s">
        <v>1118</v>
      </c>
      <c r="H8" s="88"/>
    </row>
    <row r="9" spans="2:8">
      <c r="B9" s="88" t="s">
        <v>1147</v>
      </c>
      <c r="C9" s="88" t="str">
        <f t="shared" si="0"/>
        <v>preset=88</v>
      </c>
      <c r="D9" s="88" t="s">
        <v>1141</v>
      </c>
      <c r="E9" s="88">
        <v>88</v>
      </c>
      <c r="F9" s="88" t="s">
        <v>1157</v>
      </c>
      <c r="G9" s="88" t="s">
        <v>1118</v>
      </c>
      <c r="H9" s="88"/>
    </row>
    <row r="10" spans="2:8">
      <c r="B10" s="88" t="s">
        <v>1159</v>
      </c>
      <c r="C10" s="88" t="str">
        <f t="shared" si="0"/>
        <v>app,video_mode=set,NTSC</v>
      </c>
      <c r="D10" s="88" t="s">
        <v>1160</v>
      </c>
      <c r="E10" s="88" t="s">
        <v>1161</v>
      </c>
      <c r="F10" s="88" t="s">
        <v>1164</v>
      </c>
      <c r="G10" s="88" t="s">
        <v>1118</v>
      </c>
      <c r="H10" s="88"/>
    </row>
    <row r="11" spans="2:8">
      <c r="B11" s="88" t="s">
        <v>1162</v>
      </c>
      <c r="C11" s="88" t="str">
        <f t="shared" si="0"/>
        <v>app,video_mode=set,PAL</v>
      </c>
      <c r="D11" s="88" t="s">
        <v>1160</v>
      </c>
      <c r="E11" s="88" t="s">
        <v>1163</v>
      </c>
      <c r="F11" s="88" t="s">
        <v>1164</v>
      </c>
      <c r="G11" s="88" t="s">
        <v>1118</v>
      </c>
      <c r="H11" s="88"/>
    </row>
    <row r="12" spans="2:8" ht="27">
      <c r="B12" s="88" t="s">
        <v>1167</v>
      </c>
      <c r="C12" s="88" t="str">
        <f t="shared" si="0"/>
        <v>app,video_src=set,1920x1080_30fps</v>
      </c>
      <c r="D12" s="88" t="s">
        <v>1169</v>
      </c>
      <c r="E12" s="88" t="s">
        <v>1165</v>
      </c>
      <c r="F12" s="88" t="s">
        <v>1164</v>
      </c>
      <c r="G12" s="88" t="s">
        <v>1118</v>
      </c>
      <c r="H12" s="88"/>
    </row>
    <row r="13" spans="2:8" ht="27">
      <c r="B13" s="88" t="s">
        <v>1168</v>
      </c>
      <c r="C13" s="88" t="str">
        <f t="shared" si="0"/>
        <v>app,video_src=set,1920x1080_60fps</v>
      </c>
      <c r="D13" s="88" t="s">
        <v>1169</v>
      </c>
      <c r="E13" s="88" t="s">
        <v>1166</v>
      </c>
      <c r="F13" s="88" t="s">
        <v>1164</v>
      </c>
      <c r="G13" s="88" t="s">
        <v>1118</v>
      </c>
      <c r="H13" s="88"/>
    </row>
    <row r="14" spans="2:8">
      <c r="B14" s="88" t="s">
        <v>1172</v>
      </c>
      <c r="C14" s="88" t="str">
        <f t="shared" si="0"/>
        <v>app,video_enc#_codec=set,H265MP</v>
      </c>
      <c r="D14" s="88" t="s">
        <v>1175</v>
      </c>
      <c r="E14" s="88" t="s">
        <v>1171</v>
      </c>
      <c r="F14" s="88" t="s">
        <v>1170</v>
      </c>
      <c r="G14" s="88" t="s">
        <v>1118</v>
      </c>
      <c r="H14" s="88"/>
    </row>
    <row r="15" spans="2:8">
      <c r="B15" s="88" t="s">
        <v>1173</v>
      </c>
      <c r="C15" s="88" t="str">
        <f t="shared" si="0"/>
        <v>app,video_enc#_codec=set,H264MP</v>
      </c>
      <c r="D15" s="88" t="s">
        <v>1175</v>
      </c>
      <c r="E15" s="88" t="s">
        <v>1174</v>
      </c>
      <c r="F15" s="88" t="s">
        <v>1170</v>
      </c>
      <c r="G15" s="88" t="s">
        <v>1118</v>
      </c>
      <c r="H15" s="88"/>
    </row>
    <row r="16" spans="2:8">
      <c r="B16" s="88" t="s">
        <v>1176</v>
      </c>
      <c r="C16" s="88" t="str">
        <f t="shared" si="0"/>
        <v>app,video_enc#_codec=set,MJPEG</v>
      </c>
      <c r="D16" s="88" t="s">
        <v>1175</v>
      </c>
      <c r="E16" s="88" t="s">
        <v>1177</v>
      </c>
      <c r="F16" s="88" t="s">
        <v>1170</v>
      </c>
      <c r="G16" s="88" t="s">
        <v>1118</v>
      </c>
      <c r="H16" s="88"/>
    </row>
    <row r="17" spans="2:8">
      <c r="B17" s="88" t="s">
        <v>1182</v>
      </c>
      <c r="C17" s="88" t="str">
        <f t="shared" si="0"/>
        <v>app,video_enc#_fps=set,1</v>
      </c>
      <c r="D17" s="88" t="s">
        <v>1178</v>
      </c>
      <c r="E17" s="88" t="s">
        <v>1179</v>
      </c>
      <c r="F17" s="88" t="s">
        <v>1170</v>
      </c>
      <c r="G17" s="88" t="s">
        <v>1118</v>
      </c>
      <c r="H17" s="88"/>
    </row>
    <row r="18" spans="2:8">
      <c r="B18" s="88" t="s">
        <v>1183</v>
      </c>
      <c r="C18" s="88" t="str">
        <f t="shared" si="0"/>
        <v>app,video_enc#_fps=set,30</v>
      </c>
      <c r="D18" s="88" t="s">
        <v>1178</v>
      </c>
      <c r="E18" s="88" t="s">
        <v>1180</v>
      </c>
      <c r="F18" s="88" t="s">
        <v>1170</v>
      </c>
      <c r="G18" s="88" t="s">
        <v>1118</v>
      </c>
      <c r="H18" s="88"/>
    </row>
    <row r="19" spans="2:8">
      <c r="B19" s="88" t="s">
        <v>1184</v>
      </c>
      <c r="C19" s="88" t="str">
        <f t="shared" si="0"/>
        <v>app,video_enc#_fps=set,60</v>
      </c>
      <c r="D19" s="88" t="s">
        <v>1178</v>
      </c>
      <c r="E19" s="88" t="s">
        <v>1181</v>
      </c>
      <c r="F19" s="88" t="s">
        <v>1170</v>
      </c>
      <c r="G19" s="88" t="s">
        <v>1118</v>
      </c>
      <c r="H19" s="88"/>
    </row>
    <row r="20" spans="2:8">
      <c r="B20" s="88" t="s">
        <v>19</v>
      </c>
      <c r="C20" s="88" t="str">
        <f>IF(G20="get", D20, D20&amp;"="&amp;E20)</f>
        <v>group,app,flip=basic,set,enable</v>
      </c>
      <c r="D20" s="88" t="s">
        <v>1151</v>
      </c>
      <c r="E20" s="88" t="s">
        <v>1152</v>
      </c>
      <c r="F20" s="88" t="s">
        <v>1158</v>
      </c>
      <c r="G20" s="88" t="s">
        <v>1118</v>
      </c>
      <c r="H20" s="88"/>
    </row>
    <row r="21" spans="2:8">
      <c r="B21" s="88" t="s">
        <v>20</v>
      </c>
      <c r="C21" s="88" t="str">
        <f t="shared" ref="C21:C66" si="1">IF(G21="get", D21, D21&amp;"="&amp;E21)</f>
        <v>group,app,flip=basic,set,1</v>
      </c>
      <c r="D21" s="88" t="s">
        <v>1151</v>
      </c>
      <c r="E21" s="88" t="s">
        <v>1153</v>
      </c>
      <c r="F21" s="88" t="s">
        <v>1158</v>
      </c>
      <c r="G21" s="88" t="s">
        <v>1118</v>
      </c>
      <c r="H21" s="88"/>
    </row>
    <row r="22" spans="2:8">
      <c r="B22" s="88" t="s">
        <v>21</v>
      </c>
      <c r="C22" s="88" t="str">
        <f t="shared" si="1"/>
        <v>group,app,mirror=basic,set,enable</v>
      </c>
      <c r="D22" s="88" t="s">
        <v>1156</v>
      </c>
      <c r="E22" s="88" t="s">
        <v>1152</v>
      </c>
      <c r="F22" s="88" t="s">
        <v>1158</v>
      </c>
      <c r="G22" s="88" t="s">
        <v>1118</v>
      </c>
      <c r="H22" s="88"/>
    </row>
    <row r="23" spans="2:8">
      <c r="B23" s="88" t="s">
        <v>22</v>
      </c>
      <c r="C23" s="88" t="str">
        <f t="shared" si="1"/>
        <v>group,app,mirror=basic,set,1</v>
      </c>
      <c r="D23" s="88" t="s">
        <v>1156</v>
      </c>
      <c r="E23" s="88" t="s">
        <v>1153</v>
      </c>
      <c r="F23" s="88" t="s">
        <v>1158</v>
      </c>
      <c r="G23" s="88" t="s">
        <v>1118</v>
      </c>
      <c r="H23" s="88"/>
    </row>
    <row r="24" spans="2:8">
      <c r="B24" s="88" t="s">
        <v>1149</v>
      </c>
      <c r="C24" s="88" t="str">
        <f t="shared" si="1"/>
        <v>group,app,focus_mode=af,set,auto</v>
      </c>
      <c r="D24" s="88" t="s">
        <v>1187</v>
      </c>
      <c r="E24" s="88" t="s">
        <v>1154</v>
      </c>
      <c r="F24" s="88" t="s">
        <v>1158</v>
      </c>
      <c r="G24" s="88" t="s">
        <v>1118</v>
      </c>
      <c r="H24" s="88"/>
    </row>
    <row r="25" spans="2:8">
      <c r="B25" s="88" t="s">
        <v>1150</v>
      </c>
      <c r="C25" s="88" t="str">
        <f t="shared" si="1"/>
        <v>group,app,focus_mode=af,set,manual</v>
      </c>
      <c r="D25" s="88" t="s">
        <v>1187</v>
      </c>
      <c r="E25" s="88" t="s">
        <v>1155</v>
      </c>
      <c r="F25" s="88" t="s">
        <v>1158</v>
      </c>
      <c r="G25" s="88" t="s">
        <v>1118</v>
      </c>
      <c r="H25" s="88"/>
    </row>
    <row r="26" spans="2:8">
      <c r="B26" s="88" t="s">
        <v>1185</v>
      </c>
      <c r="C26" s="88" t="str">
        <f t="shared" si="1"/>
        <v>group,app,focus_mode=af,set,pushaf</v>
      </c>
      <c r="D26" s="88" t="s">
        <v>1187</v>
      </c>
      <c r="E26" s="88" t="s">
        <v>1186</v>
      </c>
      <c r="F26" s="88" t="s">
        <v>1158</v>
      </c>
      <c r="G26" s="88" t="s">
        <v>1118</v>
      </c>
      <c r="H26" s="88"/>
    </row>
    <row r="27" spans="2:8">
      <c r="B27" s="88" t="s">
        <v>1191</v>
      </c>
      <c r="C27" s="88" t="str">
        <f t="shared" si="1"/>
        <v>group,app,focus_speed=af,set,1</v>
      </c>
      <c r="D27" s="88" t="s">
        <v>1188</v>
      </c>
      <c r="E27" s="88" t="s">
        <v>1189</v>
      </c>
      <c r="F27" s="88" t="s">
        <v>1158</v>
      </c>
      <c r="G27" s="88" t="s">
        <v>1118</v>
      </c>
      <c r="H27" s="88"/>
    </row>
    <row r="28" spans="2:8">
      <c r="B28" s="88" t="s">
        <v>1192</v>
      </c>
      <c r="C28" s="88" t="str">
        <f t="shared" si="1"/>
        <v>group,app,focus_speed=af,set,8</v>
      </c>
      <c r="D28" s="88" t="s">
        <v>1188</v>
      </c>
      <c r="E28" s="88" t="s">
        <v>1190</v>
      </c>
      <c r="F28" s="88" t="s">
        <v>1158</v>
      </c>
      <c r="G28" s="88" t="s">
        <v>1118</v>
      </c>
      <c r="H28" s="88"/>
    </row>
    <row r="29" spans="2:8">
      <c r="B29" s="88" t="s">
        <v>1195</v>
      </c>
      <c r="C29" s="88" t="str">
        <f t="shared" si="1"/>
        <v>group,app,dnn_mode=dnn,set,auto</v>
      </c>
      <c r="D29" s="88" t="s">
        <v>1193</v>
      </c>
      <c r="E29" s="88" t="s">
        <v>1194</v>
      </c>
      <c r="F29" s="88" t="s">
        <v>1158</v>
      </c>
      <c r="G29" s="88" t="s">
        <v>1118</v>
      </c>
      <c r="H29" s="88"/>
    </row>
    <row r="30" spans="2:8">
      <c r="B30" s="88" t="s">
        <v>1196</v>
      </c>
      <c r="C30" s="88" t="str">
        <f t="shared" si="1"/>
        <v>group,app,dnn_mode=dnn,set,day</v>
      </c>
      <c r="D30" s="88" t="s">
        <v>1193</v>
      </c>
      <c r="E30" s="88" t="s">
        <v>1199</v>
      </c>
      <c r="F30" s="88" t="s">
        <v>1158</v>
      </c>
      <c r="G30" s="88" t="s">
        <v>1118</v>
      </c>
      <c r="H30" s="88"/>
    </row>
    <row r="31" spans="2:8">
      <c r="B31" s="88" t="s">
        <v>1197</v>
      </c>
      <c r="C31" s="88" t="str">
        <f t="shared" si="1"/>
        <v>group,app,dnn_mode=dnn,set,night</v>
      </c>
      <c r="D31" s="88" t="s">
        <v>1193</v>
      </c>
      <c r="E31" s="88" t="s">
        <v>1200</v>
      </c>
      <c r="F31" s="88" t="s">
        <v>1158</v>
      </c>
      <c r="G31" s="88" t="s">
        <v>1118</v>
      </c>
      <c r="H31" s="88"/>
    </row>
    <row r="32" spans="2:8">
      <c r="B32" s="88" t="s">
        <v>1198</v>
      </c>
      <c r="C32" s="88" t="str">
        <f t="shared" si="1"/>
        <v>group,app,dnn_mode=dnn,set,ext</v>
      </c>
      <c r="D32" s="88" t="s">
        <v>1193</v>
      </c>
      <c r="E32" s="88" t="s">
        <v>1201</v>
      </c>
      <c r="F32" s="88" t="s">
        <v>1158</v>
      </c>
      <c r="G32" s="88" t="s">
        <v>1118</v>
      </c>
      <c r="H32" s="88"/>
    </row>
    <row r="33" spans="2:8">
      <c r="B33" s="88" t="s">
        <v>1202</v>
      </c>
      <c r="C33" s="88" t="str">
        <f t="shared" si="1"/>
        <v>group,app,wdr_mode=wdr,set,on</v>
      </c>
      <c r="D33" s="88" t="s">
        <v>1206</v>
      </c>
      <c r="E33" s="88" t="s">
        <v>1207</v>
      </c>
      <c r="F33" s="88" t="s">
        <v>1158</v>
      </c>
      <c r="G33" s="88" t="s">
        <v>1118</v>
      </c>
      <c r="H33" s="88"/>
    </row>
    <row r="34" spans="2:8">
      <c r="B34" s="88" t="s">
        <v>1203</v>
      </c>
      <c r="C34" s="88" t="str">
        <f t="shared" si="1"/>
        <v>group,app,wdr_mode=wdr,set,off</v>
      </c>
      <c r="D34" s="88" t="s">
        <v>1206</v>
      </c>
      <c r="E34" s="88" t="s">
        <v>1208</v>
      </c>
      <c r="F34" s="88" t="s">
        <v>1158</v>
      </c>
      <c r="G34" s="88" t="s">
        <v>1118</v>
      </c>
      <c r="H34" s="88"/>
    </row>
    <row r="35" spans="2:8">
      <c r="B35" s="88" t="s">
        <v>1204</v>
      </c>
      <c r="C35" s="88" t="str">
        <f t="shared" si="1"/>
        <v>group,app,defog_mode=wdr,set,on</v>
      </c>
      <c r="D35" s="88" t="s">
        <v>1209</v>
      </c>
      <c r="E35" s="88" t="s">
        <v>1207</v>
      </c>
      <c r="F35" s="88" t="s">
        <v>1158</v>
      </c>
      <c r="G35" s="88" t="s">
        <v>1118</v>
      </c>
      <c r="H35" s="88"/>
    </row>
    <row r="36" spans="2:8">
      <c r="B36" s="88" t="s">
        <v>1205</v>
      </c>
      <c r="C36" s="88" t="str">
        <f t="shared" si="1"/>
        <v>group,app,defog_mode=wdr,set,off</v>
      </c>
      <c r="D36" s="88" t="s">
        <v>1209</v>
      </c>
      <c r="E36" s="88" t="s">
        <v>1208</v>
      </c>
      <c r="F36" s="88" t="s">
        <v>1158</v>
      </c>
      <c r="G36" s="88" t="s">
        <v>1118</v>
      </c>
      <c r="H36" s="88"/>
    </row>
    <row r="37" spans="2:8">
      <c r="B37" s="88" t="s">
        <v>1213</v>
      </c>
      <c r="C37" s="88" t="str">
        <f t="shared" si="1"/>
        <v>group,app,blc_mode=blc,set,on</v>
      </c>
      <c r="D37" s="88" t="s">
        <v>1212</v>
      </c>
      <c r="E37" s="88" t="s">
        <v>1211</v>
      </c>
      <c r="F37" s="88" t="s">
        <v>1158</v>
      </c>
      <c r="G37" s="88" t="s">
        <v>1118</v>
      </c>
      <c r="H37" s="88"/>
    </row>
    <row r="38" spans="2:8">
      <c r="B38" s="88" t="s">
        <v>1214</v>
      </c>
      <c r="C38" s="88" t="str">
        <f t="shared" si="1"/>
        <v>group,app,blc_mode=blc,set,off</v>
      </c>
      <c r="D38" s="88" t="s">
        <v>1212</v>
      </c>
      <c r="E38" s="88" t="s">
        <v>1210</v>
      </c>
      <c r="F38" s="88" t="s">
        <v>1158</v>
      </c>
      <c r="G38" s="88" t="s">
        <v>1118</v>
      </c>
      <c r="H38" s="88"/>
    </row>
    <row r="39" spans="2:8">
      <c r="B39" s="88" t="s">
        <v>1215</v>
      </c>
      <c r="C39" s="88" t="str">
        <f t="shared" si="1"/>
        <v>group,app,hlc_mode=blc,set,on</v>
      </c>
      <c r="D39" s="88" t="s">
        <v>1217</v>
      </c>
      <c r="E39" s="88" t="s">
        <v>1211</v>
      </c>
      <c r="F39" s="88" t="s">
        <v>1158</v>
      </c>
      <c r="G39" s="88" t="s">
        <v>1118</v>
      </c>
      <c r="H39" s="88"/>
    </row>
    <row r="40" spans="2:8">
      <c r="B40" s="88" t="s">
        <v>1216</v>
      </c>
      <c r="C40" s="88" t="str">
        <f t="shared" si="1"/>
        <v>group,app,hlc_mode=blc,set,off</v>
      </c>
      <c r="D40" s="88" t="s">
        <v>1217</v>
      </c>
      <c r="E40" s="88" t="s">
        <v>1210</v>
      </c>
      <c r="F40" s="88" t="s">
        <v>1158</v>
      </c>
      <c r="G40" s="88" t="s">
        <v>1118</v>
      </c>
      <c r="H40" s="88"/>
    </row>
    <row r="41" spans="2:8">
      <c r="B41" s="88" t="s">
        <v>1221</v>
      </c>
      <c r="C41" s="88" t="str">
        <f t="shared" si="1"/>
        <v>app,dz_enable=set,0</v>
      </c>
      <c r="D41" s="88" t="s">
        <v>1220</v>
      </c>
      <c r="E41" s="88" t="s">
        <v>1219</v>
      </c>
      <c r="F41" s="88" t="s">
        <v>1218</v>
      </c>
      <c r="G41" s="88" t="s">
        <v>1118</v>
      </c>
      <c r="H41" s="88"/>
    </row>
    <row r="42" spans="2:8">
      <c r="B42" s="88" t="s">
        <v>1222</v>
      </c>
      <c r="C42" s="88" t="str">
        <f t="shared" si="1"/>
        <v>app,dz_enable=set,1</v>
      </c>
      <c r="D42" s="88" t="s">
        <v>1220</v>
      </c>
      <c r="E42" s="88" t="s">
        <v>1179</v>
      </c>
      <c r="F42" s="88" t="s">
        <v>1218</v>
      </c>
      <c r="G42" s="88" t="s">
        <v>1118</v>
      </c>
      <c r="H42" s="88"/>
    </row>
    <row r="43" spans="2:8">
      <c r="B43" s="88" t="s">
        <v>963</v>
      </c>
      <c r="C43" s="88" t="str">
        <f t="shared" si="1"/>
        <v>app,dz_level=set,100</v>
      </c>
      <c r="D43" s="88" t="s">
        <v>1227</v>
      </c>
      <c r="E43" s="88" t="s">
        <v>1223</v>
      </c>
      <c r="F43" s="88" t="s">
        <v>1218</v>
      </c>
      <c r="G43" s="88" t="s">
        <v>1118</v>
      </c>
      <c r="H43" s="88"/>
    </row>
    <row r="44" spans="2:8">
      <c r="B44" s="88" t="s">
        <v>965</v>
      </c>
      <c r="C44" s="88" t="str">
        <f t="shared" si="1"/>
        <v>app,dz_level=set,200</v>
      </c>
      <c r="D44" s="88" t="s">
        <v>1227</v>
      </c>
      <c r="E44" s="88" t="s">
        <v>1224</v>
      </c>
      <c r="F44" s="88" t="s">
        <v>1218</v>
      </c>
      <c r="G44" s="88" t="s">
        <v>1118</v>
      </c>
      <c r="H44" s="88"/>
    </row>
    <row r="45" spans="2:8">
      <c r="B45" s="88" t="s">
        <v>966</v>
      </c>
      <c r="C45" s="88" t="str">
        <f t="shared" si="1"/>
        <v>app,dz_level=set,400</v>
      </c>
      <c r="D45" s="88" t="s">
        <v>1227</v>
      </c>
      <c r="E45" s="88" t="s">
        <v>1225</v>
      </c>
      <c r="F45" s="88" t="s">
        <v>1218</v>
      </c>
      <c r="G45" s="88" t="s">
        <v>1118</v>
      </c>
      <c r="H45" s="88"/>
    </row>
    <row r="46" spans="2:8">
      <c r="B46" s="88" t="s">
        <v>1100</v>
      </c>
      <c r="C46" s="88" t="str">
        <f t="shared" si="1"/>
        <v>app,dz_level=set,800</v>
      </c>
      <c r="D46" s="88" t="s">
        <v>1227</v>
      </c>
      <c r="E46" s="88" t="s">
        <v>1226</v>
      </c>
      <c r="F46" s="88" t="s">
        <v>1218</v>
      </c>
      <c r="G46" s="88" t="s">
        <v>1118</v>
      </c>
      <c r="H46" s="88"/>
    </row>
    <row r="47" spans="2:8">
      <c r="B47" s="88" t="s">
        <v>1228</v>
      </c>
      <c r="C47" s="88" t="str">
        <f t="shared" si="1"/>
        <v>app=set</v>
      </c>
      <c r="D47" s="88" t="s">
        <v>1230</v>
      </c>
      <c r="E47" s="88" t="s">
        <v>1118</v>
      </c>
      <c r="F47" s="88" t="s">
        <v>1229</v>
      </c>
      <c r="G47" s="88" t="s">
        <v>1118</v>
      </c>
      <c r="H47" s="88"/>
    </row>
    <row r="48" spans="2:8">
      <c r="B48" s="88" t="s">
        <v>1231</v>
      </c>
      <c r="C48" s="88" t="str">
        <f t="shared" si="1"/>
        <v>app=set</v>
      </c>
      <c r="D48" s="88" t="s">
        <v>1230</v>
      </c>
      <c r="E48" s="88" t="s">
        <v>1118</v>
      </c>
      <c r="F48" s="88" t="s">
        <v>1234</v>
      </c>
      <c r="G48" s="88" t="s">
        <v>1118</v>
      </c>
      <c r="H48" s="88" t="s">
        <v>1232</v>
      </c>
    </row>
    <row r="49" spans="2:8">
      <c r="B49" s="88" t="s">
        <v>577</v>
      </c>
      <c r="C49" s="88" t="str">
        <f t="shared" si="1"/>
        <v>=FALSE</v>
      </c>
      <c r="D49" s="88"/>
      <c r="E49" s="88" t="b">
        <f t="shared" ref="E49:E66" si="2">IF(G49="get", "")</f>
        <v>0</v>
      </c>
      <c r="F49" s="88" t="s">
        <v>1235</v>
      </c>
      <c r="G49" s="88" t="s">
        <v>1118</v>
      </c>
      <c r="H49" s="88" t="s">
        <v>1233</v>
      </c>
    </row>
    <row r="50" spans="2:8">
      <c r="B50" s="88" t="s">
        <v>1121</v>
      </c>
      <c r="C50" s="88" t="str">
        <f t="shared" si="1"/>
        <v>pspd=1</v>
      </c>
      <c r="D50" s="88" t="s">
        <v>1120</v>
      </c>
      <c r="E50" s="88">
        <v>1</v>
      </c>
      <c r="F50" s="88" t="s">
        <v>1157</v>
      </c>
      <c r="G50" s="88" t="s">
        <v>1118</v>
      </c>
      <c r="H50" s="88" t="s">
        <v>1127</v>
      </c>
    </row>
    <row r="51" spans="2:8">
      <c r="B51" s="88" t="s">
        <v>1122</v>
      </c>
      <c r="C51" s="88" t="str">
        <f t="shared" si="1"/>
        <v>pspd=63</v>
      </c>
      <c r="D51" s="88" t="s">
        <v>1120</v>
      </c>
      <c r="E51" s="88">
        <v>63</v>
      </c>
      <c r="F51" s="88" t="s">
        <v>1157</v>
      </c>
      <c r="G51" s="88" t="s">
        <v>1118</v>
      </c>
      <c r="H51" s="88"/>
    </row>
    <row r="52" spans="2:8">
      <c r="B52" s="88" t="s">
        <v>1124</v>
      </c>
      <c r="C52" s="88" t="str">
        <f t="shared" si="1"/>
        <v>tspd=1</v>
      </c>
      <c r="D52" s="88" t="s">
        <v>1123</v>
      </c>
      <c r="E52" s="88">
        <v>1</v>
      </c>
      <c r="F52" s="88" t="s">
        <v>1157</v>
      </c>
      <c r="G52" s="88" t="s">
        <v>1118</v>
      </c>
      <c r="H52" s="88" t="s">
        <v>1127</v>
      </c>
    </row>
    <row r="53" spans="2:8">
      <c r="B53" s="88" t="s">
        <v>1125</v>
      </c>
      <c r="C53" s="88" t="str">
        <f t="shared" si="1"/>
        <v>tspd=63</v>
      </c>
      <c r="D53" s="88" t="s">
        <v>1123</v>
      </c>
      <c r="E53" s="88">
        <v>63</v>
      </c>
      <c r="F53" s="88" t="s">
        <v>1157</v>
      </c>
      <c r="G53" s="88" t="s">
        <v>1118</v>
      </c>
      <c r="H53" s="88"/>
    </row>
    <row r="54" spans="2:8">
      <c r="B54" s="88" t="s">
        <v>1129</v>
      </c>
      <c r="C54" s="88" t="str">
        <f t="shared" si="1"/>
        <v>zspd=1</v>
      </c>
      <c r="D54" s="88" t="s">
        <v>1126</v>
      </c>
      <c r="E54" s="88">
        <v>1</v>
      </c>
      <c r="F54" s="88" t="s">
        <v>1157</v>
      </c>
      <c r="G54" s="88" t="s">
        <v>1118</v>
      </c>
      <c r="H54" s="88" t="s">
        <v>1128</v>
      </c>
    </row>
    <row r="55" spans="2:8">
      <c r="B55" s="88" t="s">
        <v>1130</v>
      </c>
      <c r="C55" s="88" t="str">
        <f t="shared" si="1"/>
        <v>zspd=8</v>
      </c>
      <c r="D55" s="88" t="s">
        <v>1126</v>
      </c>
      <c r="E55" s="88">
        <v>8</v>
      </c>
      <c r="F55" s="88" t="s">
        <v>1157</v>
      </c>
      <c r="G55" s="88" t="s">
        <v>1118</v>
      </c>
      <c r="H55" s="88"/>
    </row>
    <row r="56" spans="2:8">
      <c r="B56" s="88" t="s">
        <v>1132</v>
      </c>
      <c r="C56" s="88" t="str">
        <f t="shared" si="1"/>
        <v>zoom=1</v>
      </c>
      <c r="D56" s="88" t="s">
        <v>1131</v>
      </c>
      <c r="E56" s="88">
        <v>1</v>
      </c>
      <c r="F56" s="88" t="s">
        <v>1157</v>
      </c>
      <c r="G56" s="88" t="s">
        <v>1118</v>
      </c>
      <c r="H56" s="88"/>
    </row>
    <row r="57" spans="2:8">
      <c r="B57" s="88" t="s">
        <v>1133</v>
      </c>
      <c r="C57" s="88" t="str">
        <f t="shared" si="1"/>
        <v>zoom=1</v>
      </c>
      <c r="D57" s="88" t="s">
        <v>1131</v>
      </c>
      <c r="E57" s="88">
        <v>1</v>
      </c>
      <c r="F57" s="88" t="s">
        <v>1157</v>
      </c>
      <c r="G57" s="88" t="s">
        <v>1118</v>
      </c>
      <c r="H57" s="88"/>
    </row>
    <row r="58" spans="2:8">
      <c r="B58" s="88" t="s">
        <v>993</v>
      </c>
      <c r="C58" s="88" t="str">
        <f t="shared" si="1"/>
        <v>zoom=stop</v>
      </c>
      <c r="D58" s="88" t="s">
        <v>1131</v>
      </c>
      <c r="E58" s="88" t="s">
        <v>1119</v>
      </c>
      <c r="F58" s="88" t="s">
        <v>1157</v>
      </c>
      <c r="G58" s="88" t="s">
        <v>1118</v>
      </c>
      <c r="H58" s="88"/>
    </row>
    <row r="59" spans="2:8">
      <c r="B59" s="88" t="s">
        <v>1136</v>
      </c>
      <c r="C59" s="88" t="str">
        <f t="shared" ref="C59:C64" si="3">IF(G59="get", D59, D59&amp;"="&amp;E59)</f>
        <v>focus=near</v>
      </c>
      <c r="D59" s="88" t="s">
        <v>1116</v>
      </c>
      <c r="E59" s="88" t="s">
        <v>1134</v>
      </c>
      <c r="F59" s="88" t="s">
        <v>1157</v>
      </c>
      <c r="G59" s="88" t="s">
        <v>1118</v>
      </c>
      <c r="H59" s="88"/>
    </row>
    <row r="60" spans="2:8">
      <c r="B60" s="88" t="s">
        <v>1137</v>
      </c>
      <c r="C60" s="88" t="str">
        <f t="shared" si="3"/>
        <v>focus=far</v>
      </c>
      <c r="D60" s="88" t="s">
        <v>1116</v>
      </c>
      <c r="E60" s="88" t="s">
        <v>1135</v>
      </c>
      <c r="F60" s="88" t="s">
        <v>1157</v>
      </c>
      <c r="G60" s="88" t="s">
        <v>1118</v>
      </c>
      <c r="H60" s="88"/>
    </row>
    <row r="61" spans="2:8">
      <c r="B61" s="88" t="s">
        <v>1138</v>
      </c>
      <c r="C61" s="88" t="str">
        <f t="shared" si="3"/>
        <v>focus=1</v>
      </c>
      <c r="D61" s="88" t="s">
        <v>1116</v>
      </c>
      <c r="E61" s="88">
        <v>1</v>
      </c>
      <c r="F61" s="88" t="s">
        <v>1157</v>
      </c>
      <c r="G61" s="88" t="s">
        <v>1118</v>
      </c>
      <c r="H61" s="88"/>
    </row>
    <row r="62" spans="2:8">
      <c r="B62" s="88" t="s">
        <v>1139</v>
      </c>
      <c r="C62" s="88" t="str">
        <f t="shared" si="3"/>
        <v>focus=1</v>
      </c>
      <c r="D62" s="88" t="s">
        <v>1116</v>
      </c>
      <c r="E62" s="88">
        <v>1</v>
      </c>
      <c r="F62" s="88" t="s">
        <v>1157</v>
      </c>
      <c r="G62" s="88" t="s">
        <v>1118</v>
      </c>
      <c r="H62" s="88"/>
    </row>
    <row r="63" spans="2:8">
      <c r="B63" s="88" t="s">
        <v>998</v>
      </c>
      <c r="C63" s="88" t="str">
        <f t="shared" si="3"/>
        <v>focus=stop</v>
      </c>
      <c r="D63" s="88" t="s">
        <v>1116</v>
      </c>
      <c r="E63" s="88" t="s">
        <v>1119</v>
      </c>
      <c r="F63" s="88" t="s">
        <v>1157</v>
      </c>
      <c r="G63" s="88" t="s">
        <v>1118</v>
      </c>
      <c r="H63" s="88"/>
    </row>
    <row r="64" spans="2:8">
      <c r="B64" s="88" t="s">
        <v>1140</v>
      </c>
      <c r="C64" s="88" t="str">
        <f t="shared" si="3"/>
        <v>move=stop</v>
      </c>
      <c r="D64" s="88" t="s">
        <v>1115</v>
      </c>
      <c r="E64" s="88" t="s">
        <v>1119</v>
      </c>
      <c r="F64" s="88" t="s">
        <v>1157</v>
      </c>
      <c r="G64" s="88" t="s">
        <v>1118</v>
      </c>
      <c r="H64" s="88"/>
    </row>
    <row r="65" spans="2:8">
      <c r="B65" s="88"/>
      <c r="C65" s="88" t="str">
        <f t="shared" si="1"/>
        <v>=FALSE</v>
      </c>
      <c r="D65" s="88"/>
      <c r="E65" s="88" t="b">
        <f t="shared" si="2"/>
        <v>0</v>
      </c>
      <c r="F65" s="88"/>
      <c r="G65" s="88" t="s">
        <v>1118</v>
      </c>
      <c r="H65" s="88"/>
    </row>
    <row r="66" spans="2:8">
      <c r="B66" s="88"/>
      <c r="C66" s="88" t="str">
        <f t="shared" si="1"/>
        <v>=FALSE</v>
      </c>
      <c r="D66" s="88"/>
      <c r="E66" s="88" t="b">
        <f t="shared" si="2"/>
        <v>0</v>
      </c>
      <c r="F66" s="88"/>
      <c r="G66" s="88" t="s">
        <v>1118</v>
      </c>
      <c r="H66" s="88"/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54ED-6B63-4D9A-B9C5-3B5DBC4F1F01}">
  <dimension ref="B1:Q30"/>
  <sheetViews>
    <sheetView zoomScaleNormal="100" workbookViewId="0">
      <pane xSplit="3" ySplit="2" topLeftCell="D3" activePane="bottomRight" state="frozen"/>
      <selection pane="topRight" activeCell="I1" sqref="I1"/>
      <selection pane="bottomLeft" activeCell="A3" sqref="A3"/>
      <selection pane="bottomRight" activeCell="A3" sqref="A3:XFD14"/>
    </sheetView>
  </sheetViews>
  <sheetFormatPr defaultColWidth="11.5546875" defaultRowHeight="16.5" customHeight="1"/>
  <cols>
    <col min="1" max="1" width="2.6640625" customWidth="1"/>
    <col min="2" max="2" width="14.5546875" customWidth="1"/>
    <col min="3" max="3" width="16.6640625" customWidth="1"/>
    <col min="4" max="4" width="11.5546875" customWidth="1"/>
    <col min="9" max="9" width="3.109375" style="9" bestFit="1" customWidth="1"/>
    <col min="10" max="10" width="3.109375" style="9" customWidth="1"/>
    <col min="11" max="11" width="3.6640625" style="10" bestFit="1" customWidth="1"/>
    <col min="12" max="13" width="3.109375" style="9" bestFit="1" customWidth="1"/>
    <col min="14" max="15" width="7" style="9" bestFit="1" customWidth="1"/>
    <col min="17" max="17" width="16.5546875" style="9" bestFit="1" customWidth="1"/>
  </cols>
  <sheetData>
    <row r="1" spans="2:17" ht="16.5" customHeight="1">
      <c r="C1" s="9" t="s">
        <v>278</v>
      </c>
      <c r="Q1" s="9" t="s">
        <v>278</v>
      </c>
    </row>
    <row r="2" spans="2:17" s="2" customFormat="1" ht="16.5" customHeight="1">
      <c r="B2" s="13" t="s">
        <v>0</v>
      </c>
      <c r="C2" s="13" t="s">
        <v>7</v>
      </c>
      <c r="D2" s="13" t="s">
        <v>29</v>
      </c>
      <c r="E2" s="13" t="s">
        <v>34</v>
      </c>
      <c r="F2" s="13" t="s">
        <v>35</v>
      </c>
      <c r="G2" s="13" t="s">
        <v>36</v>
      </c>
      <c r="H2" s="13" t="s">
        <v>1277</v>
      </c>
      <c r="I2" s="13" t="s">
        <v>32</v>
      </c>
      <c r="J2" s="13" t="s">
        <v>33</v>
      </c>
      <c r="K2" s="13" t="s">
        <v>34</v>
      </c>
      <c r="L2" s="13" t="s">
        <v>35</v>
      </c>
      <c r="M2" s="13" t="s">
        <v>36</v>
      </c>
      <c r="N2" s="13" t="s">
        <v>39</v>
      </c>
      <c r="O2" s="13" t="s">
        <v>40</v>
      </c>
      <c r="Q2" s="72" t="s">
        <v>180</v>
      </c>
    </row>
    <row r="3" spans="2:17" s="2" customFormat="1" ht="16.5" customHeight="1">
      <c r="B3" s="14" t="s">
        <v>13</v>
      </c>
      <c r="C3" s="14" t="str">
        <f>"FF00"&amp;D3&amp;E3&amp;""&amp;F3&amp;G3&amp;H3</f>
        <v>FF00000800FF07</v>
      </c>
      <c r="D3" s="67" t="s">
        <v>16</v>
      </c>
      <c r="E3" s="67" t="s">
        <v>1274</v>
      </c>
      <c r="F3" s="67" t="s">
        <v>16</v>
      </c>
      <c r="G3" s="67" t="s">
        <v>9</v>
      </c>
      <c r="H3" s="14" t="str">
        <f t="shared" ref="H3:H24" si="0">O3</f>
        <v>07</v>
      </c>
      <c r="I3" s="14" t="s">
        <v>9</v>
      </c>
      <c r="J3" s="15">
        <f t="shared" ref="J3:M24" si="1">HEX2DEC(D3)</f>
        <v>0</v>
      </c>
      <c r="K3" s="15">
        <f t="shared" si="1"/>
        <v>8</v>
      </c>
      <c r="L3" s="15">
        <f t="shared" si="1"/>
        <v>0</v>
      </c>
      <c r="M3" s="15">
        <f t="shared" si="1"/>
        <v>255</v>
      </c>
      <c r="N3" s="15">
        <f t="shared" ref="N3:N24" si="2">SUM(J3:M3)</f>
        <v>263</v>
      </c>
      <c r="O3" s="15" t="str">
        <f t="shared" ref="O3:O30" si="3">REPT("0",2-LEN(RIGHT(DEC2HEX(N3), 2)))&amp;RIGHT(DEC2HEX(N3), 2)</f>
        <v>07</v>
      </c>
      <c r="Q3" s="72" t="s">
        <v>1297</v>
      </c>
    </row>
    <row r="4" spans="2:17" s="2" customFormat="1" ht="16.5" customHeight="1">
      <c r="B4" s="14" t="s">
        <v>14</v>
      </c>
      <c r="C4" s="14" t="str">
        <f t="shared" ref="C4:C24" si="4">"FF00"&amp;D4&amp;E4&amp;""&amp;F4&amp;G4&amp;H4</f>
        <v>FF00001000FF0F</v>
      </c>
      <c r="D4" s="67" t="s">
        <v>16</v>
      </c>
      <c r="E4" s="67" t="s">
        <v>109</v>
      </c>
      <c r="F4" s="67" t="s">
        <v>16</v>
      </c>
      <c r="G4" s="67" t="s">
        <v>9</v>
      </c>
      <c r="H4" s="14" t="str">
        <f t="shared" si="0"/>
        <v>0F</v>
      </c>
      <c r="I4" s="14" t="s">
        <v>9</v>
      </c>
      <c r="J4" s="15">
        <f t="shared" si="1"/>
        <v>0</v>
      </c>
      <c r="K4" s="15">
        <f t="shared" si="1"/>
        <v>16</v>
      </c>
      <c r="L4" s="15">
        <f t="shared" si="1"/>
        <v>0</v>
      </c>
      <c r="M4" s="15">
        <f t="shared" si="1"/>
        <v>255</v>
      </c>
      <c r="N4" s="15">
        <f t="shared" si="2"/>
        <v>271</v>
      </c>
      <c r="O4" s="15" t="str">
        <f t="shared" si="3"/>
        <v>0F</v>
      </c>
      <c r="Q4" s="72" t="s">
        <v>1298</v>
      </c>
    </row>
    <row r="5" spans="2:17" s="2" customFormat="1" ht="16.5" customHeight="1">
      <c r="B5" s="14" t="s">
        <v>11</v>
      </c>
      <c r="C5" s="14" t="str">
        <f t="shared" si="4"/>
        <v>FF000004FF0003</v>
      </c>
      <c r="D5" s="67" t="s">
        <v>16</v>
      </c>
      <c r="E5" s="67" t="s">
        <v>67</v>
      </c>
      <c r="F5" s="67" t="s">
        <v>9</v>
      </c>
      <c r="G5" s="67" t="s">
        <v>16</v>
      </c>
      <c r="H5" s="14" t="str">
        <f t="shared" si="0"/>
        <v>03</v>
      </c>
      <c r="I5" s="14" t="s">
        <v>9</v>
      </c>
      <c r="J5" s="15">
        <f t="shared" si="1"/>
        <v>0</v>
      </c>
      <c r="K5" s="15">
        <f t="shared" si="1"/>
        <v>4</v>
      </c>
      <c r="L5" s="15">
        <f t="shared" si="1"/>
        <v>255</v>
      </c>
      <c r="M5" s="15">
        <f t="shared" si="1"/>
        <v>0</v>
      </c>
      <c r="N5" s="15">
        <f t="shared" si="2"/>
        <v>259</v>
      </c>
      <c r="O5" s="15" t="str">
        <f t="shared" si="3"/>
        <v>03</v>
      </c>
      <c r="Q5" s="72" t="s">
        <v>1299</v>
      </c>
    </row>
    <row r="6" spans="2:17" s="2" customFormat="1" ht="16.5" customHeight="1">
      <c r="B6" s="14" t="s">
        <v>12</v>
      </c>
      <c r="C6" s="14" t="str">
        <f t="shared" si="4"/>
        <v>FF000002FF0001</v>
      </c>
      <c r="D6" s="67" t="s">
        <v>16</v>
      </c>
      <c r="E6" s="67" t="s">
        <v>17</v>
      </c>
      <c r="F6" s="67" t="s">
        <v>9</v>
      </c>
      <c r="G6" s="67" t="s">
        <v>16</v>
      </c>
      <c r="H6" s="14" t="str">
        <f t="shared" si="0"/>
        <v>01</v>
      </c>
      <c r="I6" s="14" t="s">
        <v>9</v>
      </c>
      <c r="J6" s="15">
        <f t="shared" si="1"/>
        <v>0</v>
      </c>
      <c r="K6" s="15">
        <f t="shared" si="1"/>
        <v>2</v>
      </c>
      <c r="L6" s="15">
        <f t="shared" si="1"/>
        <v>255</v>
      </c>
      <c r="M6" s="15">
        <f t="shared" si="1"/>
        <v>0</v>
      </c>
      <c r="N6" s="15">
        <f t="shared" si="2"/>
        <v>257</v>
      </c>
      <c r="O6" s="15" t="str">
        <f t="shared" si="3"/>
        <v>01</v>
      </c>
      <c r="Q6" s="72" t="s">
        <v>1300</v>
      </c>
    </row>
    <row r="7" spans="2:17" s="2" customFormat="1" ht="16.5" customHeight="1">
      <c r="B7" s="14" t="s">
        <v>1272</v>
      </c>
      <c r="C7" s="14" t="str">
        <f t="shared" si="4"/>
        <v>FF000000000000</v>
      </c>
      <c r="D7" s="67" t="s">
        <v>16</v>
      </c>
      <c r="E7" s="67" t="s">
        <v>16</v>
      </c>
      <c r="F7" s="67" t="s">
        <v>16</v>
      </c>
      <c r="G7" s="67" t="s">
        <v>16</v>
      </c>
      <c r="H7" s="14" t="str">
        <f t="shared" si="0"/>
        <v>00</v>
      </c>
      <c r="I7" s="14" t="s">
        <v>9</v>
      </c>
      <c r="J7" s="15">
        <f t="shared" si="1"/>
        <v>0</v>
      </c>
      <c r="K7" s="15">
        <f t="shared" si="1"/>
        <v>0</v>
      </c>
      <c r="L7" s="15">
        <f t="shared" si="1"/>
        <v>0</v>
      </c>
      <c r="M7" s="15">
        <f t="shared" si="1"/>
        <v>0</v>
      </c>
      <c r="N7" s="15">
        <f t="shared" si="2"/>
        <v>0</v>
      </c>
      <c r="O7" s="15" t="str">
        <f t="shared" si="3"/>
        <v>00</v>
      </c>
      <c r="Q7" s="72" t="s">
        <v>1301</v>
      </c>
    </row>
    <row r="8" spans="2:17" s="2" customFormat="1" ht="16.5" customHeight="1">
      <c r="B8" s="14" t="s">
        <v>30</v>
      </c>
      <c r="C8" s="14" t="str">
        <f t="shared" si="4"/>
        <v>FF00BA000010CA</v>
      </c>
      <c r="D8" s="67" t="s">
        <v>1279</v>
      </c>
      <c r="E8" s="67" t="s">
        <v>16</v>
      </c>
      <c r="F8" s="67" t="s">
        <v>16</v>
      </c>
      <c r="G8" s="67" t="s">
        <v>109</v>
      </c>
      <c r="H8" s="14" t="str">
        <f t="shared" si="0"/>
        <v>CA</v>
      </c>
      <c r="I8" s="14" t="s">
        <v>9</v>
      </c>
      <c r="J8" s="15">
        <f t="shared" si="1"/>
        <v>186</v>
      </c>
      <c r="K8" s="15">
        <f t="shared" si="1"/>
        <v>0</v>
      </c>
      <c r="L8" s="15">
        <f t="shared" si="1"/>
        <v>0</v>
      </c>
      <c r="M8" s="15">
        <f t="shared" si="1"/>
        <v>16</v>
      </c>
      <c r="N8" s="15">
        <f t="shared" si="2"/>
        <v>202</v>
      </c>
      <c r="O8" s="15" t="str">
        <f t="shared" si="3"/>
        <v>CA</v>
      </c>
      <c r="Q8" s="72" t="s">
        <v>1302</v>
      </c>
    </row>
    <row r="9" spans="2:17" s="2" customFormat="1" ht="16.5" customHeight="1">
      <c r="B9" s="14" t="s">
        <v>31</v>
      </c>
      <c r="C9" s="14" t="str">
        <f t="shared" si="4"/>
        <v>FF00BA000020DA</v>
      </c>
      <c r="D9" s="67" t="s">
        <v>1279</v>
      </c>
      <c r="E9" s="67" t="s">
        <v>16</v>
      </c>
      <c r="F9" s="67" t="s">
        <v>16</v>
      </c>
      <c r="G9" s="67" t="s">
        <v>133</v>
      </c>
      <c r="H9" s="14" t="str">
        <f t="shared" si="0"/>
        <v>DA</v>
      </c>
      <c r="I9" s="14" t="s">
        <v>9</v>
      </c>
      <c r="J9" s="15">
        <f t="shared" si="1"/>
        <v>186</v>
      </c>
      <c r="K9" s="15">
        <f t="shared" si="1"/>
        <v>0</v>
      </c>
      <c r="L9" s="15">
        <f t="shared" si="1"/>
        <v>0</v>
      </c>
      <c r="M9" s="15">
        <f t="shared" si="1"/>
        <v>32</v>
      </c>
      <c r="N9" s="15">
        <f t="shared" si="2"/>
        <v>218</v>
      </c>
      <c r="O9" s="15" t="str">
        <f t="shared" si="3"/>
        <v>DA</v>
      </c>
      <c r="Q9" s="72" t="s">
        <v>1303</v>
      </c>
    </row>
    <row r="10" spans="2:17" s="2" customFormat="1" ht="16.5" customHeight="1">
      <c r="B10" s="14" t="s">
        <v>993</v>
      </c>
      <c r="C10" s="14" t="str">
        <f t="shared" si="4"/>
        <v>FF00BA000000BA</v>
      </c>
      <c r="D10" s="67" t="s">
        <v>1279</v>
      </c>
      <c r="E10" s="67" t="s">
        <v>16</v>
      </c>
      <c r="F10" s="67" t="s">
        <v>16</v>
      </c>
      <c r="G10" s="67" t="s">
        <v>16</v>
      </c>
      <c r="H10" s="14" t="str">
        <f t="shared" si="0"/>
        <v>BA</v>
      </c>
      <c r="I10" s="14" t="s">
        <v>9</v>
      </c>
      <c r="J10" s="15">
        <f t="shared" si="1"/>
        <v>186</v>
      </c>
      <c r="K10" s="15">
        <f t="shared" si="1"/>
        <v>0</v>
      </c>
      <c r="L10" s="15">
        <f t="shared" si="1"/>
        <v>0</v>
      </c>
      <c r="M10" s="15">
        <f t="shared" si="1"/>
        <v>0</v>
      </c>
      <c r="N10" s="15">
        <f t="shared" si="2"/>
        <v>186</v>
      </c>
      <c r="O10" s="15" t="str">
        <f t="shared" si="3"/>
        <v>BA</v>
      </c>
      <c r="Q10" s="72" t="s">
        <v>1304</v>
      </c>
    </row>
    <row r="11" spans="2:17" s="2" customFormat="1" ht="16.5" customHeight="1">
      <c r="B11" s="14" t="s">
        <v>28</v>
      </c>
      <c r="C11" s="14" t="str">
        <f t="shared" si="4"/>
        <v>FF00BF000000BF</v>
      </c>
      <c r="D11" s="67" t="s">
        <v>1278</v>
      </c>
      <c r="E11" s="67" t="s">
        <v>16</v>
      </c>
      <c r="F11" s="67" t="s">
        <v>16</v>
      </c>
      <c r="G11" s="67" t="s">
        <v>16</v>
      </c>
      <c r="H11" s="14" t="str">
        <f t="shared" si="0"/>
        <v>BF</v>
      </c>
      <c r="I11" s="14" t="s">
        <v>9</v>
      </c>
      <c r="J11" s="15">
        <f t="shared" si="1"/>
        <v>191</v>
      </c>
      <c r="K11" s="15">
        <f t="shared" si="1"/>
        <v>0</v>
      </c>
      <c r="L11" s="15">
        <f t="shared" si="1"/>
        <v>0</v>
      </c>
      <c r="M11" s="15">
        <f t="shared" si="1"/>
        <v>0</v>
      </c>
      <c r="N11" s="15">
        <f t="shared" si="2"/>
        <v>191</v>
      </c>
      <c r="O11" s="15" t="str">
        <f t="shared" si="3"/>
        <v>BF</v>
      </c>
      <c r="Q11" s="72" t="s">
        <v>1305</v>
      </c>
    </row>
    <row r="12" spans="2:17" s="2" customFormat="1" ht="16.5" customHeight="1">
      <c r="B12" s="14" t="s">
        <v>44</v>
      </c>
      <c r="C12" s="14" t="str">
        <f>"FF00"&amp;D12&amp;E12&amp;""&amp;F12&amp;G12&amp;H12</f>
        <v>FF00BB000010CB</v>
      </c>
      <c r="D12" s="67" t="s">
        <v>1280</v>
      </c>
      <c r="E12" s="67" t="s">
        <v>16</v>
      </c>
      <c r="F12" s="67" t="s">
        <v>16</v>
      </c>
      <c r="G12" s="67" t="s">
        <v>109</v>
      </c>
      <c r="H12" s="14" t="str">
        <f t="shared" si="0"/>
        <v>CB</v>
      </c>
      <c r="I12" s="14" t="s">
        <v>9</v>
      </c>
      <c r="J12" s="15">
        <f t="shared" si="1"/>
        <v>187</v>
      </c>
      <c r="K12" s="15">
        <f t="shared" si="1"/>
        <v>0</v>
      </c>
      <c r="L12" s="15">
        <f t="shared" si="1"/>
        <v>0</v>
      </c>
      <c r="M12" s="15">
        <f t="shared" si="1"/>
        <v>16</v>
      </c>
      <c r="N12" s="15">
        <f t="shared" si="2"/>
        <v>203</v>
      </c>
      <c r="O12" s="15" t="str">
        <f t="shared" si="3"/>
        <v>CB</v>
      </c>
      <c r="Q12" s="72" t="s">
        <v>1306</v>
      </c>
    </row>
    <row r="13" spans="2:17" s="2" customFormat="1" ht="16.5" customHeight="1">
      <c r="B13" s="14" t="s">
        <v>42</v>
      </c>
      <c r="C13" s="14" t="str">
        <f t="shared" si="4"/>
        <v>FF00BB000020DB</v>
      </c>
      <c r="D13" s="67" t="s">
        <v>1280</v>
      </c>
      <c r="E13" s="67" t="s">
        <v>16</v>
      </c>
      <c r="F13" s="67" t="s">
        <v>16</v>
      </c>
      <c r="G13" s="67" t="s">
        <v>133</v>
      </c>
      <c r="H13" s="14" t="str">
        <f t="shared" si="0"/>
        <v>DB</v>
      </c>
      <c r="I13" s="14" t="s">
        <v>9</v>
      </c>
      <c r="J13" s="15">
        <f t="shared" si="1"/>
        <v>187</v>
      </c>
      <c r="K13" s="15">
        <f t="shared" si="1"/>
        <v>0</v>
      </c>
      <c r="L13" s="15">
        <f t="shared" si="1"/>
        <v>0</v>
      </c>
      <c r="M13" s="15">
        <f t="shared" si="1"/>
        <v>32</v>
      </c>
      <c r="N13" s="15">
        <f t="shared" si="2"/>
        <v>219</v>
      </c>
      <c r="O13" s="15" t="str">
        <f t="shared" si="3"/>
        <v>DB</v>
      </c>
      <c r="Q13" s="72" t="s">
        <v>1307</v>
      </c>
    </row>
    <row r="14" spans="2:17" s="2" customFormat="1" ht="16.5" customHeight="1">
      <c r="B14" s="14" t="s">
        <v>998</v>
      </c>
      <c r="C14" s="14" t="str">
        <f t="shared" si="4"/>
        <v>FF00BB000000BB</v>
      </c>
      <c r="D14" s="67" t="s">
        <v>1280</v>
      </c>
      <c r="E14" s="67" t="s">
        <v>16</v>
      </c>
      <c r="F14" s="67" t="s">
        <v>16</v>
      </c>
      <c r="G14" s="67" t="s">
        <v>16</v>
      </c>
      <c r="H14" s="14" t="str">
        <f t="shared" si="0"/>
        <v>BB</v>
      </c>
      <c r="I14" s="14" t="s">
        <v>9</v>
      </c>
      <c r="J14" s="15">
        <f t="shared" si="1"/>
        <v>187</v>
      </c>
      <c r="K14" s="15">
        <f t="shared" si="1"/>
        <v>0</v>
      </c>
      <c r="L14" s="15">
        <f t="shared" si="1"/>
        <v>0</v>
      </c>
      <c r="M14" s="15">
        <f t="shared" si="1"/>
        <v>0</v>
      </c>
      <c r="N14" s="15">
        <f t="shared" si="2"/>
        <v>187</v>
      </c>
      <c r="O14" s="15" t="str">
        <f t="shared" si="3"/>
        <v>BB</v>
      </c>
      <c r="Q14" s="72" t="s">
        <v>1308</v>
      </c>
    </row>
    <row r="15" spans="2:17" s="2" customFormat="1" ht="16.5" customHeight="1">
      <c r="B15" s="14" t="s">
        <v>1295</v>
      </c>
      <c r="C15" s="14" t="str">
        <f t="shared" si="4"/>
        <v>FF00B0000001B1</v>
      </c>
      <c r="D15" s="67" t="s">
        <v>1281</v>
      </c>
      <c r="E15" s="67" t="s">
        <v>16</v>
      </c>
      <c r="F15" s="67" t="s">
        <v>16</v>
      </c>
      <c r="G15" s="67" t="s">
        <v>24</v>
      </c>
      <c r="H15" s="14" t="str">
        <f t="shared" si="0"/>
        <v>B1</v>
      </c>
      <c r="I15" s="14" t="s">
        <v>9</v>
      </c>
      <c r="J15" s="15">
        <f t="shared" si="1"/>
        <v>176</v>
      </c>
      <c r="K15" s="15">
        <f t="shared" si="1"/>
        <v>0</v>
      </c>
      <c r="L15" s="15">
        <f t="shared" si="1"/>
        <v>0</v>
      </c>
      <c r="M15" s="15">
        <f t="shared" si="1"/>
        <v>1</v>
      </c>
      <c r="N15" s="15">
        <f t="shared" si="2"/>
        <v>177</v>
      </c>
      <c r="O15" s="15" t="str">
        <f t="shared" si="3"/>
        <v>B1</v>
      </c>
      <c r="Q15" s="72" t="s">
        <v>1309</v>
      </c>
    </row>
    <row r="16" spans="2:17" s="2" customFormat="1" ht="16.5" customHeight="1">
      <c r="B16" s="14" t="s">
        <v>1296</v>
      </c>
      <c r="C16" s="14" t="str">
        <f t="shared" si="4"/>
        <v>FF00B0000000B0</v>
      </c>
      <c r="D16" s="67" t="s">
        <v>1281</v>
      </c>
      <c r="E16" s="67" t="s">
        <v>16</v>
      </c>
      <c r="F16" s="67" t="s">
        <v>16</v>
      </c>
      <c r="G16" s="67" t="s">
        <v>16</v>
      </c>
      <c r="H16" s="14" t="str">
        <f t="shared" si="0"/>
        <v>B0</v>
      </c>
      <c r="I16" s="14" t="s">
        <v>9</v>
      </c>
      <c r="J16" s="15">
        <f t="shared" si="1"/>
        <v>176</v>
      </c>
      <c r="K16" s="15">
        <f t="shared" si="1"/>
        <v>0</v>
      </c>
      <c r="L16" s="15">
        <f t="shared" si="1"/>
        <v>0</v>
      </c>
      <c r="M16" s="15">
        <f t="shared" si="1"/>
        <v>0</v>
      </c>
      <c r="N16" s="15">
        <f t="shared" si="2"/>
        <v>176</v>
      </c>
      <c r="O16" s="15" t="str">
        <f t="shared" si="3"/>
        <v>B0</v>
      </c>
      <c r="Q16" s="72" t="s">
        <v>1310</v>
      </c>
    </row>
    <row r="17" spans="2:17" s="2" customFormat="1" ht="16.5" customHeight="1">
      <c r="B17" s="14" t="s">
        <v>1294</v>
      </c>
      <c r="C17" s="14" t="str">
        <f t="shared" si="4"/>
        <v>FF00C0000001C1</v>
      </c>
      <c r="D17" s="67" t="s">
        <v>1282</v>
      </c>
      <c r="E17" s="67" t="s">
        <v>16</v>
      </c>
      <c r="F17" s="67" t="s">
        <v>16</v>
      </c>
      <c r="G17" s="67" t="s">
        <v>24</v>
      </c>
      <c r="H17" s="14" t="str">
        <f t="shared" si="0"/>
        <v>C1</v>
      </c>
      <c r="I17" s="14" t="s">
        <v>9</v>
      </c>
      <c r="J17" s="15">
        <f t="shared" si="1"/>
        <v>192</v>
      </c>
      <c r="K17" s="15">
        <f t="shared" si="1"/>
        <v>0</v>
      </c>
      <c r="L17" s="15">
        <f t="shared" si="1"/>
        <v>0</v>
      </c>
      <c r="M17" s="15">
        <f t="shared" si="1"/>
        <v>1</v>
      </c>
      <c r="N17" s="15">
        <f t="shared" si="2"/>
        <v>193</v>
      </c>
      <c r="O17" s="15" t="str">
        <f t="shared" si="3"/>
        <v>C1</v>
      </c>
      <c r="Q17" s="72" t="s">
        <v>1311</v>
      </c>
    </row>
    <row r="18" spans="2:17" s="2" customFormat="1" ht="16.5" customHeight="1">
      <c r="B18" s="14" t="s">
        <v>1287</v>
      </c>
      <c r="C18" s="14" t="str">
        <f t="shared" si="4"/>
        <v>FF00C0000002C2</v>
      </c>
      <c r="D18" s="67" t="s">
        <v>1282</v>
      </c>
      <c r="E18" s="67" t="s">
        <v>16</v>
      </c>
      <c r="F18" s="67" t="s">
        <v>16</v>
      </c>
      <c r="G18" s="67" t="s">
        <v>1276</v>
      </c>
      <c r="H18" s="14" t="str">
        <f t="shared" si="0"/>
        <v>C2</v>
      </c>
      <c r="I18" s="14" t="s">
        <v>9</v>
      </c>
      <c r="J18" s="15">
        <f t="shared" si="1"/>
        <v>192</v>
      </c>
      <c r="K18" s="15">
        <f t="shared" si="1"/>
        <v>0</v>
      </c>
      <c r="L18" s="15">
        <f t="shared" si="1"/>
        <v>0</v>
      </c>
      <c r="M18" s="15">
        <f t="shared" si="1"/>
        <v>2</v>
      </c>
      <c r="N18" s="15">
        <f t="shared" si="2"/>
        <v>194</v>
      </c>
      <c r="O18" s="15" t="str">
        <f t="shared" si="3"/>
        <v>C2</v>
      </c>
      <c r="Q18" s="72" t="s">
        <v>1312</v>
      </c>
    </row>
    <row r="19" spans="2:17" s="2" customFormat="1" ht="16.5" customHeight="1">
      <c r="B19" s="14" t="s">
        <v>1288</v>
      </c>
      <c r="C19" s="14" t="str">
        <f t="shared" si="4"/>
        <v>FF00C0000003C3</v>
      </c>
      <c r="D19" s="67" t="s">
        <v>1282</v>
      </c>
      <c r="E19" s="67" t="s">
        <v>16</v>
      </c>
      <c r="F19" s="67" t="s">
        <v>16</v>
      </c>
      <c r="G19" s="67" t="s">
        <v>1283</v>
      </c>
      <c r="H19" s="14" t="str">
        <f t="shared" si="0"/>
        <v>C3</v>
      </c>
      <c r="I19" s="14" t="s">
        <v>9</v>
      </c>
      <c r="J19" s="15">
        <f t="shared" si="1"/>
        <v>192</v>
      </c>
      <c r="K19" s="15">
        <f t="shared" si="1"/>
        <v>0</v>
      </c>
      <c r="L19" s="15">
        <f t="shared" si="1"/>
        <v>0</v>
      </c>
      <c r="M19" s="15">
        <f t="shared" si="1"/>
        <v>3</v>
      </c>
      <c r="N19" s="15">
        <f t="shared" si="2"/>
        <v>195</v>
      </c>
      <c r="O19" s="15" t="str">
        <f t="shared" si="3"/>
        <v>C3</v>
      </c>
      <c r="Q19" s="72" t="s">
        <v>1313</v>
      </c>
    </row>
    <row r="20" spans="2:17" s="2" customFormat="1" ht="16.5" customHeight="1">
      <c r="B20" s="14" t="s">
        <v>1289</v>
      </c>
      <c r="C20" s="14" t="str">
        <f t="shared" si="4"/>
        <v>FF00C0000004C4</v>
      </c>
      <c r="D20" s="67" t="s">
        <v>1282</v>
      </c>
      <c r="E20" s="67" t="s">
        <v>16</v>
      </c>
      <c r="F20" s="67" t="s">
        <v>16</v>
      </c>
      <c r="G20" s="67" t="s">
        <v>1275</v>
      </c>
      <c r="H20" s="14" t="str">
        <f t="shared" si="0"/>
        <v>C4</v>
      </c>
      <c r="I20" s="14" t="s">
        <v>9</v>
      </c>
      <c r="J20" s="15">
        <f t="shared" si="1"/>
        <v>192</v>
      </c>
      <c r="K20" s="15">
        <f t="shared" si="1"/>
        <v>0</v>
      </c>
      <c r="L20" s="15">
        <f t="shared" si="1"/>
        <v>0</v>
      </c>
      <c r="M20" s="15">
        <f t="shared" si="1"/>
        <v>4</v>
      </c>
      <c r="N20" s="15">
        <f t="shared" si="2"/>
        <v>196</v>
      </c>
      <c r="O20" s="15" t="str">
        <f t="shared" si="3"/>
        <v>C4</v>
      </c>
      <c r="Q20" s="72" t="s">
        <v>1314</v>
      </c>
    </row>
    <row r="21" spans="2:17" s="2" customFormat="1" ht="16.5" customHeight="1">
      <c r="B21" s="14" t="s">
        <v>1290</v>
      </c>
      <c r="C21" s="14" t="str">
        <f t="shared" si="4"/>
        <v>FF00C0000005C5</v>
      </c>
      <c r="D21" s="67" t="s">
        <v>1282</v>
      </c>
      <c r="E21" s="67" t="s">
        <v>16</v>
      </c>
      <c r="F21" s="67" t="s">
        <v>16</v>
      </c>
      <c r="G21" s="67" t="s">
        <v>1284</v>
      </c>
      <c r="H21" s="14" t="str">
        <f t="shared" si="0"/>
        <v>C5</v>
      </c>
      <c r="I21" s="14" t="s">
        <v>9</v>
      </c>
      <c r="J21" s="15">
        <f t="shared" si="1"/>
        <v>192</v>
      </c>
      <c r="K21" s="15">
        <f t="shared" si="1"/>
        <v>0</v>
      </c>
      <c r="L21" s="15">
        <f t="shared" si="1"/>
        <v>0</v>
      </c>
      <c r="M21" s="15">
        <f t="shared" si="1"/>
        <v>5</v>
      </c>
      <c r="N21" s="15">
        <f t="shared" si="2"/>
        <v>197</v>
      </c>
      <c r="O21" s="15" t="str">
        <f t="shared" si="3"/>
        <v>C5</v>
      </c>
      <c r="Q21" s="72" t="s">
        <v>1315</v>
      </c>
    </row>
    <row r="22" spans="2:17" s="2" customFormat="1" ht="16.5" customHeight="1">
      <c r="B22" s="14" t="s">
        <v>1291</v>
      </c>
      <c r="C22" s="14" t="str">
        <f t="shared" si="4"/>
        <v>FF00C0000006C6</v>
      </c>
      <c r="D22" s="67" t="s">
        <v>1282</v>
      </c>
      <c r="E22" s="67" t="s">
        <v>16</v>
      </c>
      <c r="F22" s="67" t="s">
        <v>16</v>
      </c>
      <c r="G22" s="67" t="s">
        <v>1285</v>
      </c>
      <c r="H22" s="14" t="str">
        <f t="shared" si="0"/>
        <v>C6</v>
      </c>
      <c r="I22" s="14" t="s">
        <v>9</v>
      </c>
      <c r="J22" s="15">
        <f t="shared" si="1"/>
        <v>192</v>
      </c>
      <c r="K22" s="15">
        <f t="shared" si="1"/>
        <v>0</v>
      </c>
      <c r="L22" s="15">
        <f t="shared" si="1"/>
        <v>0</v>
      </c>
      <c r="M22" s="15">
        <f t="shared" si="1"/>
        <v>6</v>
      </c>
      <c r="N22" s="15">
        <f t="shared" si="2"/>
        <v>198</v>
      </c>
      <c r="O22" s="15" t="str">
        <f t="shared" si="3"/>
        <v>C6</v>
      </c>
      <c r="Q22" s="72" t="s">
        <v>1316</v>
      </c>
    </row>
    <row r="23" spans="2:17" s="2" customFormat="1" ht="16.5" customHeight="1">
      <c r="B23" s="14" t="s">
        <v>1292</v>
      </c>
      <c r="C23" s="14" t="str">
        <f t="shared" si="4"/>
        <v>FF00C0000007C7</v>
      </c>
      <c r="D23" s="67" t="s">
        <v>1282</v>
      </c>
      <c r="E23" s="67" t="s">
        <v>16</v>
      </c>
      <c r="F23" s="67" t="s">
        <v>16</v>
      </c>
      <c r="G23" s="67" t="s">
        <v>1286</v>
      </c>
      <c r="H23" s="14" t="str">
        <f t="shared" si="0"/>
        <v>C7</v>
      </c>
      <c r="I23" s="14" t="s">
        <v>9</v>
      </c>
      <c r="J23" s="15">
        <f t="shared" si="1"/>
        <v>192</v>
      </c>
      <c r="K23" s="15">
        <f t="shared" si="1"/>
        <v>0</v>
      </c>
      <c r="L23" s="15">
        <f t="shared" si="1"/>
        <v>0</v>
      </c>
      <c r="M23" s="15">
        <f t="shared" si="1"/>
        <v>7</v>
      </c>
      <c r="N23" s="15">
        <f t="shared" si="2"/>
        <v>199</v>
      </c>
      <c r="O23" s="15" t="str">
        <f t="shared" si="3"/>
        <v>C7</v>
      </c>
      <c r="Q23" s="72" t="s">
        <v>1317</v>
      </c>
    </row>
    <row r="24" spans="2:17" s="2" customFormat="1" ht="16.5" customHeight="1">
      <c r="B24" s="14" t="s">
        <v>1293</v>
      </c>
      <c r="C24" s="14" t="str">
        <f t="shared" si="4"/>
        <v>FF00C0000008C8</v>
      </c>
      <c r="D24" s="67" t="s">
        <v>1282</v>
      </c>
      <c r="E24" s="67" t="s">
        <v>16</v>
      </c>
      <c r="F24" s="67" t="s">
        <v>16</v>
      </c>
      <c r="G24" s="67" t="s">
        <v>1273</v>
      </c>
      <c r="H24" s="14" t="str">
        <f t="shared" si="0"/>
        <v>C8</v>
      </c>
      <c r="I24" s="14" t="s">
        <v>9</v>
      </c>
      <c r="J24" s="15">
        <f t="shared" si="1"/>
        <v>192</v>
      </c>
      <c r="K24" s="15">
        <f t="shared" si="1"/>
        <v>0</v>
      </c>
      <c r="L24" s="15">
        <f t="shared" si="1"/>
        <v>0</v>
      </c>
      <c r="M24" s="15">
        <f t="shared" si="1"/>
        <v>8</v>
      </c>
      <c r="N24" s="15">
        <f t="shared" si="2"/>
        <v>200</v>
      </c>
      <c r="O24" s="15" t="str">
        <f t="shared" si="3"/>
        <v>C8</v>
      </c>
      <c r="Q24" s="72" t="s">
        <v>1318</v>
      </c>
    </row>
    <row r="25" spans="2:17" s="2" customFormat="1" ht="16.5" customHeight="1">
      <c r="B25" s="14" t="s">
        <v>1391</v>
      </c>
      <c r="C25" s="14" t="str">
        <f t="shared" ref="C25" si="5">"FF00"&amp;D25&amp;E25&amp;""&amp;F25&amp;G25&amp;H25</f>
        <v>FF000012BF5425</v>
      </c>
      <c r="D25" s="67" t="s">
        <v>16</v>
      </c>
      <c r="E25" s="67" t="s">
        <v>111</v>
      </c>
      <c r="F25" s="67" t="s">
        <v>1278</v>
      </c>
      <c r="G25" s="67" t="s">
        <v>1392</v>
      </c>
      <c r="H25" s="14" t="str">
        <f t="shared" ref="H25" si="6">O25</f>
        <v>25</v>
      </c>
      <c r="I25" s="14" t="s">
        <v>9</v>
      </c>
      <c r="J25" s="15">
        <f t="shared" ref="J25" si="7">HEX2DEC(D25)</f>
        <v>0</v>
      </c>
      <c r="K25" s="15">
        <f t="shared" ref="K25" si="8">HEX2DEC(E25)</f>
        <v>18</v>
      </c>
      <c r="L25" s="15">
        <f t="shared" ref="L25" si="9">HEX2DEC(F25)</f>
        <v>191</v>
      </c>
      <c r="M25" s="15">
        <f t="shared" ref="M25" si="10">HEX2DEC(G25)</f>
        <v>84</v>
      </c>
      <c r="N25" s="15">
        <f t="shared" ref="N25" si="11">SUM(J25:M25)</f>
        <v>293</v>
      </c>
      <c r="O25" s="15" t="str">
        <f t="shared" si="3"/>
        <v>25</v>
      </c>
      <c r="Q25" s="72" t="s">
        <v>1401</v>
      </c>
    </row>
    <row r="26" spans="2:17" s="2" customFormat="1" ht="16.5" customHeight="1">
      <c r="B26" s="14" t="s">
        <v>1393</v>
      </c>
      <c r="C26" s="14" t="str">
        <f t="shared" ref="C26" si="12">"FF00"&amp;D26&amp;E26&amp;""&amp;F26&amp;G26&amp;H26</f>
        <v>FF0000127F3FD0</v>
      </c>
      <c r="D26" s="67" t="s">
        <v>16</v>
      </c>
      <c r="E26" s="67" t="s">
        <v>111</v>
      </c>
      <c r="F26" s="67" t="s">
        <v>1394</v>
      </c>
      <c r="G26" s="67" t="s">
        <v>1395</v>
      </c>
      <c r="H26" s="14" t="str">
        <f t="shared" ref="H26:H30" si="13">O26</f>
        <v>D0</v>
      </c>
      <c r="I26" s="14" t="s">
        <v>9</v>
      </c>
      <c r="J26" s="15">
        <f t="shared" ref="J26:J30" si="14">HEX2DEC(D26)</f>
        <v>0</v>
      </c>
      <c r="K26" s="15">
        <f t="shared" ref="K26:K30" si="15">HEX2DEC(E26)</f>
        <v>18</v>
      </c>
      <c r="L26" s="15">
        <f t="shared" ref="L26:L30" si="16">HEX2DEC(F26)</f>
        <v>127</v>
      </c>
      <c r="M26" s="15">
        <f t="shared" ref="M26:M30" si="17">HEX2DEC(G26)</f>
        <v>63</v>
      </c>
      <c r="N26" s="15">
        <f t="shared" ref="N26:N30" si="18">SUM(J26:M26)</f>
        <v>208</v>
      </c>
      <c r="O26" s="15" t="str">
        <f t="shared" si="3"/>
        <v>D0</v>
      </c>
      <c r="Q26" s="72" t="s">
        <v>1402</v>
      </c>
    </row>
    <row r="27" spans="2:17" s="2" customFormat="1" ht="16.5" customHeight="1">
      <c r="B27" s="14" t="s">
        <v>1396</v>
      </c>
      <c r="C27" s="14" t="str">
        <f>"FF00"&amp;D27&amp;E27&amp;""&amp;F27&amp;G27&amp;H27</f>
        <v>FF00000C7F3FCA</v>
      </c>
      <c r="D27" s="67" t="s">
        <v>16</v>
      </c>
      <c r="E27" s="67" t="s">
        <v>1400</v>
      </c>
      <c r="F27" s="67" t="s">
        <v>1394</v>
      </c>
      <c r="G27" s="67" t="s">
        <v>1395</v>
      </c>
      <c r="H27" s="14" t="str">
        <f t="shared" si="13"/>
        <v>CA</v>
      </c>
      <c r="I27" s="14" t="s">
        <v>9</v>
      </c>
      <c r="J27" s="15">
        <f t="shared" si="14"/>
        <v>0</v>
      </c>
      <c r="K27" s="15">
        <f t="shared" si="15"/>
        <v>12</v>
      </c>
      <c r="L27" s="15">
        <f t="shared" si="16"/>
        <v>127</v>
      </c>
      <c r="M27" s="15">
        <f t="shared" si="17"/>
        <v>63</v>
      </c>
      <c r="N27" s="15">
        <f t="shared" si="18"/>
        <v>202</v>
      </c>
      <c r="O27" s="15" t="str">
        <f t="shared" si="3"/>
        <v>CA</v>
      </c>
      <c r="Q27" s="72" t="s">
        <v>1403</v>
      </c>
    </row>
    <row r="28" spans="2:17" s="2" customFormat="1" ht="16.5" customHeight="1">
      <c r="B28" s="14" t="s">
        <v>1397</v>
      </c>
      <c r="C28" s="14" t="str">
        <f t="shared" ref="C28:C30" si="19">"FF00"&amp;D28&amp;E28&amp;""&amp;F28&amp;G28&amp;H28</f>
        <v>FF00000A7F3FC8</v>
      </c>
      <c r="D28" s="67" t="s">
        <v>16</v>
      </c>
      <c r="E28" s="67" t="s">
        <v>61</v>
      </c>
      <c r="F28" s="67" t="s">
        <v>1394</v>
      </c>
      <c r="G28" s="67" t="s">
        <v>1395</v>
      </c>
      <c r="H28" s="14" t="str">
        <f t="shared" si="13"/>
        <v>C8</v>
      </c>
      <c r="I28" s="14" t="s">
        <v>9</v>
      </c>
      <c r="J28" s="15">
        <f t="shared" si="14"/>
        <v>0</v>
      </c>
      <c r="K28" s="15">
        <f t="shared" si="15"/>
        <v>10</v>
      </c>
      <c r="L28" s="15">
        <f t="shared" si="16"/>
        <v>127</v>
      </c>
      <c r="M28" s="15">
        <f t="shared" si="17"/>
        <v>63</v>
      </c>
      <c r="N28" s="15">
        <f t="shared" si="18"/>
        <v>200</v>
      </c>
      <c r="O28" s="15" t="str">
        <f t="shared" si="3"/>
        <v>C8</v>
      </c>
      <c r="Q28" s="72" t="s">
        <v>1404</v>
      </c>
    </row>
    <row r="29" spans="2:17" s="2" customFormat="1" ht="16.5" customHeight="1">
      <c r="B29" s="14" t="s">
        <v>1398</v>
      </c>
      <c r="C29" s="14" t="str">
        <f t="shared" si="19"/>
        <v>FF0000147F3FD2</v>
      </c>
      <c r="D29" s="67" t="s">
        <v>16</v>
      </c>
      <c r="E29" s="67" t="s">
        <v>62</v>
      </c>
      <c r="F29" s="67" t="s">
        <v>1394</v>
      </c>
      <c r="G29" s="67" t="s">
        <v>1395</v>
      </c>
      <c r="H29" s="14" t="str">
        <f t="shared" si="13"/>
        <v>D2</v>
      </c>
      <c r="I29" s="14" t="s">
        <v>9</v>
      </c>
      <c r="J29" s="15">
        <f t="shared" si="14"/>
        <v>0</v>
      </c>
      <c r="K29" s="15">
        <f t="shared" si="15"/>
        <v>20</v>
      </c>
      <c r="L29" s="15">
        <f t="shared" si="16"/>
        <v>127</v>
      </c>
      <c r="M29" s="15">
        <f t="shared" si="17"/>
        <v>63</v>
      </c>
      <c r="N29" s="15">
        <f t="shared" si="18"/>
        <v>210</v>
      </c>
      <c r="O29" s="15" t="str">
        <f t="shared" si="3"/>
        <v>D2</v>
      </c>
      <c r="Q29" s="72" t="s">
        <v>1405</v>
      </c>
    </row>
    <row r="30" spans="2:17" s="2" customFormat="1" ht="16.5" customHeight="1">
      <c r="B30" s="14" t="s">
        <v>1399</v>
      </c>
      <c r="C30" s="14" t="str">
        <f t="shared" si="19"/>
        <v>FF0000127F3FD0</v>
      </c>
      <c r="D30" s="67" t="s">
        <v>16</v>
      </c>
      <c r="E30" s="67" t="s">
        <v>111</v>
      </c>
      <c r="F30" s="67" t="s">
        <v>1394</v>
      </c>
      <c r="G30" s="67" t="s">
        <v>1395</v>
      </c>
      <c r="H30" s="14" t="str">
        <f t="shared" si="13"/>
        <v>D0</v>
      </c>
      <c r="I30" s="14" t="s">
        <v>9</v>
      </c>
      <c r="J30" s="15">
        <f t="shared" si="14"/>
        <v>0</v>
      </c>
      <c r="K30" s="15">
        <f t="shared" si="15"/>
        <v>18</v>
      </c>
      <c r="L30" s="15">
        <f t="shared" si="16"/>
        <v>127</v>
      </c>
      <c r="M30" s="15">
        <f t="shared" si="17"/>
        <v>63</v>
      </c>
      <c r="N30" s="15">
        <f t="shared" si="18"/>
        <v>208</v>
      </c>
      <c r="O30" s="15" t="str">
        <f t="shared" si="3"/>
        <v>D0</v>
      </c>
      <c r="Q30" s="72" t="s">
        <v>1406</v>
      </c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01951DBBD2D18C4AA4363468866F688E" ma:contentTypeVersion="18" ma:contentTypeDescription="새 문서를 만듭니다." ma:contentTypeScope="" ma:versionID="12447b46b555e14564ab6eef27765f78">
  <xsd:schema xmlns:xsd="http://www.w3.org/2001/XMLSchema" xmlns:xs="http://www.w3.org/2001/XMLSchema" xmlns:p="http://schemas.microsoft.com/office/2006/metadata/properties" xmlns:ns3="6a17cc7f-78d6-4d16-ba10-c7842312b21f" xmlns:ns4="7ebb372e-a6a1-45b9-ba7a-9eecc3941a2e" targetNamespace="http://schemas.microsoft.com/office/2006/metadata/properties" ma:root="true" ma:fieldsID="e9f35dfc0341ec3272762c89bf91d893" ns3:_="" ns4:_="">
    <xsd:import namespace="6a17cc7f-78d6-4d16-ba10-c7842312b21f"/>
    <xsd:import namespace="7ebb372e-a6a1-45b9-ba7a-9eecc3941a2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Locatio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17cc7f-78d6-4d16-ba10-c7842312b21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MediaServiceAutoTags" ma:internalName="MediaServiceAutoTags" ma:readOnly="true">
      <xsd:simpleType>
        <xsd:restriction base="dms:Text"/>
      </xsd:simpleType>
    </xsd:element>
    <xsd:element name="MediaServiceLocation" ma:index="12" nillable="true" ma:displayName="MediaServiceLocation" ma:internalName="MediaServiceLocation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bb372e-a6a1-45b9-ba7a-9eecc3941a2e" elementFormDefault="qualified">
    <xsd:import namespace="http://schemas.microsoft.com/office/2006/documentManagement/types"/>
    <xsd:import namespace="http://schemas.microsoft.com/office/infopath/2007/PartnerControls"/>
    <xsd:element name="SharedWithUsers" ma:index="20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2" nillable="true" ma:displayName="힌트 해시 공유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a17cc7f-78d6-4d16-ba10-c7842312b21f" xsi:nil="true"/>
  </documentManagement>
</p:properties>
</file>

<file path=customXml/itemProps1.xml><?xml version="1.0" encoding="utf-8"?>
<ds:datastoreItem xmlns:ds="http://schemas.openxmlformats.org/officeDocument/2006/customXml" ds:itemID="{52BBD0F0-70BB-441C-8CCB-FC1DCDF3D87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a17cc7f-78d6-4d16-ba10-c7842312b21f"/>
    <ds:schemaRef ds:uri="7ebb372e-a6a1-45b9-ba7a-9eecc3941a2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898CEB0-78AF-433E-AE06-2F6FB8539F8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13A90DB-2D4B-4387-AAFB-DE7557422C74}">
  <ds:schemaRefs>
    <ds:schemaRef ds:uri="http://purl.org/dc/elements/1.1/"/>
    <ds:schemaRef ds:uri="http://purl.org/dc/dcmitype/"/>
    <ds:schemaRef ds:uri="http://purl.org/dc/terms/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7ebb372e-a6a1-45b9-ba7a-9eecc3941a2e"/>
    <ds:schemaRef ds:uri="http://schemas.microsoft.com/office/infopath/2007/PartnerControls"/>
    <ds:schemaRef ds:uri="6a17cc7f-78d6-4d16-ba10-c7842312b21f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Uncooled</vt:lpstr>
      <vt:lpstr>DRS</vt:lpstr>
      <vt:lpstr>MiniGimbal</vt:lpstr>
      <vt:lpstr>NYX Series</vt:lpstr>
      <vt:lpstr>FineTree</vt:lpstr>
      <vt:lpstr>Multi</vt:lpstr>
      <vt:lpstr>CTEC</vt:lpstr>
      <vt:lpstr>Uncooled Data Sheet</vt:lpstr>
      <vt:lpstr>Cooled Data Sheet</vt:lpstr>
      <vt:lpstr>CMD RAW</vt:lpstr>
      <vt:lpstr>FineTreeRAW</vt:lpstr>
      <vt:lpstr>MiniGimbalRAW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LEECHUL</dc:creator>
  <cp:lastModifiedBy>이철</cp:lastModifiedBy>
  <dcterms:created xsi:type="dcterms:W3CDTF">2024-02-05T05:19:17Z</dcterms:created>
  <dcterms:modified xsi:type="dcterms:W3CDTF">2025-07-17T01:36:46Z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0x01010001951DBBD2D18C4AA4363468866F688E</vt:lpwstr>
  </property>
</Properties>
</file>